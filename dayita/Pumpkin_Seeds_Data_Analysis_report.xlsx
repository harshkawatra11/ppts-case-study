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arsh\Desktop\HARSH\PPTS-CASE-STUDY\nsut-innovators-court\dayita\"/>
    </mc:Choice>
  </mc:AlternateContent>
  <xr:revisionPtr revIDLastSave="0" documentId="13_ncr:1_{030B959E-BE92-4C13-879D-FDB9433ADF8D}" xr6:coauthVersionLast="47" xr6:coauthVersionMax="47" xr10:uidLastSave="{00000000-0000-0000-0000-000000000000}"/>
  <bookViews>
    <workbookView xWindow="-108" yWindow="-108" windowWidth="23256" windowHeight="13896" activeTab="5" xr2:uid="{00000000-000D-0000-FFFF-FFFF00000000}"/>
  </bookViews>
  <sheets>
    <sheet name="Final Clean Data" sheetId="1" r:id="rId1"/>
    <sheet name="Excluded Rows" sheetId="2" r:id="rId2"/>
    <sheet name="Manual Review" sheetId="3" r:id="rId3"/>
    <sheet name="Potential Duplicates" sheetId="4" r:id="rId4"/>
    <sheet name="Cleaning Summary" sheetId="5" r:id="rId5"/>
    <sheet name="Analysis" sheetId="6" r:id="rId6"/>
  </sheets>
  <definedNames>
    <definedName name="_xlnm._FilterDatabase" localSheetId="4" hidden="1">'Cleaning Summary'!$A$1:$B$10</definedName>
    <definedName name="_xlnm._FilterDatabase" localSheetId="1" hidden="1">'Excluded Rows'!$A$1:$Z$285</definedName>
    <definedName name="_xlnm._FilterDatabase" localSheetId="0" hidden="1">'Final Clean Data'!$A$1:$Z$441</definedName>
    <definedName name="_xlnm._FilterDatabase" localSheetId="2" hidden="1">'Manual Review'!$A$1:$Z$10</definedName>
    <definedName name="_xlnm._FilterDatabase" localSheetId="3" hidden="1">'Potential Duplicates'!$A$1:$Z$11</definedName>
    <definedName name="_xlnm.Criteria" localSheetId="0">'Final Clean Data'!$Y$2:$Y$441</definedName>
    <definedName name="_xlnm.Extract" localSheetId="0">'Final Clean Data'!$AC$2:$BA$2</definedName>
    <definedName name="PumpkinData">Table1[#All]</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51" i="6" l="1"/>
  <c r="F1051" i="6" a="1"/>
  <c r="E1052" i="6"/>
  <c r="F1052" i="6" a="1"/>
  <c r="E1053" i="6"/>
  <c r="F1053" i="6" a="1"/>
  <c r="E1054" i="6"/>
  <c r="F1054" i="6" a="1"/>
  <c r="E1055" i="6"/>
  <c r="F1055" i="6" a="1"/>
  <c r="C326" i="6"/>
  <c r="D326" i="6"/>
  <c r="E326" i="6"/>
  <c r="C327" i="6"/>
  <c r="D327" i="6"/>
  <c r="E327" i="6"/>
  <c r="C328" i="6"/>
  <c r="D328" i="6"/>
  <c r="E328" i="6"/>
  <c r="C329" i="6"/>
  <c r="D329" i="6"/>
  <c r="E329" i="6"/>
  <c r="C330" i="6"/>
  <c r="D330" i="6"/>
  <c r="E330" i="6"/>
  <c r="C331" i="6"/>
  <c r="D331" i="6"/>
  <c r="E331" i="6"/>
  <c r="C332" i="6"/>
  <c r="D332" i="6"/>
  <c r="E332" i="6"/>
  <c r="C333" i="6"/>
  <c r="D333" i="6"/>
  <c r="E333" i="6"/>
  <c r="C334" i="6"/>
  <c r="D334" i="6"/>
  <c r="E334" i="6"/>
  <c r="C335" i="6"/>
  <c r="D335" i="6"/>
  <c r="E335" i="6"/>
  <c r="C336" i="6"/>
  <c r="D336" i="6"/>
  <c r="E336" i="6"/>
  <c r="C337" i="6"/>
  <c r="D337" i="6"/>
  <c r="E337" i="6"/>
  <c r="C338" i="6"/>
  <c r="D338" i="6"/>
  <c r="E338" i="6"/>
  <c r="C339" i="6"/>
  <c r="D339" i="6"/>
  <c r="E339" i="6"/>
  <c r="C340" i="6"/>
  <c r="D340" i="6"/>
  <c r="E340" i="6"/>
  <c r="C341" i="6"/>
  <c r="D341" i="6"/>
  <c r="E341" i="6"/>
  <c r="C342" i="6"/>
  <c r="D342" i="6"/>
  <c r="E342" i="6"/>
  <c r="C343" i="6"/>
  <c r="D343" i="6"/>
  <c r="E343" i="6"/>
  <c r="C344" i="6"/>
  <c r="D344" i="6"/>
  <c r="E344" i="6"/>
  <c r="C345" i="6"/>
  <c r="D345" i="6"/>
  <c r="E345" i="6"/>
  <c r="C346" i="6"/>
  <c r="D346" i="6"/>
  <c r="E346" i="6"/>
  <c r="C347" i="6"/>
  <c r="D347" i="6"/>
  <c r="E347" i="6"/>
  <c r="C348" i="6"/>
  <c r="D348" i="6"/>
  <c r="E348" i="6"/>
  <c r="C349" i="6"/>
  <c r="D349" i="6"/>
  <c r="E349" i="6"/>
  <c r="C350" i="6"/>
  <c r="D350" i="6"/>
  <c r="E350" i="6"/>
  <c r="C351" i="6"/>
  <c r="D351" i="6"/>
  <c r="E351" i="6"/>
  <c r="C352" i="6"/>
  <c r="D352" i="6"/>
  <c r="E352" i="6"/>
  <c r="C353" i="6"/>
  <c r="D353" i="6"/>
  <c r="E353" i="6"/>
  <c r="C354" i="6"/>
  <c r="D354" i="6"/>
  <c r="E354" i="6"/>
  <c r="C355" i="6"/>
  <c r="D355" i="6"/>
  <c r="E355" i="6"/>
  <c r="C356" i="6"/>
  <c r="D356" i="6"/>
  <c r="E356" i="6"/>
  <c r="C357" i="6"/>
  <c r="D357" i="6"/>
  <c r="E357" i="6"/>
  <c r="C358" i="6"/>
  <c r="D358" i="6"/>
  <c r="E358" i="6"/>
  <c r="C359" i="6"/>
  <c r="D359" i="6"/>
  <c r="E359" i="6"/>
  <c r="C360" i="6"/>
  <c r="D360" i="6"/>
  <c r="E360" i="6"/>
  <c r="C361" i="6"/>
  <c r="D361" i="6"/>
  <c r="E361" i="6"/>
  <c r="C362" i="6"/>
  <c r="D362" i="6"/>
  <c r="E362" i="6"/>
  <c r="C363" i="6"/>
  <c r="D363" i="6"/>
  <c r="E363" i="6"/>
  <c r="C364" i="6"/>
  <c r="D364" i="6"/>
  <c r="E364" i="6"/>
  <c r="C365" i="6"/>
  <c r="D365" i="6"/>
  <c r="E365" i="6"/>
  <c r="C366" i="6"/>
  <c r="D366" i="6"/>
  <c r="E366" i="6"/>
  <c r="C367" i="6"/>
  <c r="D367" i="6"/>
  <c r="E367" i="6"/>
  <c r="C368" i="6"/>
  <c r="D368" i="6"/>
  <c r="E368" i="6"/>
  <c r="C369" i="6"/>
  <c r="D369" i="6"/>
  <c r="E369" i="6"/>
  <c r="C370" i="6"/>
  <c r="D370" i="6"/>
  <c r="E370" i="6"/>
  <c r="C371" i="6"/>
  <c r="D371" i="6"/>
  <c r="E371" i="6"/>
  <c r="C372" i="6"/>
  <c r="D372" i="6"/>
  <c r="E372" i="6"/>
  <c r="C373" i="6"/>
  <c r="D373" i="6"/>
  <c r="E373" i="6"/>
  <c r="C374" i="6"/>
  <c r="D374" i="6"/>
  <c r="E374" i="6"/>
  <c r="C375" i="6"/>
  <c r="D375" i="6"/>
  <c r="E375" i="6"/>
  <c r="C376" i="6"/>
  <c r="D376" i="6"/>
  <c r="E376" i="6"/>
  <c r="C377" i="6"/>
  <c r="D377" i="6"/>
  <c r="E377" i="6"/>
  <c r="C378" i="6"/>
  <c r="D378" i="6"/>
  <c r="E378" i="6"/>
  <c r="C379" i="6"/>
  <c r="D379" i="6"/>
  <c r="E379" i="6"/>
  <c r="C380" i="6"/>
  <c r="D380" i="6"/>
  <c r="E380" i="6"/>
  <c r="C381" i="6"/>
  <c r="D381" i="6"/>
  <c r="E381" i="6"/>
  <c r="C382" i="6"/>
  <c r="D382" i="6"/>
  <c r="E382" i="6"/>
  <c r="C383" i="6"/>
  <c r="D383" i="6"/>
  <c r="E383" i="6"/>
  <c r="C384" i="6"/>
  <c r="D384" i="6"/>
  <c r="E384" i="6"/>
  <c r="C385" i="6"/>
  <c r="D385" i="6"/>
  <c r="E385" i="6"/>
  <c r="C386" i="6"/>
  <c r="D386" i="6"/>
  <c r="E386" i="6"/>
  <c r="C387" i="6"/>
  <c r="D387" i="6"/>
  <c r="E387" i="6"/>
  <c r="C388" i="6"/>
  <c r="D388" i="6"/>
  <c r="E388" i="6"/>
  <c r="C389" i="6"/>
  <c r="D389" i="6"/>
  <c r="E389" i="6"/>
  <c r="C390" i="6"/>
  <c r="D390" i="6"/>
  <c r="E390" i="6"/>
  <c r="C391" i="6"/>
  <c r="D391" i="6"/>
  <c r="E391" i="6"/>
  <c r="C392" i="6"/>
  <c r="D392" i="6"/>
  <c r="E392" i="6"/>
  <c r="C393" i="6"/>
  <c r="D393" i="6"/>
  <c r="E393" i="6"/>
  <c r="C394" i="6"/>
  <c r="D394" i="6"/>
  <c r="E394" i="6"/>
  <c r="C395" i="6"/>
  <c r="D395" i="6"/>
  <c r="E395" i="6"/>
  <c r="C396" i="6"/>
  <c r="D396" i="6"/>
  <c r="E396" i="6"/>
  <c r="C397" i="6"/>
  <c r="D397" i="6"/>
  <c r="E397" i="6"/>
  <c r="C398" i="6"/>
  <c r="D398" i="6"/>
  <c r="E398" i="6"/>
  <c r="C399" i="6"/>
  <c r="D399" i="6"/>
  <c r="E399" i="6"/>
  <c r="C400" i="6"/>
  <c r="D400" i="6"/>
  <c r="E400" i="6"/>
  <c r="C401" i="6"/>
  <c r="D401" i="6"/>
  <c r="E401" i="6"/>
  <c r="C402" i="6"/>
  <c r="D402" i="6"/>
  <c r="E402" i="6"/>
  <c r="C403" i="6"/>
  <c r="D403" i="6"/>
  <c r="E403" i="6"/>
  <c r="C404" i="6"/>
  <c r="D404" i="6"/>
  <c r="E404" i="6"/>
  <c r="C405" i="6"/>
  <c r="D405" i="6"/>
  <c r="E405" i="6"/>
  <c r="C406" i="6"/>
  <c r="D406" i="6"/>
  <c r="E406" i="6"/>
  <c r="C407" i="6"/>
  <c r="D407" i="6"/>
  <c r="E407" i="6"/>
  <c r="C408" i="6"/>
  <c r="D408" i="6"/>
  <c r="E408" i="6"/>
  <c r="C409" i="6"/>
  <c r="D409" i="6"/>
  <c r="E409" i="6"/>
  <c r="C410" i="6"/>
  <c r="D410" i="6"/>
  <c r="E410" i="6"/>
  <c r="C411" i="6"/>
  <c r="D411" i="6"/>
  <c r="E411" i="6"/>
  <c r="C412" i="6"/>
  <c r="D412" i="6"/>
  <c r="E412" i="6"/>
  <c r="C413" i="6"/>
  <c r="D413" i="6"/>
  <c r="E413" i="6"/>
  <c r="C414" i="6"/>
  <c r="D414" i="6"/>
  <c r="E414" i="6"/>
  <c r="C415" i="6"/>
  <c r="D415" i="6"/>
  <c r="E415" i="6"/>
  <c r="C416" i="6"/>
  <c r="D416" i="6"/>
  <c r="E416" i="6"/>
  <c r="C417" i="6"/>
  <c r="D417" i="6"/>
  <c r="E417" i="6"/>
  <c r="C418" i="6"/>
  <c r="D418" i="6"/>
  <c r="E418" i="6"/>
  <c r="C419" i="6"/>
  <c r="D419" i="6"/>
  <c r="E419" i="6"/>
  <c r="C420" i="6"/>
  <c r="D420" i="6"/>
  <c r="E420" i="6"/>
  <c r="C421" i="6"/>
  <c r="D421" i="6"/>
  <c r="E421" i="6"/>
  <c r="C422" i="6"/>
  <c r="D422" i="6"/>
  <c r="E422" i="6"/>
  <c r="C423" i="6"/>
  <c r="D423" i="6"/>
  <c r="E423" i="6"/>
  <c r="C424" i="6"/>
  <c r="D424" i="6"/>
  <c r="E424" i="6"/>
  <c r="C425" i="6"/>
  <c r="D425" i="6"/>
  <c r="E425" i="6"/>
  <c r="C426" i="6"/>
  <c r="D426" i="6"/>
  <c r="E426" i="6"/>
  <c r="C427" i="6"/>
  <c r="D427" i="6"/>
  <c r="E427" i="6"/>
  <c r="C428" i="6"/>
  <c r="D428" i="6"/>
  <c r="E428" i="6"/>
  <c r="C429" i="6"/>
  <c r="D429" i="6"/>
  <c r="E429" i="6"/>
  <c r="C430" i="6"/>
  <c r="D430" i="6"/>
  <c r="E430" i="6"/>
  <c r="C431" i="6"/>
  <c r="D431" i="6"/>
  <c r="E431" i="6"/>
  <c r="C432" i="6"/>
  <c r="D432" i="6"/>
  <c r="E432" i="6"/>
  <c r="C433" i="6"/>
  <c r="D433" i="6"/>
  <c r="E433" i="6"/>
  <c r="C434" i="6"/>
  <c r="D434" i="6"/>
  <c r="E434" i="6"/>
  <c r="C435" i="6"/>
  <c r="D435" i="6"/>
  <c r="E435" i="6"/>
  <c r="C436" i="6"/>
  <c r="D436" i="6"/>
  <c r="E436" i="6"/>
  <c r="C437" i="6"/>
  <c r="D437" i="6"/>
  <c r="E437" i="6"/>
  <c r="C438" i="6"/>
  <c r="D438" i="6"/>
  <c r="E438" i="6"/>
  <c r="C439" i="6"/>
  <c r="D439" i="6"/>
  <c r="E439" i="6"/>
  <c r="C440" i="6"/>
  <c r="D440" i="6"/>
  <c r="E440" i="6"/>
  <c r="C441" i="6"/>
  <c r="D441" i="6"/>
  <c r="E441" i="6"/>
  <c r="C442" i="6"/>
  <c r="D442" i="6"/>
  <c r="E442" i="6"/>
  <c r="C443" i="6"/>
  <c r="D443" i="6"/>
  <c r="E443" i="6"/>
  <c r="C444" i="6"/>
  <c r="D444" i="6"/>
  <c r="E444" i="6"/>
  <c r="C445" i="6"/>
  <c r="D445" i="6"/>
  <c r="E445" i="6"/>
  <c r="C446" i="6"/>
  <c r="D446" i="6"/>
  <c r="E446" i="6"/>
  <c r="C447" i="6"/>
  <c r="D447" i="6"/>
  <c r="E447" i="6"/>
  <c r="C448" i="6"/>
  <c r="D448" i="6"/>
  <c r="E448" i="6"/>
  <c r="C449" i="6"/>
  <c r="D449" i="6"/>
  <c r="E449" i="6"/>
  <c r="C450" i="6"/>
  <c r="D450" i="6"/>
  <c r="E450" i="6"/>
  <c r="C451" i="6"/>
  <c r="D451" i="6"/>
  <c r="E451" i="6"/>
  <c r="C452" i="6"/>
  <c r="D452" i="6"/>
  <c r="E452" i="6"/>
  <c r="C453" i="6"/>
  <c r="D453" i="6"/>
  <c r="E453" i="6"/>
  <c r="C454" i="6"/>
  <c r="D454" i="6"/>
  <c r="E454" i="6"/>
  <c r="C455" i="6"/>
  <c r="D455" i="6"/>
  <c r="E455" i="6"/>
  <c r="C456" i="6"/>
  <c r="D456" i="6"/>
  <c r="E456" i="6"/>
  <c r="C457" i="6"/>
  <c r="D457" i="6"/>
  <c r="E457" i="6"/>
  <c r="C458" i="6"/>
  <c r="D458" i="6"/>
  <c r="E458" i="6"/>
  <c r="C459" i="6"/>
  <c r="D459" i="6"/>
  <c r="E459" i="6"/>
  <c r="C460" i="6"/>
  <c r="D460" i="6"/>
  <c r="E460" i="6"/>
  <c r="C461" i="6"/>
  <c r="D461" i="6"/>
  <c r="E461" i="6"/>
  <c r="C462" i="6"/>
  <c r="D462" i="6"/>
  <c r="E462" i="6"/>
  <c r="C463" i="6"/>
  <c r="D463" i="6"/>
  <c r="E463" i="6"/>
  <c r="C464" i="6"/>
  <c r="D464" i="6"/>
  <c r="E464" i="6"/>
  <c r="C465" i="6"/>
  <c r="D465" i="6"/>
  <c r="E465" i="6"/>
  <c r="C466" i="6"/>
  <c r="D466" i="6"/>
  <c r="E466" i="6"/>
  <c r="C467" i="6"/>
  <c r="D467" i="6"/>
  <c r="E467" i="6"/>
  <c r="C468" i="6"/>
  <c r="D468" i="6"/>
  <c r="E468" i="6"/>
  <c r="C469" i="6"/>
  <c r="D469" i="6"/>
  <c r="E469" i="6"/>
  <c r="C470" i="6"/>
  <c r="D470" i="6"/>
  <c r="E470" i="6"/>
  <c r="C471" i="6"/>
  <c r="D471" i="6"/>
  <c r="E471" i="6"/>
  <c r="C472" i="6"/>
  <c r="D472" i="6"/>
  <c r="E472" i="6"/>
  <c r="C473" i="6"/>
  <c r="D473" i="6"/>
  <c r="E473" i="6"/>
  <c r="C474" i="6"/>
  <c r="D474" i="6"/>
  <c r="E474" i="6"/>
  <c r="C475" i="6"/>
  <c r="D475" i="6"/>
  <c r="E475" i="6"/>
  <c r="C476" i="6"/>
  <c r="D476" i="6"/>
  <c r="E476" i="6"/>
  <c r="C477" i="6"/>
  <c r="D477" i="6"/>
  <c r="E477" i="6"/>
  <c r="C478" i="6"/>
  <c r="D478" i="6"/>
  <c r="E478" i="6"/>
  <c r="C479" i="6"/>
  <c r="D479" i="6"/>
  <c r="E479" i="6"/>
  <c r="C480" i="6"/>
  <c r="D480" i="6"/>
  <c r="E480" i="6"/>
  <c r="C481" i="6"/>
  <c r="D481" i="6"/>
  <c r="E481" i="6"/>
  <c r="C482" i="6"/>
  <c r="D482" i="6"/>
  <c r="E482" i="6"/>
  <c r="C483" i="6"/>
  <c r="D483" i="6"/>
  <c r="E483" i="6"/>
  <c r="C484" i="6"/>
  <c r="D484" i="6"/>
  <c r="E484" i="6"/>
  <c r="C485" i="6"/>
  <c r="D485" i="6"/>
  <c r="E485" i="6"/>
  <c r="C486" i="6"/>
  <c r="D486" i="6"/>
  <c r="E486" i="6"/>
  <c r="C487" i="6"/>
  <c r="D487" i="6"/>
  <c r="E487" i="6"/>
  <c r="C488" i="6"/>
  <c r="D488" i="6"/>
  <c r="E488" i="6"/>
  <c r="C489" i="6"/>
  <c r="D489" i="6"/>
  <c r="E489" i="6"/>
  <c r="C490" i="6"/>
  <c r="D490" i="6"/>
  <c r="E490" i="6"/>
  <c r="C491" i="6"/>
  <c r="D491" i="6"/>
  <c r="E491" i="6"/>
  <c r="C492" i="6"/>
  <c r="D492" i="6"/>
  <c r="E492" i="6"/>
  <c r="C493" i="6"/>
  <c r="D493" i="6"/>
  <c r="E493" i="6"/>
  <c r="C494" i="6"/>
  <c r="D494" i="6"/>
  <c r="E494" i="6"/>
  <c r="C495" i="6"/>
  <c r="D495" i="6"/>
  <c r="E495" i="6"/>
  <c r="C496" i="6"/>
  <c r="D496" i="6"/>
  <c r="E496" i="6"/>
  <c r="C497" i="6"/>
  <c r="D497" i="6"/>
  <c r="E497" i="6"/>
  <c r="C498" i="6"/>
  <c r="D498" i="6"/>
  <c r="E498" i="6"/>
  <c r="C499" i="6"/>
  <c r="D499" i="6"/>
  <c r="E499" i="6"/>
  <c r="C500" i="6"/>
  <c r="D500" i="6"/>
  <c r="E500" i="6"/>
  <c r="C501" i="6"/>
  <c r="D501" i="6"/>
  <c r="E501" i="6"/>
  <c r="C502" i="6"/>
  <c r="D502" i="6"/>
  <c r="E502" i="6"/>
  <c r="C503" i="6"/>
  <c r="D503" i="6"/>
  <c r="E503" i="6"/>
  <c r="C504" i="6"/>
  <c r="D504" i="6"/>
  <c r="E504" i="6"/>
  <c r="C505" i="6"/>
  <c r="D505" i="6"/>
  <c r="E505" i="6"/>
  <c r="C506" i="6"/>
  <c r="D506" i="6"/>
  <c r="E506" i="6"/>
  <c r="C507" i="6"/>
  <c r="D507" i="6"/>
  <c r="E507" i="6"/>
  <c r="C508" i="6"/>
  <c r="D508" i="6"/>
  <c r="E508" i="6"/>
  <c r="C509" i="6"/>
  <c r="D509" i="6"/>
  <c r="E509" i="6"/>
  <c r="C510" i="6"/>
  <c r="D510" i="6"/>
  <c r="E510" i="6"/>
  <c r="C511" i="6"/>
  <c r="D511" i="6"/>
  <c r="E511" i="6"/>
  <c r="C512" i="6"/>
  <c r="D512" i="6"/>
  <c r="E512" i="6"/>
  <c r="C513" i="6"/>
  <c r="D513" i="6"/>
  <c r="E513" i="6"/>
  <c r="C514" i="6"/>
  <c r="D514" i="6"/>
  <c r="E514" i="6"/>
  <c r="C515" i="6"/>
  <c r="D515" i="6"/>
  <c r="E515" i="6"/>
  <c r="C516" i="6"/>
  <c r="D516" i="6"/>
  <c r="E516" i="6"/>
  <c r="C517" i="6"/>
  <c r="D517" i="6"/>
  <c r="E517" i="6"/>
  <c r="C518" i="6"/>
  <c r="D518" i="6"/>
  <c r="E518" i="6"/>
  <c r="C519" i="6"/>
  <c r="D519" i="6"/>
  <c r="E519" i="6"/>
  <c r="C520" i="6"/>
  <c r="D520" i="6"/>
  <c r="E520" i="6"/>
  <c r="C521" i="6"/>
  <c r="D521" i="6"/>
  <c r="E521" i="6"/>
  <c r="C522" i="6"/>
  <c r="D522" i="6"/>
  <c r="E522" i="6"/>
  <c r="C523" i="6"/>
  <c r="D523" i="6"/>
  <c r="E523" i="6"/>
  <c r="C524" i="6"/>
  <c r="D524" i="6"/>
  <c r="E524" i="6"/>
  <c r="C525" i="6"/>
  <c r="D525" i="6"/>
  <c r="E525" i="6"/>
  <c r="C526" i="6"/>
  <c r="D526" i="6"/>
  <c r="E526" i="6"/>
  <c r="C527" i="6"/>
  <c r="D527" i="6"/>
  <c r="E527" i="6"/>
  <c r="C528" i="6"/>
  <c r="D528" i="6"/>
  <c r="E528" i="6"/>
  <c r="C529" i="6"/>
  <c r="D529" i="6"/>
  <c r="E529" i="6"/>
  <c r="C530" i="6"/>
  <c r="D530" i="6"/>
  <c r="E530" i="6"/>
  <c r="C531" i="6"/>
  <c r="D531" i="6"/>
  <c r="E531" i="6"/>
  <c r="C532" i="6"/>
  <c r="D532" i="6"/>
  <c r="E532" i="6"/>
  <c r="C533" i="6"/>
  <c r="D533" i="6"/>
  <c r="E533" i="6"/>
  <c r="C534" i="6"/>
  <c r="D534" i="6"/>
  <c r="E534" i="6"/>
  <c r="C535" i="6"/>
  <c r="D535" i="6"/>
  <c r="E535" i="6"/>
  <c r="C536" i="6"/>
  <c r="D536" i="6"/>
  <c r="E536" i="6"/>
  <c r="C537" i="6"/>
  <c r="D537" i="6"/>
  <c r="E537" i="6"/>
  <c r="C538" i="6"/>
  <c r="D538" i="6"/>
  <c r="E538" i="6"/>
  <c r="C539" i="6"/>
  <c r="D539" i="6"/>
  <c r="E539" i="6"/>
  <c r="C540" i="6"/>
  <c r="D540" i="6"/>
  <c r="E540" i="6"/>
  <c r="C541" i="6"/>
  <c r="D541" i="6"/>
  <c r="E541" i="6"/>
  <c r="C542" i="6"/>
  <c r="D542" i="6"/>
  <c r="E542" i="6"/>
  <c r="C543" i="6"/>
  <c r="D543" i="6"/>
  <c r="E543" i="6"/>
  <c r="C544" i="6"/>
  <c r="D544" i="6"/>
  <c r="E544" i="6"/>
  <c r="C545" i="6"/>
  <c r="D545" i="6"/>
  <c r="E545" i="6"/>
  <c r="C546" i="6"/>
  <c r="D546" i="6"/>
  <c r="E546" i="6"/>
  <c r="C547" i="6"/>
  <c r="D547" i="6"/>
  <c r="E547" i="6"/>
  <c r="C548" i="6"/>
  <c r="D548" i="6"/>
  <c r="E548" i="6"/>
  <c r="C549" i="6"/>
  <c r="D549" i="6"/>
  <c r="E549" i="6"/>
  <c r="C550" i="6"/>
  <c r="D550" i="6"/>
  <c r="E550" i="6"/>
  <c r="C551" i="6"/>
  <c r="D551" i="6"/>
  <c r="E551" i="6"/>
  <c r="C552" i="6"/>
  <c r="D552" i="6"/>
  <c r="E552" i="6"/>
  <c r="C553" i="6"/>
  <c r="D553" i="6"/>
  <c r="E553" i="6"/>
  <c r="C554" i="6"/>
  <c r="D554" i="6"/>
  <c r="E554" i="6"/>
  <c r="C555" i="6"/>
  <c r="D555" i="6"/>
  <c r="E555" i="6"/>
  <c r="C556" i="6"/>
  <c r="D556" i="6"/>
  <c r="E556" i="6"/>
  <c r="C557" i="6"/>
  <c r="D557" i="6"/>
  <c r="E557" i="6"/>
  <c r="C558" i="6"/>
  <c r="D558" i="6"/>
  <c r="E558" i="6"/>
  <c r="C559" i="6"/>
  <c r="D559" i="6"/>
  <c r="E559" i="6"/>
  <c r="C560" i="6"/>
  <c r="D560" i="6"/>
  <c r="E560" i="6"/>
  <c r="C561" i="6"/>
  <c r="D561" i="6"/>
  <c r="E561" i="6"/>
  <c r="C562" i="6"/>
  <c r="D562" i="6"/>
  <c r="E562" i="6"/>
  <c r="C563" i="6"/>
  <c r="D563" i="6"/>
  <c r="E563" i="6"/>
  <c r="C564" i="6"/>
  <c r="D564" i="6"/>
  <c r="E564" i="6"/>
  <c r="C565" i="6"/>
  <c r="D565" i="6"/>
  <c r="E565" i="6"/>
  <c r="C566" i="6"/>
  <c r="D566" i="6"/>
  <c r="E566" i="6"/>
  <c r="C567" i="6"/>
  <c r="D567" i="6"/>
  <c r="E567" i="6"/>
  <c r="C568" i="6"/>
  <c r="D568" i="6"/>
  <c r="E568" i="6"/>
  <c r="C569" i="6"/>
  <c r="D569" i="6"/>
  <c r="E569" i="6"/>
  <c r="C570" i="6"/>
  <c r="D570" i="6"/>
  <c r="E570" i="6"/>
  <c r="C571" i="6"/>
  <c r="D571" i="6"/>
  <c r="E571" i="6"/>
  <c r="C572" i="6"/>
  <c r="D572" i="6"/>
  <c r="E572" i="6"/>
  <c r="C573" i="6"/>
  <c r="D573" i="6"/>
  <c r="E573" i="6"/>
  <c r="C574" i="6"/>
  <c r="D574" i="6"/>
  <c r="E574" i="6"/>
  <c r="C575" i="6"/>
  <c r="D575" i="6"/>
  <c r="E575" i="6"/>
  <c r="C576" i="6"/>
  <c r="D576" i="6"/>
  <c r="E576" i="6"/>
  <c r="C577" i="6"/>
  <c r="D577" i="6"/>
  <c r="E577" i="6"/>
  <c r="C578" i="6"/>
  <c r="D578" i="6"/>
  <c r="E578" i="6"/>
  <c r="C579" i="6"/>
  <c r="D579" i="6"/>
  <c r="E579" i="6"/>
  <c r="C580" i="6"/>
  <c r="D580" i="6"/>
  <c r="E580" i="6"/>
  <c r="C581" i="6"/>
  <c r="D581" i="6"/>
  <c r="E581" i="6"/>
  <c r="C582" i="6"/>
  <c r="D582" i="6"/>
  <c r="E582" i="6"/>
  <c r="C583" i="6"/>
  <c r="D583" i="6"/>
  <c r="E583" i="6"/>
  <c r="C584" i="6"/>
  <c r="D584" i="6"/>
  <c r="E584" i="6"/>
  <c r="C585" i="6"/>
  <c r="D585" i="6"/>
  <c r="E585" i="6"/>
  <c r="C586" i="6"/>
  <c r="D586" i="6"/>
  <c r="E586" i="6"/>
  <c r="C587" i="6"/>
  <c r="D587" i="6"/>
  <c r="E587" i="6"/>
  <c r="C588" i="6"/>
  <c r="D588" i="6"/>
  <c r="E588" i="6"/>
  <c r="C589" i="6"/>
  <c r="D589" i="6"/>
  <c r="E589" i="6"/>
  <c r="C590" i="6"/>
  <c r="D590" i="6"/>
  <c r="E590" i="6"/>
  <c r="C591" i="6"/>
  <c r="D591" i="6"/>
  <c r="E591" i="6"/>
  <c r="C592" i="6"/>
  <c r="D592" i="6"/>
  <c r="E592" i="6"/>
  <c r="C593" i="6"/>
  <c r="D593" i="6"/>
  <c r="E593" i="6"/>
  <c r="C594" i="6"/>
  <c r="D594" i="6"/>
  <c r="E594" i="6"/>
  <c r="C595" i="6"/>
  <c r="D595" i="6"/>
  <c r="E595" i="6"/>
  <c r="C596" i="6"/>
  <c r="D596" i="6"/>
  <c r="E596" i="6"/>
  <c r="C597" i="6"/>
  <c r="D597" i="6"/>
  <c r="E597" i="6"/>
  <c r="C598" i="6"/>
  <c r="D598" i="6"/>
  <c r="E598" i="6"/>
  <c r="C599" i="6"/>
  <c r="D599" i="6"/>
  <c r="E599" i="6"/>
  <c r="C600" i="6"/>
  <c r="D600" i="6"/>
  <c r="E600" i="6"/>
  <c r="C601" i="6"/>
  <c r="D601" i="6"/>
  <c r="E601" i="6"/>
  <c r="C602" i="6"/>
  <c r="D602" i="6"/>
  <c r="E602" i="6"/>
  <c r="C603" i="6"/>
  <c r="D603" i="6"/>
  <c r="E603" i="6"/>
  <c r="C604" i="6"/>
  <c r="D604" i="6"/>
  <c r="E604" i="6"/>
  <c r="C605" i="6"/>
  <c r="D605" i="6"/>
  <c r="E605" i="6"/>
  <c r="C606" i="6"/>
  <c r="D606" i="6"/>
  <c r="E606" i="6"/>
  <c r="C607" i="6"/>
  <c r="D607" i="6"/>
  <c r="E607" i="6"/>
  <c r="C608" i="6"/>
  <c r="D608" i="6"/>
  <c r="E608" i="6"/>
  <c r="C609" i="6"/>
  <c r="D609" i="6"/>
  <c r="E609" i="6"/>
  <c r="C610" i="6"/>
  <c r="D610" i="6"/>
  <c r="E610" i="6"/>
  <c r="C611" i="6"/>
  <c r="D611" i="6"/>
  <c r="E611" i="6"/>
  <c r="C612" i="6"/>
  <c r="D612" i="6"/>
  <c r="E612" i="6"/>
  <c r="C613" i="6"/>
  <c r="D613" i="6"/>
  <c r="E613" i="6"/>
  <c r="C614" i="6"/>
  <c r="D614" i="6"/>
  <c r="E614" i="6"/>
  <c r="C615" i="6"/>
  <c r="D615" i="6"/>
  <c r="E615" i="6"/>
  <c r="C616" i="6"/>
  <c r="D616" i="6"/>
  <c r="E616" i="6"/>
  <c r="C617" i="6"/>
  <c r="D617" i="6"/>
  <c r="E617" i="6"/>
  <c r="C618" i="6"/>
  <c r="D618" i="6"/>
  <c r="E618" i="6"/>
  <c r="C619" i="6"/>
  <c r="D619" i="6"/>
  <c r="E619" i="6"/>
  <c r="C620" i="6"/>
  <c r="D620" i="6"/>
  <c r="E620" i="6"/>
  <c r="C621" i="6"/>
  <c r="D621" i="6"/>
  <c r="E621" i="6"/>
  <c r="C622" i="6"/>
  <c r="D622" i="6"/>
  <c r="E622" i="6"/>
  <c r="C623" i="6"/>
  <c r="D623" i="6"/>
  <c r="E623" i="6"/>
  <c r="C624" i="6"/>
  <c r="D624" i="6"/>
  <c r="E624" i="6"/>
  <c r="C625" i="6"/>
  <c r="D625" i="6"/>
  <c r="E625" i="6"/>
  <c r="C626" i="6"/>
  <c r="D626" i="6"/>
  <c r="E626" i="6"/>
  <c r="C627" i="6"/>
  <c r="D627" i="6"/>
  <c r="E627" i="6"/>
  <c r="C628" i="6"/>
  <c r="D628" i="6"/>
  <c r="E628" i="6"/>
  <c r="C629" i="6"/>
  <c r="D629" i="6"/>
  <c r="E629" i="6"/>
  <c r="C630" i="6"/>
  <c r="D630" i="6"/>
  <c r="E630" i="6"/>
  <c r="C631" i="6"/>
  <c r="D631" i="6"/>
  <c r="E631" i="6"/>
  <c r="C632" i="6"/>
  <c r="D632" i="6"/>
  <c r="E632" i="6"/>
  <c r="C633" i="6"/>
  <c r="D633" i="6"/>
  <c r="E633" i="6"/>
  <c r="C634" i="6"/>
  <c r="D634" i="6"/>
  <c r="E634" i="6"/>
  <c r="C635" i="6"/>
  <c r="D635" i="6"/>
  <c r="E635" i="6"/>
  <c r="C636" i="6"/>
  <c r="D636" i="6"/>
  <c r="E636" i="6"/>
  <c r="C637" i="6"/>
  <c r="D637" i="6"/>
  <c r="E637" i="6"/>
  <c r="C638" i="6"/>
  <c r="D638" i="6"/>
  <c r="E638" i="6"/>
  <c r="C639" i="6"/>
  <c r="D639" i="6"/>
  <c r="E639" i="6"/>
  <c r="C640" i="6"/>
  <c r="D640" i="6"/>
  <c r="E640" i="6"/>
  <c r="C641" i="6"/>
  <c r="D641" i="6"/>
  <c r="E641" i="6"/>
  <c r="C642" i="6"/>
  <c r="D642" i="6"/>
  <c r="E642" i="6"/>
  <c r="C643" i="6"/>
  <c r="D643" i="6"/>
  <c r="E643" i="6"/>
  <c r="C644" i="6"/>
  <c r="D644" i="6"/>
  <c r="E644" i="6"/>
  <c r="C645" i="6"/>
  <c r="D645" i="6"/>
  <c r="E645" i="6"/>
  <c r="C646" i="6"/>
  <c r="D646" i="6"/>
  <c r="E646" i="6"/>
  <c r="C647" i="6"/>
  <c r="D647" i="6"/>
  <c r="E647" i="6"/>
  <c r="C648" i="6"/>
  <c r="D648" i="6"/>
  <c r="E648" i="6"/>
  <c r="C649" i="6"/>
  <c r="D649" i="6"/>
  <c r="E649" i="6"/>
  <c r="C650" i="6"/>
  <c r="D650" i="6"/>
  <c r="E650" i="6"/>
  <c r="C651" i="6"/>
  <c r="D651" i="6"/>
  <c r="E651" i="6"/>
  <c r="C652" i="6"/>
  <c r="D652" i="6"/>
  <c r="E652" i="6"/>
  <c r="C653" i="6"/>
  <c r="D653" i="6"/>
  <c r="E653" i="6"/>
  <c r="C654" i="6"/>
  <c r="D654" i="6"/>
  <c r="E654" i="6"/>
  <c r="C655" i="6"/>
  <c r="D655" i="6"/>
  <c r="E655" i="6"/>
  <c r="C656" i="6"/>
  <c r="D656" i="6"/>
  <c r="E656" i="6"/>
  <c r="C657" i="6"/>
  <c r="D657" i="6"/>
  <c r="E657" i="6"/>
  <c r="C658" i="6"/>
  <c r="D658" i="6"/>
  <c r="E658" i="6"/>
  <c r="C659" i="6"/>
  <c r="D659" i="6"/>
  <c r="E659" i="6"/>
  <c r="C660" i="6"/>
  <c r="D660" i="6"/>
  <c r="E660" i="6"/>
  <c r="C661" i="6"/>
  <c r="D661" i="6"/>
  <c r="E661" i="6"/>
  <c r="C662" i="6"/>
  <c r="D662" i="6"/>
  <c r="E662" i="6"/>
  <c r="C663" i="6"/>
  <c r="D663" i="6"/>
  <c r="E663" i="6"/>
  <c r="C664" i="6"/>
  <c r="D664" i="6"/>
  <c r="E664" i="6"/>
  <c r="C665" i="6"/>
  <c r="D665" i="6"/>
  <c r="E665" i="6"/>
  <c r="C666" i="6"/>
  <c r="D666" i="6"/>
  <c r="E666" i="6"/>
  <c r="C667" i="6"/>
  <c r="D667" i="6"/>
  <c r="E667" i="6"/>
  <c r="C668" i="6"/>
  <c r="D668" i="6"/>
  <c r="E668" i="6"/>
  <c r="C669" i="6"/>
  <c r="D669" i="6"/>
  <c r="E669" i="6"/>
  <c r="C670" i="6"/>
  <c r="D670" i="6"/>
  <c r="E670" i="6"/>
  <c r="C671" i="6"/>
  <c r="D671" i="6"/>
  <c r="E671" i="6"/>
  <c r="C672" i="6"/>
  <c r="D672" i="6"/>
  <c r="E672" i="6"/>
  <c r="C673" i="6"/>
  <c r="D673" i="6"/>
  <c r="E673" i="6"/>
  <c r="C674" i="6"/>
  <c r="D674" i="6"/>
  <c r="E674" i="6"/>
  <c r="C675" i="6"/>
  <c r="D675" i="6"/>
  <c r="E675" i="6"/>
  <c r="C676" i="6"/>
  <c r="D676" i="6"/>
  <c r="E676" i="6"/>
  <c r="C677" i="6"/>
  <c r="D677" i="6"/>
  <c r="E677" i="6"/>
  <c r="C678" i="6"/>
  <c r="D678" i="6"/>
  <c r="E678" i="6"/>
  <c r="C679" i="6"/>
  <c r="D679" i="6"/>
  <c r="E679" i="6"/>
  <c r="C680" i="6"/>
  <c r="D680" i="6"/>
  <c r="E680" i="6"/>
  <c r="C681" i="6"/>
  <c r="D681" i="6"/>
  <c r="E681" i="6"/>
  <c r="C682" i="6"/>
  <c r="D682" i="6"/>
  <c r="E682" i="6"/>
  <c r="C683" i="6"/>
  <c r="D683" i="6"/>
  <c r="E683" i="6"/>
  <c r="C684" i="6"/>
  <c r="D684" i="6"/>
  <c r="E684" i="6"/>
  <c r="C685" i="6"/>
  <c r="D685" i="6"/>
  <c r="E685" i="6"/>
  <c r="C686" i="6"/>
  <c r="D686" i="6"/>
  <c r="E686" i="6"/>
  <c r="C687" i="6"/>
  <c r="D687" i="6"/>
  <c r="E687" i="6"/>
  <c r="C688" i="6"/>
  <c r="D688" i="6"/>
  <c r="E688" i="6"/>
  <c r="C689" i="6"/>
  <c r="D689" i="6"/>
  <c r="E689" i="6"/>
  <c r="C690" i="6"/>
  <c r="D690" i="6"/>
  <c r="E690" i="6"/>
  <c r="C691" i="6"/>
  <c r="D691" i="6"/>
  <c r="E691" i="6"/>
  <c r="C692" i="6"/>
  <c r="D692" i="6"/>
  <c r="E692" i="6"/>
  <c r="C693" i="6"/>
  <c r="D693" i="6"/>
  <c r="E693" i="6"/>
  <c r="C694" i="6"/>
  <c r="D694" i="6"/>
  <c r="E694" i="6"/>
  <c r="C695" i="6"/>
  <c r="D695" i="6"/>
  <c r="E695" i="6"/>
  <c r="C696" i="6"/>
  <c r="D696" i="6"/>
  <c r="E696" i="6"/>
  <c r="C697" i="6"/>
  <c r="D697" i="6"/>
  <c r="E697" i="6"/>
  <c r="C698" i="6"/>
  <c r="D698" i="6"/>
  <c r="E698" i="6"/>
  <c r="C699" i="6"/>
  <c r="D699" i="6"/>
  <c r="E699" i="6"/>
  <c r="C700" i="6"/>
  <c r="D700" i="6"/>
  <c r="E700" i="6"/>
  <c r="C701" i="6"/>
  <c r="D701" i="6"/>
  <c r="E701" i="6"/>
  <c r="C702" i="6"/>
  <c r="D702" i="6"/>
  <c r="E702" i="6"/>
  <c r="C703" i="6"/>
  <c r="D703" i="6"/>
  <c r="E703" i="6"/>
  <c r="C704" i="6"/>
  <c r="D704" i="6"/>
  <c r="E704" i="6"/>
  <c r="C705" i="6"/>
  <c r="D705" i="6"/>
  <c r="E705" i="6"/>
  <c r="C706" i="6"/>
  <c r="D706" i="6"/>
  <c r="E706" i="6"/>
  <c r="C707" i="6"/>
  <c r="D707" i="6"/>
  <c r="E707" i="6"/>
  <c r="C708" i="6"/>
  <c r="D708" i="6"/>
  <c r="E708" i="6"/>
  <c r="C709" i="6"/>
  <c r="D709" i="6"/>
  <c r="E709" i="6"/>
  <c r="C710" i="6"/>
  <c r="D710" i="6"/>
  <c r="E710" i="6"/>
  <c r="C711" i="6"/>
  <c r="D711" i="6"/>
  <c r="E711" i="6"/>
  <c r="C712" i="6"/>
  <c r="D712" i="6"/>
  <c r="E712" i="6"/>
  <c r="C713" i="6"/>
  <c r="D713" i="6"/>
  <c r="E713" i="6"/>
  <c r="C714" i="6"/>
  <c r="D714" i="6"/>
  <c r="E714" i="6"/>
  <c r="C715" i="6"/>
  <c r="D715" i="6"/>
  <c r="E715" i="6"/>
  <c r="C716" i="6"/>
  <c r="D716" i="6"/>
  <c r="E716" i="6"/>
  <c r="C717" i="6"/>
  <c r="D717" i="6"/>
  <c r="E717" i="6"/>
  <c r="C718" i="6"/>
  <c r="D718" i="6"/>
  <c r="E718" i="6"/>
  <c r="C719" i="6"/>
  <c r="D719" i="6"/>
  <c r="E719" i="6"/>
  <c r="C720" i="6"/>
  <c r="D720" i="6"/>
  <c r="E720" i="6"/>
  <c r="C721" i="6"/>
  <c r="D721" i="6"/>
  <c r="E721" i="6"/>
  <c r="C722" i="6"/>
  <c r="D722" i="6"/>
  <c r="E722" i="6"/>
  <c r="C723" i="6"/>
  <c r="D723" i="6"/>
  <c r="E723" i="6"/>
  <c r="C724" i="6"/>
  <c r="D724" i="6"/>
  <c r="E724" i="6"/>
  <c r="C725" i="6"/>
  <c r="D725" i="6"/>
  <c r="E725" i="6"/>
  <c r="C726" i="6"/>
  <c r="D726" i="6"/>
  <c r="E726" i="6"/>
  <c r="C727" i="6"/>
  <c r="D727" i="6"/>
  <c r="E727" i="6"/>
  <c r="C728" i="6"/>
  <c r="D728" i="6"/>
  <c r="E728" i="6"/>
  <c r="C729" i="6"/>
  <c r="D729" i="6"/>
  <c r="E729" i="6"/>
  <c r="C730" i="6"/>
  <c r="D730" i="6"/>
  <c r="E730" i="6"/>
  <c r="C731" i="6"/>
  <c r="D731" i="6"/>
  <c r="E731" i="6"/>
  <c r="C732" i="6"/>
  <c r="D732" i="6"/>
  <c r="E732" i="6"/>
  <c r="C733" i="6"/>
  <c r="D733" i="6"/>
  <c r="E733" i="6"/>
  <c r="C734" i="6"/>
  <c r="D734" i="6"/>
  <c r="E734" i="6"/>
  <c r="C735" i="6"/>
  <c r="D735" i="6"/>
  <c r="E735" i="6"/>
  <c r="C736" i="6"/>
  <c r="D736" i="6"/>
  <c r="E736" i="6"/>
  <c r="C737" i="6"/>
  <c r="D737" i="6"/>
  <c r="E737" i="6"/>
  <c r="C738" i="6"/>
  <c r="D738" i="6"/>
  <c r="E738" i="6"/>
  <c r="C739" i="6"/>
  <c r="D739" i="6"/>
  <c r="E739" i="6"/>
  <c r="C740" i="6"/>
  <c r="D740" i="6"/>
  <c r="E740" i="6"/>
  <c r="C741" i="6"/>
  <c r="D741" i="6"/>
  <c r="E741" i="6"/>
  <c r="C742" i="6"/>
  <c r="D742" i="6"/>
  <c r="E742" i="6"/>
  <c r="C743" i="6"/>
  <c r="D743" i="6"/>
  <c r="E743" i="6"/>
  <c r="C744" i="6"/>
  <c r="D744" i="6"/>
  <c r="E744" i="6"/>
  <c r="C745" i="6"/>
  <c r="D745" i="6"/>
  <c r="E745" i="6"/>
  <c r="C746" i="6"/>
  <c r="D746" i="6"/>
  <c r="E746" i="6"/>
  <c r="C747" i="6"/>
  <c r="D747" i="6"/>
  <c r="E747" i="6"/>
  <c r="C748" i="6"/>
  <c r="D748" i="6"/>
  <c r="E748" i="6"/>
  <c r="E325" i="6"/>
  <c r="D325" i="6"/>
  <c r="C325" i="6"/>
  <c r="D19" i="6"/>
  <c r="D18" i="6"/>
  <c r="D17" i="6"/>
  <c r="D7" i="6"/>
  <c r="D6" i="6"/>
  <c r="D5" i="6"/>
  <c r="C1051" i="6" l="1" a="1"/>
  <c r="G1051" i="6"/>
  <c r="D1051" i="6" s="1" a="1"/>
  <c r="G1052" i="6"/>
  <c r="D1052" i="6" s="1" a="1"/>
  <c r="C1052" i="6" a="1"/>
  <c r="C1053" i="6" a="1"/>
  <c r="G1053" i="6"/>
  <c r="D1053" i="6" s="1" a="1"/>
  <c r="G1054" i="6"/>
  <c r="D1054" i="6" s="1" a="1"/>
  <c r="C1054" i="6" a="1"/>
  <c r="C1055" i="6" a="1"/>
  <c r="G1055" i="6"/>
  <c r="D1055" i="6" s="1" a="1"/>
  <c r="E749" i="6"/>
  <c r="D749" i="6"/>
  <c r="C74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<sst xmlns="http://schemas.openxmlformats.org/spreadsheetml/2006/main" count="10497" uniqueCount="1435">
  <si>
    <t>Date</t>
  </si>
  <si>
    <t>HS Code</t>
  </si>
  <si>
    <t>Product Description</t>
  </si>
  <si>
    <t>Shipper Name</t>
  </si>
  <si>
    <t>Consignee Name</t>
  </si>
  <si>
    <t>Standard Qty</t>
  </si>
  <si>
    <t>Standard Unit</t>
  </si>
  <si>
    <t>Standard Unit Rate $</t>
  </si>
  <si>
    <t>Estimated  F.O.B Value $</t>
  </si>
  <si>
    <t>Estimated Unit Rate $</t>
  </si>
  <si>
    <t>Port of Destination</t>
  </si>
  <si>
    <t>Country of Destination</t>
  </si>
  <si>
    <t>Port of Origin</t>
  </si>
  <si>
    <t>Shipment mode</t>
  </si>
  <si>
    <t>QTY</t>
  </si>
  <si>
    <t>Unit</t>
  </si>
  <si>
    <t>Value in FC</t>
  </si>
  <si>
    <t>Rate In FC</t>
  </si>
  <si>
    <t>Rate Currency</t>
  </si>
  <si>
    <t>HS Description</t>
  </si>
  <si>
    <t>HS2</t>
  </si>
  <si>
    <t>HS4</t>
  </si>
  <si>
    <t>Month</t>
  </si>
  <si>
    <t>Record Id</t>
  </si>
  <si>
    <t>IEC</t>
  </si>
  <si>
    <t>SEED &gt;&gt; PUMPKIN SEED PUMPKIN SEED / KADU</t>
  </si>
  <si>
    <t>Mahima Enterprises</t>
  </si>
  <si>
    <t>WORLD FORUM TRADING LLC</t>
  </si>
  <si>
    <t>KGS</t>
  </si>
  <si>
    <t>Jebel Ali</t>
  </si>
  <si>
    <t>United Arab Emirates</t>
  </si>
  <si>
    <t>Delhi Tkd Icd</t>
  </si>
  <si>
    <t>Sea</t>
  </si>
  <si>
    <t>USD</t>
  </si>
  <si>
    <t>Other oil seeds and oleaginous fruits, whether or not broken</t>
  </si>
  <si>
    <t>Jan-2022</t>
  </si>
  <si>
    <t>0592023125</t>
  </si>
  <si>
    <t>SEEDS &gt;&gt; PUMPKIN SEEDS DRIED PUMPKIN SEEDS PACKED IN CTN BOX</t>
  </si>
  <si>
    <t>Greens Pulses Spices</t>
  </si>
  <si>
    <t>OMEGA TRADERS</t>
  </si>
  <si>
    <t>Colombo</t>
  </si>
  <si>
    <t>Sri Lanka</t>
  </si>
  <si>
    <t>Madras Sea</t>
  </si>
  <si>
    <t>MTS</t>
  </si>
  <si>
    <t>Fruit, nuts and other edible parts of plants, otherwise prepared or preserved, whether or not containing added sugar or other sweetening matter or spirit, not elsewhere specified or included</t>
  </si>
  <si>
    <t>AAPFG4059E</t>
  </si>
  <si>
    <t>SEEDS &gt;&gt; PUMPKIN SEEDS JOSH PUMPKIN SEEDS Suppliers GSTIN 27</t>
  </si>
  <si>
    <t>Mohini Fine Foods Pvt Ltd</t>
  </si>
  <si>
    <t>Gandhi Oriental Foods Ltd</t>
  </si>
  <si>
    <t>Gateway</t>
  </si>
  <si>
    <t>United Kingdom</t>
  </si>
  <si>
    <t>JNPT</t>
  </si>
  <si>
    <t>GBP</t>
  </si>
  <si>
    <t>0302048987</t>
  </si>
  <si>
    <t xml:space="preserve">SEEDS &gt;&gt; PUMPKIN SEEDS PUMPKIN SEEDS AS PER  DOCUMENT </t>
  </si>
  <si>
    <t>BISWAJIT KUNDU</t>
  </si>
  <si>
    <t>Royal Trade International</t>
  </si>
  <si>
    <t>Hili Lcs</t>
  </si>
  <si>
    <t>Bangladesh</t>
  </si>
  <si>
    <t>Hilli Lcs</t>
  </si>
  <si>
    <t>Road</t>
  </si>
  <si>
    <t>Feb-2022</t>
  </si>
  <si>
    <t>0214034151</t>
  </si>
  <si>
    <t>SEEDS &gt;&gt; PUMPKIN SEEDS Natural Pumpkin Seeds</t>
  </si>
  <si>
    <t>Samruddhi Organic Farm India Pvt Ltd</t>
  </si>
  <si>
    <t>ORGANICBASKET PTE LTD</t>
  </si>
  <si>
    <t>Not Available</t>
  </si>
  <si>
    <t>Singapore</t>
  </si>
  <si>
    <t>3114029868</t>
  </si>
  <si>
    <t xml:space="preserve">DOCUMENT &gt;&gt; PER DOCUMENT PUMPKIN SEED AS PER  DOCUMENT </t>
  </si>
  <si>
    <t>Gazi International</t>
  </si>
  <si>
    <t>Mar-2022</t>
  </si>
  <si>
    <t>AKVPG7603E</t>
  </si>
  <si>
    <t>SUPPLIERS &gt;&gt; SEEDS SUPPLIERS JOSH PUMPKIN SEEDS Suppliers GSTIN 27</t>
  </si>
  <si>
    <t>Gandhi Oriental Foods Ltd.</t>
  </si>
  <si>
    <t>Felixstowe</t>
  </si>
  <si>
    <t>SUPPLIERS &gt;&gt; SEEDS SUPPLIERS PUMPKIN SEEDS Suppliers GSTIN 27AAFFF</t>
  </si>
  <si>
    <t>Pumpkin Seeds 2 Box Nt.Wt. 25.000 Kgs &amp;</t>
  </si>
  <si>
    <t>Kunal Corporation</t>
  </si>
  <si>
    <t>Z To Order and NA</t>
  </si>
  <si>
    <t>Louis</t>
  </si>
  <si>
    <t>Mauritius</t>
  </si>
  <si>
    <t>Apr-2022</t>
  </si>
  <si>
    <t>AAXFK3162C</t>
  </si>
  <si>
    <t>PUMPKIN SEED N.A.Y 250G O/D AS PER INV/P</t>
  </si>
  <si>
    <t>Ajit Singh Om Parkash Private Limited</t>
  </si>
  <si>
    <t>CROWN DISTRIBUTIORS LTD</t>
  </si>
  <si>
    <t>Vancouver</t>
  </si>
  <si>
    <t>Canada</t>
  </si>
  <si>
    <t>Mundra</t>
  </si>
  <si>
    <t>CAD</t>
  </si>
  <si>
    <t>May-2022</t>
  </si>
  <si>
    <t>3003007190</t>
  </si>
  <si>
    <t>JOSH ROASTED PUMPKIN SEEDS Suppliers G</t>
  </si>
  <si>
    <t>JOSH PUMPKIN SEEDS KERNELS Suppliers</t>
  </si>
  <si>
    <t>Locust beans, seaweeds and other algae, sugar beet and sugarcane, fresh, chilled, frozen or dried, whether or not ground; fruit stones and kernels and other vegetable products (including unroasted chicory roots of the variety Cichorium intybus sativum) of</t>
  </si>
  <si>
    <t>Natural Pumpkin Seeds 125gm [WE INTEND T</t>
  </si>
  <si>
    <t>Hindustan Exports</t>
  </si>
  <si>
    <t>FERROUS TRADING PTE LTD</t>
  </si>
  <si>
    <t>0392063573</t>
  </si>
  <si>
    <t>Nanki Pumpkin Seeds For Eat 200 GM x 7</t>
  </si>
  <si>
    <t>Nanki Impex Pvt Ltd</t>
  </si>
  <si>
    <t>GROCERIA LIMITED 2 LAMBERG</t>
  </si>
  <si>
    <t>Auckland</t>
  </si>
  <si>
    <t>New Zealand</t>
  </si>
  <si>
    <t>Powerkheda Icd</t>
  </si>
  <si>
    <t>Jun-2022</t>
  </si>
  <si>
    <t>1215900147</t>
  </si>
  <si>
    <t>ADRISH PUMPKIN SEED 4 KGS X 5 NOS</t>
  </si>
  <si>
    <t>SIDDHAGIRI SWASTHYA</t>
  </si>
  <si>
    <t>Symphani LLC</t>
  </si>
  <si>
    <t>Seattle</t>
  </si>
  <si>
    <t>United States</t>
  </si>
  <si>
    <t>Bangalore Icd</t>
  </si>
  <si>
    <t>INR</t>
  </si>
  <si>
    <t>Jul-2022</t>
  </si>
  <si>
    <t>ACYFS8677H</t>
  </si>
  <si>
    <t>ADRISH PUMPKIN SEED ROASTED 4 KGS X 5 N</t>
  </si>
  <si>
    <t>ADRISH PUMPKIN SEED ROASTED [FINGER MILL</t>
  </si>
  <si>
    <t>DRIED MELON RICE PUMPKIN SEEDS WLOLE.D</t>
  </si>
  <si>
    <t>SUKHENDU HALDER</t>
  </si>
  <si>
    <t>VISHAL COMPANY LIMITED</t>
  </si>
  <si>
    <t>Tokyo</t>
  </si>
  <si>
    <t>Japan</t>
  </si>
  <si>
    <t>Calcutta Sea</t>
  </si>
  <si>
    <t>0211030741</t>
  </si>
  <si>
    <t>PUMPKIN SEED 5 BAGS 50 KGS / HDPE BAG</t>
  </si>
  <si>
    <t>Ashraf Exports</t>
  </si>
  <si>
    <t>Mogadishu</t>
  </si>
  <si>
    <t>Somalia</t>
  </si>
  <si>
    <t>0388039329</t>
  </si>
  <si>
    <t>Sep-2022</t>
  </si>
  <si>
    <t>PUMPKIN SEED</t>
  </si>
  <si>
    <t>JINDAL STORES</t>
  </si>
  <si>
    <t>CHHETRI ENTERPRISE</t>
  </si>
  <si>
    <t>Samste Bhutan</t>
  </si>
  <si>
    <t>Bhutan</t>
  </si>
  <si>
    <t>Chamurchi</t>
  </si>
  <si>
    <t>ACNPA4874D</t>
  </si>
  <si>
    <t>DRIED PUMPKIN SEEDS PACKED IN CARTONS.</t>
  </si>
  <si>
    <t>Organic Pumpkin Seeds</t>
  </si>
  <si>
    <t>Ganpati Scientifics</t>
  </si>
  <si>
    <t>Mindful Organics</t>
  </si>
  <si>
    <t>Oakland</t>
  </si>
  <si>
    <t>Jaipur Icd</t>
  </si>
  <si>
    <t>BGKPM6031N</t>
  </si>
  <si>
    <t>GREEN PUMPKIN SEED PLAIN WITHOUT SALT &amp;</t>
  </si>
  <si>
    <t>BHAGWATI DRY FRUITS LLP</t>
  </si>
  <si>
    <t>VAV PVT LTD C-0413 2017</t>
  </si>
  <si>
    <t>Male</t>
  </si>
  <si>
    <t>Maldives</t>
  </si>
  <si>
    <t>AAZFB0602Q</t>
  </si>
  <si>
    <t>ROASTED GREEN PUMPKIN SEED WITHOUT SALT</t>
  </si>
  <si>
    <t>PUMPKIN SEEDS 200 GM X 24 PCS X 1 CTN</t>
  </si>
  <si>
    <t>RDR Impex Pvt Ltd</t>
  </si>
  <si>
    <t>HARIDAS NENSEY PARTNERS CO L L</t>
  </si>
  <si>
    <t>Sohar</t>
  </si>
  <si>
    <t>Oman</t>
  </si>
  <si>
    <t>0508085586</t>
  </si>
  <si>
    <t>PUMPKIN SEED USE FOR CAKE DECORATION 200 GRAM 96 PCS</t>
  </si>
  <si>
    <t>F2T TRADEMART INDIA OPC PRIVATE LIMITED</t>
  </si>
  <si>
    <t>BHAVIKA STORE</t>
  </si>
  <si>
    <t>Hong Kong</t>
  </si>
  <si>
    <t>Seeds, fruit and spores, of a kind used for sowing</t>
  </si>
  <si>
    <t>Oct-2022</t>
  </si>
  <si>
    <t>AAECF4766F</t>
  </si>
  <si>
    <t>SUPER SEEDS - PUMPKIN 25*200GM</t>
  </si>
  <si>
    <t>Jay Keshav Exports Pvt Ltd</t>
  </si>
  <si>
    <t>AB International Ltd</t>
  </si>
  <si>
    <t>Other vegetables, fresh or chilled</t>
  </si>
  <si>
    <t>0709010818</t>
  </si>
  <si>
    <t>Nov-2022</t>
  </si>
  <si>
    <t>Pumpkin Seeds</t>
  </si>
  <si>
    <t>Nani Agro Foods Pvt Ltd</t>
  </si>
  <si>
    <t>Tuticorin Sea</t>
  </si>
  <si>
    <t>Dec-2022</t>
  </si>
  <si>
    <t>3298022802</t>
  </si>
  <si>
    <t>PUMPKIN SEEDS</t>
  </si>
  <si>
    <t>TULSI FOODS</t>
  </si>
  <si>
    <t>M D DISTRIBUTION INC</t>
  </si>
  <si>
    <t>New York</t>
  </si>
  <si>
    <t>AARFT3060E</t>
  </si>
  <si>
    <t>PUMPKIN SEED 4 CARTONS 25 KGS / CARTON</t>
  </si>
  <si>
    <t>AL BANADIR CARGO BAKARA MARKET</t>
  </si>
  <si>
    <t>JOSH PUMPKIN SEEDS Suppliers GSTIN 27ABPFA4525Q1ZS,  DOCUMENT  No.ASF-4006/22-23DT.22-11-2022</t>
  </si>
  <si>
    <t>PUMPKIN SEEDS Suppliers GSTIN 27ADOPJ2488E1ZA,  DOCUMENT  No.ATC-1631/22-23 DT.16-12-2022</t>
  </si>
  <si>
    <t>DELIGHT NUTS PUMPKIN SEEDS R/S 48 X 200 GM</t>
  </si>
  <si>
    <t>RAJGURU S DELIGHT NUTS FOODS PRIVATE LIMITED</t>
  </si>
  <si>
    <t>Jero Global Sdn Bhd</t>
  </si>
  <si>
    <t>Klang</t>
  </si>
  <si>
    <t>Malaysia</t>
  </si>
  <si>
    <t>Jan-2023</t>
  </si>
  <si>
    <t>AAICR2360P</t>
  </si>
  <si>
    <t>DELIGHT NUTS RAW PUMPKIN SEEDS 48 X 200 GM</t>
  </si>
  <si>
    <t>PUMPKIN SEEDS IN JAR</t>
  </si>
  <si>
    <t>Esquire Exporters</t>
  </si>
  <si>
    <t>Kamala Overseas Ltd</t>
  </si>
  <si>
    <t>0391168525</t>
  </si>
  <si>
    <t>PUMPKIN SEED[4 KGS X 02]</t>
  </si>
  <si>
    <t>Organo Mantra Trading Co LLC</t>
  </si>
  <si>
    <t>Dubai</t>
  </si>
  <si>
    <t>Bangalore Air</t>
  </si>
  <si>
    <t>Air</t>
  </si>
  <si>
    <t>PUMPKIN SEED QTY 220 KGS Supplier: Avishkar Agro Technology LLP GST: 27ABIFA9440K123</t>
  </si>
  <si>
    <t>Aussee Oats India Ltd</t>
  </si>
  <si>
    <t>Aussee Oats Milling Pvt Ltd</t>
  </si>
  <si>
    <t>0315909102</t>
  </si>
  <si>
    <t>PUMPKIN SEEDS MAGAJTARI OTHER DETAILSAS PER  DOCUMENT  AND PACKING LIST</t>
  </si>
  <si>
    <t>Maruti Trading Company</t>
  </si>
  <si>
    <t>SIYARA INVESTMENTS LTD</t>
  </si>
  <si>
    <t>Dar Es Salaam</t>
  </si>
  <si>
    <t>Tanzania</t>
  </si>
  <si>
    <t>2415007650</t>
  </si>
  <si>
    <t>KWID EXPORTS</t>
  </si>
  <si>
    <t>MSMEEMIZOM MART HAMID NAFEES GTHARUEHIGE</t>
  </si>
  <si>
    <t>Sunflower seeds, whether or not broken</t>
  </si>
  <si>
    <t>Feb-2023</t>
  </si>
  <si>
    <t>AAYFK7729A</t>
  </si>
  <si>
    <t>DRIED PUMPKIN SEEDS PACKED IN CTNS.  WEINTEND TO CLAIM REWARD UNDER RODTEP SCHEME</t>
  </si>
  <si>
    <t>Kattupalli</t>
  </si>
  <si>
    <t>JOSH PUMPKIN SEEDS</t>
  </si>
  <si>
    <t>Pumpkin Seed  Supplier:Avishkar Agro Technology LLP   GST NO.27ABIFA9440K1Z3 INV No.ASIN- 223-0434 DT 08-02-23</t>
  </si>
  <si>
    <t>Mar-2023</t>
  </si>
  <si>
    <t>Pumpkin Seed Supplier:Avishkar Agro Te</t>
  </si>
  <si>
    <t>PUMPKIN SEEDS 310G 360PCS</t>
  </si>
  <si>
    <t>Arihant Solution</t>
  </si>
  <si>
    <t>Ozy Gr8 Pty</t>
  </si>
  <si>
    <t>Adelaide</t>
  </si>
  <si>
    <t>Australia</t>
  </si>
  <si>
    <t>Chawapayal Icd</t>
  </si>
  <si>
    <t>AUD</t>
  </si>
  <si>
    <t>ACYPJ0890M</t>
  </si>
  <si>
    <t>PUMPKIN SEEDS 10 kg Paper Bag Seeds for breads decoration</t>
  </si>
  <si>
    <t>Swiss Bake Ingredients Pvt Ltd</t>
  </si>
  <si>
    <t>Al Asadi Trading Co</t>
  </si>
  <si>
    <t>Doha</t>
  </si>
  <si>
    <t>Qatar</t>
  </si>
  <si>
    <t>0312020350</t>
  </si>
  <si>
    <t>Chhetri Enterprises</t>
  </si>
  <si>
    <t>Jitty</t>
  </si>
  <si>
    <t>Nagarkata LCS</t>
  </si>
  <si>
    <t>Apr-2023</t>
  </si>
  <si>
    <t>PUMPKIN SEED KERNEL</t>
  </si>
  <si>
    <t>HAKIMI OVERSEAS</t>
  </si>
  <si>
    <t>SARAFALLY ABDULALLY</t>
  </si>
  <si>
    <t>AHGPR2460J</t>
  </si>
  <si>
    <t xml:space="preserve">Pumpkin Seed Supplier:Avishkar Agro Technology LLP   GST NO.27ABIFA9440K1Z3  INV No.ASIN/2324/0001 DT-01-04-2023  </t>
  </si>
  <si>
    <t>May-2023</t>
  </si>
  <si>
    <t xml:space="preserve">PUMPKIN SEED 20X100GAS PER  DOCUMENT </t>
  </si>
  <si>
    <t>Miltop Exports</t>
  </si>
  <si>
    <t>Gupta Gastro Line GmbH</t>
  </si>
  <si>
    <t>Rotterdam</t>
  </si>
  <si>
    <t>Netherlands</t>
  </si>
  <si>
    <t>2492000940</t>
  </si>
  <si>
    <t>Pumpkin Seed 4kg  x 1 nos</t>
  </si>
  <si>
    <t>PUMPKIN SEED MELON SEEDS ASRT. FOOD STUFFS</t>
  </si>
  <si>
    <t>ACE EXPORTS</t>
  </si>
  <si>
    <t>Hesbhd No</t>
  </si>
  <si>
    <t>Jun-2023</t>
  </si>
  <si>
    <t>ABVFA9948B</t>
  </si>
  <si>
    <t xml:space="preserve">PUMPKIN SEEDS ORIGIN INDIA, CROP 202325 KG NET 12.5 X 80 BAGS IN 40 MASTERBOXES </t>
  </si>
  <si>
    <t>Jalaram Agriexports Pvt Ltd</t>
  </si>
  <si>
    <t>2411000944</t>
  </si>
  <si>
    <t>Nature Vit</t>
  </si>
  <si>
    <t>Apapa</t>
  </si>
  <si>
    <t>Nigeria</t>
  </si>
  <si>
    <t>Ahmedabad Icd</t>
  </si>
  <si>
    <t>FSAPS9838B</t>
  </si>
  <si>
    <t>PUMPKIN SEEDS OTHER DETAILS AS PER INV&amp; PL</t>
  </si>
  <si>
    <t>Devi Overseas</t>
  </si>
  <si>
    <t>GROUPE JAMBO SARL</t>
  </si>
  <si>
    <t>ABLPF3655J</t>
  </si>
  <si>
    <t>NAMMA VEEDU</t>
  </si>
  <si>
    <t>Morooj Alzafaran Trading</t>
  </si>
  <si>
    <t>EERPS8173B</t>
  </si>
  <si>
    <t>Other - PUMPKIN SEED 250gm*40pcs</t>
  </si>
  <si>
    <t>Tapovan Impex Pvt Ltd</t>
  </si>
  <si>
    <t>UOB Bank United Overseas Bank</t>
  </si>
  <si>
    <t>OP Singapore</t>
  </si>
  <si>
    <t>0505001179</t>
  </si>
  <si>
    <t>KESAR PUMPKIN SEEDS SUPER MARKET ITEMS</t>
  </si>
  <si>
    <t>Sommykammy Nig Ltd</t>
  </si>
  <si>
    <t xml:space="preserve">PUMPKIN SEEDS PACKING:20X150GAS PER  DOCUMENT </t>
  </si>
  <si>
    <t>Gunarajan Handelsagentur</t>
  </si>
  <si>
    <t>Bremerhaven</t>
  </si>
  <si>
    <t>Germany</t>
  </si>
  <si>
    <t>EUR</t>
  </si>
  <si>
    <t>Jul-2023</t>
  </si>
  <si>
    <t>PUMPKIN SEEDS 10 kg Paper Bag Seeds for bread decoration</t>
  </si>
  <si>
    <t>Hamad</t>
  </si>
  <si>
    <t>FRUBITES ROASTED PUMPKIN SEEDS BATCH NO2207236901  MANUFACTURING  DATE 07/23 EXP DATE 07/24</t>
  </si>
  <si>
    <t>Rev Snacks Pvt Ltd</t>
  </si>
  <si>
    <t>Amazon FBA Rev Snacks Pvt Ltd</t>
  </si>
  <si>
    <t>Heathrow</t>
  </si>
  <si>
    <t>Bombay Air</t>
  </si>
  <si>
    <t>Aug-2023</t>
  </si>
  <si>
    <t>AAICR9096G</t>
  </si>
  <si>
    <t>Pumpkin Seed Supp-Avishkar Agro Technology LLP  GSTNO.27ABIFA9440K1Z3  DOCUMENT No-ASIN-2324-0245 dt:08-07-2023</t>
  </si>
  <si>
    <t>Pumpkin Seeds 8 Boxes Nt.Wt. 25.000 Kgs&amp; Gr.Wt. 26.000 Kgs</t>
  </si>
  <si>
    <t>PUMPKIN SEEDS ROASTED20X150G NGRASPERINV</t>
  </si>
  <si>
    <t>Pumpkin Seed</t>
  </si>
  <si>
    <t>DOWN TO EARTH FOODS EXPORT PRIVATE LIMITED</t>
  </si>
  <si>
    <t>Down to Earth Foods Ltd</t>
  </si>
  <si>
    <t>Sep-2023</t>
  </si>
  <si>
    <t>AAICD8583A</t>
  </si>
  <si>
    <t>Pumpkin Seed  Supp-Avishkar Agro Technology LLP  GSTNO.27ABIFA9440K1Z3  DOCUMENT No-ASIN-2324-0411  dt: 02-09-2023</t>
  </si>
  <si>
    <t>Pumpkin Seed  USE ONLY FOR EAT</t>
  </si>
  <si>
    <t>DOWN TO EARTH FOODS LTD</t>
  </si>
  <si>
    <t>Food preparations, not elsewhere specified or included</t>
  </si>
  <si>
    <t>Sago Investment Pvt Ltd</t>
  </si>
  <si>
    <t>Gorkha Distributors</t>
  </si>
  <si>
    <t>JAY PRAKASH PRASAD</t>
  </si>
  <si>
    <t>AJIPP7541A</t>
  </si>
  <si>
    <t>STARAGRO CROP</t>
  </si>
  <si>
    <t>Supriya Trading</t>
  </si>
  <si>
    <t>Birgunj</t>
  </si>
  <si>
    <t>Nepal</t>
  </si>
  <si>
    <t>Raxaul</t>
  </si>
  <si>
    <t>AHJPG9087D</t>
  </si>
  <si>
    <t>PUMPKIN SEED ASRT. FOOD STUFFS</t>
  </si>
  <si>
    <t>H E S BHD</t>
  </si>
  <si>
    <t>Himalayan Trading Suppliers</t>
  </si>
  <si>
    <t>Krishnanagar</t>
  </si>
  <si>
    <t>Berhni</t>
  </si>
  <si>
    <t>HP PUMPKIN SEED SALTED 200G 275 01 PCS</t>
  </si>
  <si>
    <t>Shree Impex</t>
  </si>
  <si>
    <t>Reliance Trading Ltd</t>
  </si>
  <si>
    <t>Oct-2023</t>
  </si>
  <si>
    <t>0308081561</t>
  </si>
  <si>
    <t>Neha And Riya Trading</t>
  </si>
  <si>
    <t>ROASTED PUMPKIN SEEDS 600 PCS IN 30 BOX</t>
  </si>
  <si>
    <t>Greendot Health Foods Pvt Ltd</t>
  </si>
  <si>
    <t>0588031330</t>
  </si>
  <si>
    <t>PUMPKIN SEEDS ORIGIN INDIA, CROP 2023PACKING 12.5 KG VACUUM X 2 IN 50 MASTER BOX</t>
  </si>
  <si>
    <t>Caucedo</t>
  </si>
  <si>
    <t>Dominican Republic</t>
  </si>
  <si>
    <t>Hangrow Foods India Pvt Ltd</t>
  </si>
  <si>
    <t>Avighna Impex Pte Ltd</t>
  </si>
  <si>
    <t>3217507541</t>
  </si>
  <si>
    <t>PUMPKIN SEED - 100G</t>
  </si>
  <si>
    <t>Thula Exports Pvt Ltd</t>
  </si>
  <si>
    <t>ASWANTH GROUP PTY LTD</t>
  </si>
  <si>
    <t>Victoria</t>
  </si>
  <si>
    <t>Seychelles</t>
  </si>
  <si>
    <t>Nov-2023</t>
  </si>
  <si>
    <t>0414038959</t>
  </si>
  <si>
    <t>JOSH PUMPKIN SEEDS KERNEL</t>
  </si>
  <si>
    <t>Pumpkin Seed Extact 95%</t>
  </si>
  <si>
    <t>Farmavision Healthcare</t>
  </si>
  <si>
    <t>Shommels and Squibs Ltd</t>
  </si>
  <si>
    <t>Lagos</t>
  </si>
  <si>
    <t>Vegetable saps and extracts; pectic substances, pectinates and pectates; agar-agar and other mucilages and thickeners, whether or not modified, derived from vegetable products</t>
  </si>
  <si>
    <t>AAGFF0768A</t>
  </si>
  <si>
    <t>Pumpkin Seed Supplier : Avishkar Agro Technology LLP GST no.27ABIFA9440K1Z3 Invno.ASIN-23-24-0623 dt.25.10.2023</t>
  </si>
  <si>
    <t>AUSSEE OATS MILLING PVT</t>
  </si>
  <si>
    <t>PUMPKIN SEED API</t>
  </si>
  <si>
    <t>Manirul Enterprise</t>
  </si>
  <si>
    <t>Rafi Seed House D</t>
  </si>
  <si>
    <t>Benapole</t>
  </si>
  <si>
    <t>Petrapole Road</t>
  </si>
  <si>
    <t>Maize (corn)</t>
  </si>
  <si>
    <t>CUQPS9067K</t>
  </si>
  <si>
    <t>PUMPKIN SEED 25KG 10CTNS &amp;12.5KG 4CTNS</t>
  </si>
  <si>
    <t>Euro Foods Pvt Ltd</t>
  </si>
  <si>
    <t>SAWHNEY FOODSTUFF TRD CO LLC</t>
  </si>
  <si>
    <t>0506068501</t>
  </si>
  <si>
    <t>PUMPKIN SEED 1- 48 BAGS PKD IN 25.000 KGS NT WT.</t>
  </si>
  <si>
    <t>Greenway Exim India</t>
  </si>
  <si>
    <t>KHEYBAR TARABAR INT TPT CO</t>
  </si>
  <si>
    <t>Bandar Abbas</t>
  </si>
  <si>
    <t>Afghanistan</t>
  </si>
  <si>
    <t>Dec-2023</t>
  </si>
  <si>
    <t>2414016116</t>
  </si>
  <si>
    <t>PUMPKIN SEEDS-PACKED IN BOXES</t>
  </si>
  <si>
    <t>Aatish Industries</t>
  </si>
  <si>
    <t>Montreal</t>
  </si>
  <si>
    <t>Medicaments(excluding goods of heading 3002,3005 or 3006) consisting of mixed or unmixed products for therapeutic or prophylactic uses, put up in measured doses(including those in the form of transdermal administration systems) or in forms or packings for</t>
  </si>
  <si>
    <t>0300039182</t>
  </si>
  <si>
    <t>B S Trix Pvt Ltd</t>
  </si>
  <si>
    <t>Kathmandu</t>
  </si>
  <si>
    <t>HARIDAS NENSEY PARTNERS CO L L C</t>
  </si>
  <si>
    <t>Jan-2024</t>
  </si>
  <si>
    <t>Milan</t>
  </si>
  <si>
    <t>Nimambo Logistics Services Ltd</t>
  </si>
  <si>
    <t>Onne</t>
  </si>
  <si>
    <t>EKYPM4753E</t>
  </si>
  <si>
    <t>ROASTED GREEN PUMPKIN SEEDS</t>
  </si>
  <si>
    <t>Onleo Global Solutions Pvt Ltd</t>
  </si>
  <si>
    <t>MALIBAN BISCUIT MANUFACTORIES PVT</t>
  </si>
  <si>
    <t>0708013589</t>
  </si>
  <si>
    <t>DRIED PUMPKIN SEED</t>
  </si>
  <si>
    <t>ORGANIC PUMPKIN SEEDGENERAL NAMEPUMPKIN SEED</t>
  </si>
  <si>
    <t>Down to Earth General Trading LLC</t>
  </si>
  <si>
    <t>Talegaon Icd</t>
  </si>
  <si>
    <t xml:space="preserve">Pumpkin Seed Supplier: Avishkar Agro Technology LLP GST:27ABIFA9440K1Z3 Supp Invoive No.ASIN-2324-0991 AND 12.01.2024 </t>
  </si>
  <si>
    <t>Ahuja Impex</t>
  </si>
  <si>
    <t>ANMPA2622F</t>
  </si>
  <si>
    <t>Kilaru Naturals Pvt Ltd</t>
  </si>
  <si>
    <t>GOKALS LIMITED</t>
  </si>
  <si>
    <t>Tema</t>
  </si>
  <si>
    <t>Ghana</t>
  </si>
  <si>
    <t>Hyderabad Icd</t>
  </si>
  <si>
    <t>0913007374</t>
  </si>
  <si>
    <t>Rishav Impex</t>
  </si>
  <si>
    <t>Maa Laxmi Traders</t>
  </si>
  <si>
    <t>ACOPJ7414P</t>
  </si>
  <si>
    <t>Feb-2024</t>
  </si>
  <si>
    <t>Mar-2024</t>
  </si>
  <si>
    <t>EAT ANYTIME Premium Raw Pumpkin Seeds 250g</t>
  </si>
  <si>
    <t>Wholesome Habits Pvt Ltd</t>
  </si>
  <si>
    <t>Agro Commodities and Finance FZ LLC</t>
  </si>
  <si>
    <t>Linseed, whether or not broken</t>
  </si>
  <si>
    <t>AABCW7811R</t>
  </si>
  <si>
    <t>EAT ANYTIME Premium  Pumpkin Seeds 250g</t>
  </si>
  <si>
    <t>JAY NEPAL ENTERPRISES</t>
  </si>
  <si>
    <t>PUMPKIN SEEDS - 100G.</t>
  </si>
  <si>
    <t>BABA PASHUPATINATH ENTERPRISE</t>
  </si>
  <si>
    <t>N.A.Y PUMPKIN SEED 200G  OTHER DETAILSAS PER  DOCUMENT  &amp; PACKING LIST</t>
  </si>
  <si>
    <t>Apex Global Foods Ltd</t>
  </si>
  <si>
    <t>Toronto</t>
  </si>
  <si>
    <t>ROYAL INTERNATIONAL</t>
  </si>
  <si>
    <t>ATCPV2462Q</t>
  </si>
  <si>
    <t>PUMPKIN SEEDS ORIGIN: INDIA, CROP:2024 12.5 KG VACUUM X 200 IN 100MASTER BOX</t>
  </si>
  <si>
    <t>Pumpkin Seed SUPPAvishkar Agro Technology LLP, GST-27ABIFA9440K1Z3 ,INV ASIN-2324-1285 DT 13.03.24,ASIN-2324-1327 DT</t>
  </si>
  <si>
    <t>Apr-2024</t>
  </si>
  <si>
    <t>PUMPKIN SEED/SUPP AVISHKAR AGRO TECHNOLOGY LLP. GST- 27ABIFA9440K1Z3,INV-ASIN-2324-1364,DT-28-03-2024</t>
  </si>
  <si>
    <t>PUMPKIN SEED/SUPP AVISHKAR AGRO TECHNO</t>
  </si>
  <si>
    <t>Trust Food Products Pvt Ltd</t>
  </si>
  <si>
    <t>N.A.Y. Pumpkin Seed 200g OD AS PER DOCUMENT PL</t>
  </si>
  <si>
    <t>DINESH KUMAR SONS HUF</t>
  </si>
  <si>
    <t>SHRI SURABHI INTERNATION</t>
  </si>
  <si>
    <t>Other nuts, fresh or dried, whether or not shelled or pleaded Almonds:</t>
  </si>
  <si>
    <t>0512084688</t>
  </si>
  <si>
    <t>DRIED PUMPKIN  SEEDS  PKD IN 25 KGS PP BAGS</t>
  </si>
  <si>
    <t>Omega Traders</t>
  </si>
  <si>
    <t>LOHIA STORE</t>
  </si>
  <si>
    <t>Shree Pashupati Spice and Foods</t>
  </si>
  <si>
    <t>AAYPL3187H</t>
  </si>
  <si>
    <t>May-2024</t>
  </si>
  <si>
    <t>BS TRIX Pvt Ltd</t>
  </si>
  <si>
    <t>PUMPKIN SEEDS 25KG</t>
  </si>
  <si>
    <t>Jafferbhooy Salehbhooy Co</t>
  </si>
  <si>
    <t>Johannesburg</t>
  </si>
  <si>
    <t>South Africa</t>
  </si>
  <si>
    <t>0388009381</t>
  </si>
  <si>
    <t>Atish International</t>
  </si>
  <si>
    <t>Ashirwad Exports</t>
  </si>
  <si>
    <t>Sri Mullai Traders Pte. Ltd.</t>
  </si>
  <si>
    <t>SGD</t>
  </si>
  <si>
    <t>ABPFA4294A</t>
  </si>
  <si>
    <t>SHRI BALAJI FOOD AND SPICES</t>
  </si>
  <si>
    <t>MAGAJ  PUMPKIN SEEDS SHIP STORE SUPPLY FOR VESSEL MV GLUON</t>
  </si>
  <si>
    <t>AIMS MARINE HOSPITALITY SERVICES</t>
  </si>
  <si>
    <t>TO THE MASTER OF VESSEL</t>
  </si>
  <si>
    <t>Jun-2024</t>
  </si>
  <si>
    <t>ABTFA0093P</t>
  </si>
  <si>
    <t>PUMPKIN SEED 10 CTNS 20PKTS X 1KG = 20KG CARTON</t>
  </si>
  <si>
    <t>PUMPKIN SEEDS ASRT. FOOD STUFFS</t>
  </si>
  <si>
    <t>GREEN PUMPKIN SEEDS</t>
  </si>
  <si>
    <t>Maliban Diary Agri Products Pvt Ltd</t>
  </si>
  <si>
    <t>ROSTED PUMPKIN SEED 25KG 20 BAGS</t>
  </si>
  <si>
    <t>Sawhney Foodstuff Trd Co LLC</t>
  </si>
  <si>
    <t>PUMPKIN SEEDS ROASTED</t>
  </si>
  <si>
    <t>S G International</t>
  </si>
  <si>
    <t>Farmacy BT</t>
  </si>
  <si>
    <t>Phuntsholing</t>
  </si>
  <si>
    <t>Jaigaon</t>
  </si>
  <si>
    <t>0516914537</t>
  </si>
  <si>
    <t>Jul-2024</t>
  </si>
  <si>
    <t>PUMPKIN SEEDS 100GMS X 100</t>
  </si>
  <si>
    <t>NARASIMHA AGRO PRODUCTS PRIVATE LIMITED</t>
  </si>
  <si>
    <t>Sri Ambikas Pte Ltd</t>
  </si>
  <si>
    <t>AAJCN4713H</t>
  </si>
  <si>
    <t>PUMPKIN SEEDS KERNELS</t>
  </si>
  <si>
    <t>RTC Foods</t>
  </si>
  <si>
    <t>Nepal Everest Food &amp; Snacks Pvt. Ltd.</t>
  </si>
  <si>
    <t>Bhairawa</t>
  </si>
  <si>
    <t>Sonauli</t>
  </si>
  <si>
    <t>AAYFR3897E</t>
  </si>
  <si>
    <t>Ashish And Traders</t>
  </si>
  <si>
    <t>PUMPKIN SEED 4 CTNS 25 KGS / CARTON</t>
  </si>
  <si>
    <t>PUMPKIN SEED 20 Cartons 20 PKTS x 1 KG/ CTN</t>
  </si>
  <si>
    <t>Shrutti Traders</t>
  </si>
  <si>
    <t>MOHIT SPICES AND FOOD PRODUCT PVT LIMITED</t>
  </si>
  <si>
    <t>PUMPKIN SEED - 100G.</t>
  </si>
  <si>
    <t>PUMPKIN SEED FOR HUMAN CONSUMPTION EDIBLE GRADE</t>
  </si>
  <si>
    <t>Modern Store M Sdn Bhd</t>
  </si>
  <si>
    <t>Aug-2024</t>
  </si>
  <si>
    <t>DRIED PUMPKIN SEEDS  PKD IN CTN BOXES</t>
  </si>
  <si>
    <t>POOJA SPICES AND PACKAGING</t>
  </si>
  <si>
    <t>PROCESSED PUMPKIN SEEDS</t>
  </si>
  <si>
    <t>SRI KANNIGA TRADING HOUSE</t>
  </si>
  <si>
    <t>Zamorano Global Ventures</t>
  </si>
  <si>
    <t>ADZFS4510P</t>
  </si>
  <si>
    <t>PUMPKIN SEEDS K</t>
  </si>
  <si>
    <t>C Arunkumar Co Exports</t>
  </si>
  <si>
    <t>OP Bahrain</t>
  </si>
  <si>
    <t>Bahrain</t>
  </si>
  <si>
    <t>0388006081</t>
  </si>
  <si>
    <t>Healthy Grubs Nuts</t>
  </si>
  <si>
    <t>Nuts Organic</t>
  </si>
  <si>
    <t>Kakarbitta</t>
  </si>
  <si>
    <t>Panitanki Road</t>
  </si>
  <si>
    <t>ACQPJ7787H</t>
  </si>
  <si>
    <t>Sep-2024</t>
  </si>
  <si>
    <t>Kumar Impex Pvt Ltd</t>
  </si>
  <si>
    <t>P S S Ganesan Sons</t>
  </si>
  <si>
    <t>PT Hills and Waves International</t>
  </si>
  <si>
    <t>Surabaya</t>
  </si>
  <si>
    <t>Indonesia</t>
  </si>
  <si>
    <t>2888000369</t>
  </si>
  <si>
    <t>Global Organics</t>
  </si>
  <si>
    <t>NEPAL EVEREST FOOD SNACK PVT LTD</t>
  </si>
  <si>
    <t>0509073905</t>
  </si>
  <si>
    <t>Shree Khatu International</t>
  </si>
  <si>
    <t>B S Trix Pvt. Ltd.</t>
  </si>
  <si>
    <t>H E S Bhd</t>
  </si>
  <si>
    <t>Nidhi Trade Impex</t>
  </si>
  <si>
    <t>SAURAV JAIN</t>
  </si>
  <si>
    <t>Kanha International</t>
  </si>
  <si>
    <t>2116904102</t>
  </si>
  <si>
    <t>Organic Business Group Pvt. Ltd.</t>
  </si>
  <si>
    <t>Pumpkin Seeds Darkgreen 300g</t>
  </si>
  <si>
    <t>DURGA AGRO FOODS</t>
  </si>
  <si>
    <t>Pick n Save Supermarkets Ltd.</t>
  </si>
  <si>
    <t>AAOFD7012R</t>
  </si>
  <si>
    <t>Pumpkin Seeds Darkgreen 700g</t>
  </si>
  <si>
    <t>PUMPKIN SEED 100 GRMS</t>
  </si>
  <si>
    <t>GRAMIYUM NATUREFRESH PRIVATE LIMITED</t>
  </si>
  <si>
    <t>Komala s Foods Services Pte Ltd</t>
  </si>
  <si>
    <t>AAKCG5460D</t>
  </si>
  <si>
    <t>ASHISH AND TRADERS</t>
  </si>
  <si>
    <t>Oct-2024</t>
  </si>
  <si>
    <t>Kumar Impex Pvt. Ltd.</t>
  </si>
  <si>
    <t>Mata Vaishno Traders</t>
  </si>
  <si>
    <t>Vishala Traders</t>
  </si>
  <si>
    <t>PUMPKIN SEED 25KG</t>
  </si>
  <si>
    <t>Durban</t>
  </si>
  <si>
    <t>Chanda Trade Impex</t>
  </si>
  <si>
    <t>SUPPRIYA TRADING</t>
  </si>
  <si>
    <t>J S S INTERNATIONAL</t>
  </si>
  <si>
    <t>Organic Pumpkin Seeds 250 Gms ALL OTHERDETAILS AS PER INVPKG</t>
  </si>
  <si>
    <t>Natureland Organic Foods Pvt Ltd</t>
  </si>
  <si>
    <t>Jeddah</t>
  </si>
  <si>
    <t>Saudi Arabia</t>
  </si>
  <si>
    <t>Nov-2024</t>
  </si>
  <si>
    <t>AAECN6727C</t>
  </si>
  <si>
    <t>PUMPKIN SEED  50 CTNS    20PKTS X 1KG =20KG CARTON</t>
  </si>
  <si>
    <t>JSS International</t>
  </si>
  <si>
    <t>J J Exim Pvt. Ltd.</t>
  </si>
  <si>
    <t>PUMPKIN SEED 30KG*1</t>
  </si>
  <si>
    <t>STAR TRADERS</t>
  </si>
  <si>
    <t>GIANT INVESTMENT PVTLTD REGNOC04292021 TONNAGE PVT LTD</t>
  </si>
  <si>
    <t>BQNPK2744P</t>
  </si>
  <si>
    <t>Dec-2024</t>
  </si>
  <si>
    <t>Nepal Everest Food Snacks Pvt Ltd</t>
  </si>
  <si>
    <t>PUMPKIN HEALTHY SEEDS 250G X 50 PCS</t>
  </si>
  <si>
    <t>Bharat International Pvt Ltd</t>
  </si>
  <si>
    <t>OP Hong Kong</t>
  </si>
  <si>
    <t>Pali Icd</t>
  </si>
  <si>
    <t>0514055375</t>
  </si>
  <si>
    <t>PUMPKIN SEEDS ORIGIN: INDIA, CROP:202412.5 KG VACUUM X 2 IN 180 MASTER BOX</t>
  </si>
  <si>
    <t>PUMPKINE SEED</t>
  </si>
  <si>
    <t>DHANBUKURI LIVERPOOL HA</t>
  </si>
  <si>
    <t>PUMPKIN SEEDS 200GM X 50 PCS</t>
  </si>
  <si>
    <t>PUMPKIN SEED  50 CTNS 20PKTS X 1KG = 20KG CARTON</t>
  </si>
  <si>
    <t>Sheetal Periwal</t>
  </si>
  <si>
    <t>General Grocery Store</t>
  </si>
  <si>
    <t>AFTPD7480D</t>
  </si>
  <si>
    <t>J J Exim Pvt Ltd</t>
  </si>
  <si>
    <t>PUMPKIN SEEDS ORIGIN: INDIA, CROP:2024 12.5 KG VACUUM X 2 IN 120 MASTER BOXES</t>
  </si>
  <si>
    <t>Puerto Caldera</t>
  </si>
  <si>
    <t>Costa Rica</t>
  </si>
  <si>
    <t>PUMPKIN SEEDS DTLS.AS PER INV.</t>
  </si>
  <si>
    <t>TOP GREEN ORGANICS</t>
  </si>
  <si>
    <t>Jothi Store and Flower Shop</t>
  </si>
  <si>
    <t xml:space="preserve"> FRUIT, NUTS AND OTHER EDIBLE PARTS OF PLANTS, OTHERWISE PREPARED OR PRESERVED, WHETHER OR NOT CONTAINING ADDED SUGAR OR OTHER SWEETENING MATTER OR SPIRIT, NOT ELSEWHERE SPECIFIED OR INCLUDED,  including mixtures:, Other roasted nuts and seeds</t>
  </si>
  <si>
    <t>Jan-2025</t>
  </si>
  <si>
    <t>FDAPP4557D</t>
  </si>
  <si>
    <t>Sati Bani Traders</t>
  </si>
  <si>
    <t>PUMPKIN SEEDS-40 X 200GM OTHER DETAILED AS PER INV. AND PACKING LIST</t>
  </si>
  <si>
    <t>FORTUNE EXICOM</t>
  </si>
  <si>
    <t>HOSPITALITY SUPPLIES LTD</t>
  </si>
  <si>
    <t>Victoria Harbor</t>
  </si>
  <si>
    <t>AWVPV4063H</t>
  </si>
  <si>
    <t>CD PUMPKIN SEED BALL 15x275g</t>
  </si>
  <si>
    <t>Parayil Food Products Pvt Ltd</t>
  </si>
  <si>
    <t>Delight Foods USA LLC</t>
  </si>
  <si>
    <t>Cochin Sea</t>
  </si>
  <si>
    <t xml:space="preserve"> FRUIT, NUTS AND OTHER EDIBLE PARTS OF PLANTS, OTHERWISE PREPARED OR PRESERVED, WHETHER OR NOT CONTAINING ADDED SUGAR OR OTHER SWEETENING MATTER OR SPIRIT, NOT ELSEWHERE SPECIFIED OR INCLUDED,  including mixtures:, Other nuts, otherwise prepared or preser</t>
  </si>
  <si>
    <t>1003000860</t>
  </si>
  <si>
    <t xml:space="preserve"> LOCUST BEANS, SEAWEEDS AND OTHER ALGAE, SUGAR BEET AND SUGARCANE, FRESH, CHILLED, FROZEN OR DRIED, WHETHER OR NOT GROUND; FRUIT STONES AND KERNELS AND OTHER VEGETABLE PRODUCTS (INCLUDING UNROASTED CHICORY ROOTS OF THE VARIETY CICHORIUM INTYBUS SATIVUM) O</t>
  </si>
  <si>
    <t xml:space="preserve"> OTHER OIL SEEDS AND OLEAGINOUS FRUITS, WHETHER OR NOT BROKEN,  Other:, Other</t>
  </si>
  <si>
    <t>Shree Galla Kirana Bhandar</t>
  </si>
  <si>
    <t>BENATURAL TRADING LLC</t>
  </si>
  <si>
    <t>Tuticorin Icd</t>
  </si>
  <si>
    <t>Finesse Market Link Pvt Ltd</t>
  </si>
  <si>
    <t>Sarusana Private Ltd</t>
  </si>
  <si>
    <t>Feb-2025</t>
  </si>
  <si>
    <t>AADCF8309F</t>
  </si>
  <si>
    <t xml:space="preserve"> SEEDS, FRUIT AND SPORES, OF A KIND USED FOR SOWING,  Other:, Other</t>
  </si>
  <si>
    <t xml:space="preserve">PUMPKIN SEEDS PACKAGING: 10X300G R  AS PER DOCUMENT </t>
  </si>
  <si>
    <t>Zurich</t>
  </si>
  <si>
    <t xml:space="preserve">PUMPKIN SEEDS PACKAGING: 20X100G R  AS PER DOCUMENT </t>
  </si>
  <si>
    <t>ARCTIC EXIM</t>
  </si>
  <si>
    <t>Island Seed Pvt Ltd</t>
  </si>
  <si>
    <t>FPAPM2103E</t>
  </si>
  <si>
    <t>SHRUTI TRADERS</t>
  </si>
  <si>
    <t>DRIED PUMPKIN SEEDS PKD IN 12.5 KGS PP COVER X 2 PKD IN CTN BOXES</t>
  </si>
  <si>
    <t>PUMPKIN SEEDS 60 CTN PKGN: CTN BAGS OF 25 KGS</t>
  </si>
  <si>
    <t>Accolade International Inc</t>
  </si>
  <si>
    <t>A A Gunja Co Ltd</t>
  </si>
  <si>
    <t>Louise</t>
  </si>
  <si>
    <t>0306022354</t>
  </si>
  <si>
    <t>PUMPKIN HEALTHY SEEDS 250G X 12 PCS</t>
  </si>
  <si>
    <t>D G Masala Kraft</t>
  </si>
  <si>
    <t>Shuwaikh</t>
  </si>
  <si>
    <t>Kuwait</t>
  </si>
  <si>
    <t xml:space="preserve"> FRUIT, NUTS AND OTHER EDIBLE PARTS OF PLANTS, OTHERWISE PREPARED OR PRESERVED, WHETHER OR NOT CONTAINING ADDED SUGAR OR OTHER SWEETENING MATTER OR SPIRIT, NOT ELSEWHERE SPECIFIED OR INCLUDED,  Other, including mixtures:, Other</t>
  </si>
  <si>
    <t>0314090282</t>
  </si>
  <si>
    <t>Niketan Enterprises</t>
  </si>
  <si>
    <t>PUMPKIN SEED KERNELS</t>
  </si>
  <si>
    <t>Laxmi Narayan Bishnu Kumar</t>
  </si>
  <si>
    <t>0509008615</t>
  </si>
  <si>
    <t>Mahadev Trading International</t>
  </si>
  <si>
    <t>PUMPKIN SEED 8 CTN 25 KGS / CTN</t>
  </si>
  <si>
    <t>Pumpkin Seeds Dark green 100g</t>
  </si>
  <si>
    <t>UTHRA FOODS VENTURE PVT LTD</t>
  </si>
  <si>
    <t>India Grocer Pty</t>
  </si>
  <si>
    <t>Fremantle</t>
  </si>
  <si>
    <t xml:space="preserve"> SOYA BEANS, WHETHER OR NOT BROKEN, Other</t>
  </si>
  <si>
    <t>Mar-2025</t>
  </si>
  <si>
    <t>AADCU4537C</t>
  </si>
  <si>
    <t>G B Enterprises</t>
  </si>
  <si>
    <t>Nitesh Food Products Pvt Ltd</t>
  </si>
  <si>
    <t>1112001620</t>
  </si>
  <si>
    <t>Bhat Bhateni Food Products Pvt. Ltd.</t>
  </si>
  <si>
    <t xml:space="preserve"> OTHER VEGETABLES, FRESH OR CHILLED,  Pumpkins, squash and gourds (Cucurbita spp.):, Pumpkins</t>
  </si>
  <si>
    <t>Laxmi Multi Trading Concern Pvt Ltd</t>
  </si>
  <si>
    <t>Mahe</t>
  </si>
  <si>
    <t>PUMPKIN SEEDS 500G TIRYANC JAR OTHERDETAILS AS PER INV. AND PACKING LIST</t>
  </si>
  <si>
    <t>Shree Ambey Industries</t>
  </si>
  <si>
    <t>A A Global Impex Ltd</t>
  </si>
  <si>
    <t>Barhi Icd</t>
  </si>
  <si>
    <t>AJKPB0411D</t>
  </si>
  <si>
    <t>Down to Earth Food NZ Ltd</t>
  </si>
  <si>
    <t>Jaipur Icdkanakpura</t>
  </si>
  <si>
    <t xml:space="preserve"> FRUIT, NUTS AND OTHER EDIBLE PARTS OF PLANTS, OTHERWISE PREPARED OR PRESERVED, WHETHER OR NOT CONTAINING ADDED SUGAR OR OTHER SWEETENING MATTER OR SPIRIT, NOT ELSEWHERE SPECIFIED OR INCLUDED,  Other:, Other</t>
  </si>
  <si>
    <t>PUMPKIN SEEDS KERNALS</t>
  </si>
  <si>
    <t>PUMPKIN SEED 200 gm X 50</t>
  </si>
  <si>
    <t>Jairaj Adi Global Food Products LLP</t>
  </si>
  <si>
    <t>Solland Import and Reise AS</t>
  </si>
  <si>
    <t>Oslo</t>
  </si>
  <si>
    <t>Norway</t>
  </si>
  <si>
    <t>AAMFJ9241J</t>
  </si>
  <si>
    <t>Maa Luxmi Traders</t>
  </si>
  <si>
    <t>PUMPKIN SEED 10X250G KASPERINV</t>
  </si>
  <si>
    <t>YASH ENTERPRISE NV</t>
  </si>
  <si>
    <t>Philipsburg</t>
  </si>
  <si>
    <t>Netherlands Antilles</t>
  </si>
  <si>
    <t>PUMPKIN FOOD SEEDS</t>
  </si>
  <si>
    <t>K K THAKUR SONS HUF</t>
  </si>
  <si>
    <t>Gocha Rabten</t>
  </si>
  <si>
    <t>AAOHK6472N</t>
  </si>
  <si>
    <t>Pumpkin Seeds 4 Boxes Nett Wt.25.000 &amp;Gross 25.350 Kgs</t>
  </si>
  <si>
    <t>Seal Brand and Co Ltd</t>
  </si>
  <si>
    <t>PUMPKIN SEEDS 500GM</t>
  </si>
  <si>
    <t>LIV247 FRESH BOX LLP</t>
  </si>
  <si>
    <t>Livly Foods</t>
  </si>
  <si>
    <t>Delhi Air</t>
  </si>
  <si>
    <t xml:space="preserve"> SUNFLOWER SEEDS, WHETHER OR NOT BROKEN,  Sunflower seeds, whether or not broken:, Of seed quality</t>
  </si>
  <si>
    <t>Apr-2025</t>
  </si>
  <si>
    <t>AALFL8521A</t>
  </si>
  <si>
    <t>BAYER GOKALS LTD</t>
  </si>
  <si>
    <t>Shri Balaji Food and Spices Store</t>
  </si>
  <si>
    <t xml:space="preserve"> LOCUST BEANS, SEAWEEDS AND OTHER ALGAE, SUGAR BEET AND SUGARCANE, FRESH, CHILLED, FROZEN OR DRIED, WHETHER OR NOT GROUND; FRUIT STONES AND KERNELS AND OTHER VEGETABLE PRODUCTS (INCLUDING UNROASTED CHICORY ROOTS OF THE VARIETY CICHORIUM INTYBUS SATIVUM) O,  Other:, Other</t>
  </si>
  <si>
    <t>PUMPKIN SEED 20081920  52 PKT X 250 GMGST NO. 27AABPR2754F1ZQ,INV. NO. 25-26/00237,INV. DATE. 09-04-2025</t>
  </si>
  <si>
    <t>Indian Kismis Company</t>
  </si>
  <si>
    <t>RSA Ventures Pte Ltd</t>
  </si>
  <si>
    <t>0312074191</t>
  </si>
  <si>
    <t>PUMPKIN SEED 5 CTN 20PKTS X 1KG =20KGS CTN</t>
  </si>
  <si>
    <t>PUMPKIN SEED 100 Grms</t>
  </si>
  <si>
    <t xml:space="preserve"> Other oil seeds and oleaginous fruits, whether or not broken</t>
  </si>
  <si>
    <t xml:space="preserve"> GINGER, SAFFRON, TURMERIC (CURCUMA), THYME, BAY LEAVES, CURRY AND OTHER SPICES,  Other:, Other</t>
  </si>
  <si>
    <t>PUMPKIN SEED 250G X 40 PCS</t>
  </si>
  <si>
    <t>DRIED PUMPKIN SEEDS EACH CTN 12.5KG PPCOVER PKT X 2 PKTS</t>
  </si>
  <si>
    <t xml:space="preserve"> Fruit, nuts and other edible parts of plants, otherwise prepared or preserved, whether or not containing added sugar or other sweetening matter or spirit, not elsewhere specified or included.</t>
  </si>
  <si>
    <t xml:space="preserve"> FRUIT, NUTS AND OTHER EDIBLE PARTS OF PLANTS, OTHERWISE PREPARED OR PRESERVED, WHETHER OR NOT CONTAINING ADDED SUGAR OR OTHER SWEETENING MATTER OR SPIRIT, NOT ELSEWHERE SPECIFIED OR INCLUDED,  including mixtures:, Cashew nut, roasted, salted or roasted and salted</t>
  </si>
  <si>
    <t>PUMPKIN SEED ROSTED</t>
  </si>
  <si>
    <t>GIANNA AGRO PRIVATE LIMITED</t>
  </si>
  <si>
    <t xml:space="preserve"> FRUIT, NUTS AND OTHER EDIBLE PARTS OF PLANTS, OTHERWISE PREPARED OR PRESERVED, WHETHER OR NOT CONTAINING ADDED SUGAR OR OTHER SWEETENING MATTER OR SPIRIT, NOT ELSEWHERE SPECIFIED OR INCLUDED,  including mixtures:</t>
  </si>
  <si>
    <t>May-2025</t>
  </si>
  <si>
    <t>AAACP3254C</t>
  </si>
  <si>
    <t>RASHYAA PUMPKIN SEED</t>
  </si>
  <si>
    <t>RASHYAA FOODS</t>
  </si>
  <si>
    <t>RASHYA FOODS PVT LTD</t>
  </si>
  <si>
    <t xml:space="preserve"> OTHER OIL SEEDS AND OLEAGINOUS FRUITS, WHETHER OR NOT BROKEN,  Melon seeds:, Other</t>
  </si>
  <si>
    <t>ODNPS5677F</t>
  </si>
  <si>
    <t>PUMPKIN SEEDS-200 GM-PKT OTHER DETAILED AS PER DOCUMENT  AND PACKING LIST</t>
  </si>
  <si>
    <t>Hospitality Supplies Ltd.</t>
  </si>
  <si>
    <t>Pumpkin Seeds/ Freshos /1kg Mrp799/-</t>
  </si>
  <si>
    <t>AATISH INTERNATIONAL</t>
  </si>
  <si>
    <t>ROASTED PUMPKIN SEED</t>
  </si>
  <si>
    <t>M R Corporation</t>
  </si>
  <si>
    <t>0814004873</t>
  </si>
  <si>
    <t>SHAH TRADE INTERNATIONAL</t>
  </si>
  <si>
    <t>JJEXIM Pvt Ltd</t>
  </si>
  <si>
    <t>SHUVA SANDESH TRADERS</t>
  </si>
  <si>
    <t>PUMPKIN SEED-UP</t>
  </si>
  <si>
    <t>Anil Agencies</t>
  </si>
  <si>
    <t>1508000603</t>
  </si>
  <si>
    <t>Januz Universal</t>
  </si>
  <si>
    <t xml:space="preserve">VANCOUVER BC CANADA CAVAN </t>
  </si>
  <si>
    <t>0311017843</t>
  </si>
  <si>
    <t>Chhetri Enterprise</t>
  </si>
  <si>
    <t>JITTY BHUTAN</t>
  </si>
  <si>
    <t>A G ROYAL TRADERS</t>
  </si>
  <si>
    <t>GOPALA KRISHNA LLC</t>
  </si>
  <si>
    <t>Norfolk</t>
  </si>
  <si>
    <t>AGJPJ6779L</t>
  </si>
  <si>
    <t>Jun-2025</t>
  </si>
  <si>
    <t>CD Pumpkin Seed Ball 15x275g</t>
  </si>
  <si>
    <t>Delight Foods USA</t>
  </si>
  <si>
    <t>8AM PUMPKIN SEEDS 200G</t>
  </si>
  <si>
    <t>Giant International Pvt Ltd</t>
  </si>
  <si>
    <t>Freetown</t>
  </si>
  <si>
    <t>Sierra Leone</t>
  </si>
  <si>
    <t>1314007122</t>
  </si>
  <si>
    <t>PUMPKIN SEED 16 CTN 25 KGS / CTN</t>
  </si>
  <si>
    <t>PUMPKIN SEEDS ORIGIN: INDIA,CROP:2025  PACKING: 12.5 KG VACUUM X 2 IN 180 MASTER BOX</t>
  </si>
  <si>
    <t>DRIED PUMPKIN SEEDS PACK IN CTN BOXES- SUPPLIER NAME: REAL MOMENTS PRODUCTIONLLP - GSTIN:08ABDFR8447E1ZZ</t>
  </si>
  <si>
    <t>Jul-2025</t>
  </si>
  <si>
    <t xml:space="preserve">PUMPKIN SEEDS  ROASTED </t>
  </si>
  <si>
    <t>PUMPKIN SEED ROASTED</t>
  </si>
  <si>
    <t>Ahmad Company</t>
  </si>
  <si>
    <t>PUMPKIN SEED 50 CTN 20PKTS X 1KG = 20KG CTN</t>
  </si>
  <si>
    <t>Pumpkin Seeds 20 PP Bags Each Bag NettWt 20.000 Kgs &amp; Gross Wt.20.050 Kgs</t>
  </si>
  <si>
    <t>MOHIT SPICES AND FOOD PRODUCTS</t>
  </si>
  <si>
    <t>Aug-2025</t>
  </si>
  <si>
    <t>Island Seed Pvt. Ltd.</t>
  </si>
  <si>
    <t>Maxit International</t>
  </si>
  <si>
    <t>ESHA ENTERPRISES PTE LTD</t>
  </si>
  <si>
    <t>0415012562</t>
  </si>
  <si>
    <t>PUMPKIN SEEDS ORIGIN: INDIA,CROP:2025 PACKING: 12.5 KG VACUUM X 2IN 40 MASTER BOXES</t>
  </si>
  <si>
    <t>Pumpkin Seeds 10KG</t>
  </si>
  <si>
    <t>JJEXIM PVTLTD BIRGUNJ</t>
  </si>
  <si>
    <t>Pumpkin Seeds-OTHER DETAILED AS PER DOCUMENT &amp;PL</t>
  </si>
  <si>
    <t>Om Exim Corporation</t>
  </si>
  <si>
    <t>0812008995</t>
  </si>
  <si>
    <t>Pumpkin SEED</t>
  </si>
  <si>
    <t>Sarusana Private Ltd.</t>
  </si>
  <si>
    <t>Shree Jee Enterprises</t>
  </si>
  <si>
    <t>Shoponline</t>
  </si>
  <si>
    <t>0205031986</t>
  </si>
  <si>
    <t>DRIED PUMPKIN SEEDS - PKD IN CTN SUPPLIER: REAL MOMENTS PRODUCTION LLP,JAIPUR GST NO:08ABDFR8447E1ZZ</t>
  </si>
  <si>
    <t>RAMAVTAR PRADEEP KUMAR</t>
  </si>
  <si>
    <t>Super Impex Pvt. Ltd.</t>
  </si>
  <si>
    <t>AIHPK0173H</t>
  </si>
  <si>
    <t>Baba Pashupatinath Agro Pvt Ltd</t>
  </si>
  <si>
    <t>N N Tshongkhang</t>
  </si>
  <si>
    <t>AHUJA IMPEX</t>
  </si>
  <si>
    <t>Bhimtar Bhutan</t>
  </si>
  <si>
    <t>Loksan Lcs</t>
  </si>
  <si>
    <t>PUMPKIN SEEDS ORIGIN: INDIA,CROP: 2025 PACKING: 12.5 KG VACUUM X 2 IN 40 BOXES</t>
  </si>
  <si>
    <t>Sep-2025</t>
  </si>
  <si>
    <t>Abhishek Exim Pvt. Ltd.</t>
  </si>
  <si>
    <t>GOCHA RABTEN TSHONGKHAN</t>
  </si>
  <si>
    <t>Pumpkin Seeds 100gm x 36</t>
  </si>
  <si>
    <t>NINPA ENTERPRISE</t>
  </si>
  <si>
    <t>AZDPV5597P</t>
  </si>
  <si>
    <t>NourshU Pumpkin Seeds 5Kg</t>
  </si>
  <si>
    <t>Fair Exports India Pvt Ltd</t>
  </si>
  <si>
    <t>Lulu Muscat Hypermarket L.L.C</t>
  </si>
  <si>
    <t>0391146670</t>
  </si>
  <si>
    <t>Gajanand Foods Pvt Ltd</t>
  </si>
  <si>
    <t>Y P IMPORTS INC</t>
  </si>
  <si>
    <t xml:space="preserve"> OTHER VEGETABLES, FRESH OR CHILLED,  Pumpkins, squash and gourds (Cucurbita spp.):, Other</t>
  </si>
  <si>
    <t>0899007899</t>
  </si>
  <si>
    <t>BHAT BHATENI FOOD PRODUCTS PVT LTD</t>
  </si>
  <si>
    <t>PUMKIN SEEDS PUMPKIN SEEDS</t>
  </si>
  <si>
    <t>New Punjab Store</t>
  </si>
  <si>
    <t>Islami Bank Bangladesh PLC</t>
  </si>
  <si>
    <t>Sonamosjid</t>
  </si>
  <si>
    <t>Kotawalighatmohedipur</t>
  </si>
  <si>
    <t>AEVPA1502Q</t>
  </si>
  <si>
    <t>Salalah</t>
  </si>
  <si>
    <t xml:space="preserve">PUMPKIN SEEDS -  200 GM - PKT </t>
  </si>
  <si>
    <t>Hazira</t>
  </si>
  <si>
    <t>Oct-2025</t>
  </si>
  <si>
    <t>SOLO</t>
  </si>
  <si>
    <t>Kamdar Exports</t>
  </si>
  <si>
    <t>Flex Trade Pvt Ltd</t>
  </si>
  <si>
    <t>0492028192</t>
  </si>
  <si>
    <t>PUMPKIN SEED 10X250GASPERINV</t>
  </si>
  <si>
    <t>YASH ENTERPRISE N V</t>
  </si>
  <si>
    <t>DRIED PUMPKIN SEEDS PKD IN CTN BOXES</t>
  </si>
  <si>
    <t>APEY WORLD OF NATURE PRIVATE LIMITED</t>
  </si>
  <si>
    <t>ABBCA7637C</t>
  </si>
  <si>
    <t>Ns Sprinkler Big Pumpkin Seeds 200g Mrp350/-</t>
  </si>
  <si>
    <t>PHUENTSHOG NORPHEL ENTERPISE</t>
  </si>
  <si>
    <t>PUMPKIN SEED - OTHER DETAILED AS PER DOCUMENT  &amp; PACKING LIST</t>
  </si>
  <si>
    <t>Roy International</t>
  </si>
  <si>
    <t>2413002715</t>
  </si>
  <si>
    <t>Bombay Masala Company Pvt Ltd</t>
  </si>
  <si>
    <t>My Mart</t>
  </si>
  <si>
    <t>AAECB7498J</t>
  </si>
  <si>
    <t>Exclusion Reason</t>
  </si>
  <si>
    <t>Exclude - explicitly non-seed</t>
  </si>
  <si>
    <t>SEEDS &gt;&gt; PUMPKIN SEEDS PUMPKIN SEEDSNON SEEDS API</t>
  </si>
  <si>
    <t>MAISHA ENTERPRISES</t>
  </si>
  <si>
    <t>Exclude - medicinal/botanical</t>
  </si>
  <si>
    <t xml:space="preserve">SEED &gt;&gt; PUMPKIN NON SEED AS PER  DOCUMENT </t>
  </si>
  <si>
    <t>Natural Aushadhi Bhandar</t>
  </si>
  <si>
    <t>Al Amin Enterprise</t>
  </si>
  <si>
    <t>Plants and parts of plants (including seeds and fruits), of a kind used primarily in perfumery, in pharmacy or for insecticidal, fungicidal or similar purpose, fresh or dried, whether or not cut, crushed or powdered</t>
  </si>
  <si>
    <t>CDYPS3792J</t>
  </si>
  <si>
    <t>Exclude - sowing/planting seed</t>
  </si>
  <si>
    <t>SEEDS &gt;&gt; VEGETABLE SEEDS VEGETABLE SEEDS - CITROULLE/PUMPKIN/CUCU</t>
  </si>
  <si>
    <t>Harvest Hybrid Seeds India Pvt Ltd</t>
  </si>
  <si>
    <t>TECHNISEM</t>
  </si>
  <si>
    <t>Paris</t>
  </si>
  <si>
    <t>France</t>
  </si>
  <si>
    <t>3116911754</t>
  </si>
  <si>
    <t>SEEDS &gt;&gt; PUMPKIN SEEDS PUMPKIN SEEDS</t>
  </si>
  <si>
    <t>Dashmesh Leather P Ltd</t>
  </si>
  <si>
    <t>Sitaram International Company Limited</t>
  </si>
  <si>
    <t>Bangkok</t>
  </si>
  <si>
    <t>Thailand</t>
  </si>
  <si>
    <t>0508048966</t>
  </si>
  <si>
    <t>SEEDS &gt;&gt; PUMPKIN SEEDS Pumpkin Seeds -10g API</t>
  </si>
  <si>
    <t>Debiri Agro Products Pvt Ltd</t>
  </si>
  <si>
    <t>BONDHON GENETICS LTD</t>
  </si>
  <si>
    <t>0298012707</t>
  </si>
  <si>
    <t>SEEDS &gt;&gt; VEGETABLE SEEDS VEGETABLE SEEDS-PUMPKIN-SPINACH BEET SUP</t>
  </si>
  <si>
    <t>East West Seeds India Pvt Ltd</t>
  </si>
  <si>
    <t>East West Seed International Ltd</t>
  </si>
  <si>
    <t>0303015012</t>
  </si>
  <si>
    <t>PUMPKIN &gt;&gt; PLANTS PUMPKIN  SPARE PARTS / ACCESSORIES / COMPONENT  OF PLANTS PUMPKIN SEED NON SEED</t>
  </si>
  <si>
    <t>S P Enterprises</t>
  </si>
  <si>
    <t>MOTIUR ENTERPRISE</t>
  </si>
  <si>
    <t>0214007481</t>
  </si>
  <si>
    <t>SEED &gt;&gt; PUMPKIN SEED PUMPKIN SEED NON SEED API</t>
  </si>
  <si>
    <t>BANTI KUNDU</t>
  </si>
  <si>
    <t>SIRAJUL ISLAM</t>
  </si>
  <si>
    <t>0216918910</t>
  </si>
  <si>
    <t>SEED &gt;&gt; PUMPKIN SEED  SPARE PARTS / ACCESSORIES / COMPONENT  OF PLANTS PUMPKIN SEED NON SEED</t>
  </si>
  <si>
    <t>R S Corporation</t>
  </si>
  <si>
    <t>SEEDS &gt;&gt; PLANTING SEEDS INDIAN PLANTING SEEDS - HY PUMPKIN - NO</t>
  </si>
  <si>
    <t>Sungro Seeds Pvt Ltd</t>
  </si>
  <si>
    <t>Widyana Al Batina For Horticulture And Agri Services</t>
  </si>
  <si>
    <t>Muscat</t>
  </si>
  <si>
    <t>0589007971</t>
  </si>
  <si>
    <t>Exclude - processed/non-food derivative</t>
  </si>
  <si>
    <t>EXTRACT &gt;&gt; SEED EXTRACT PUMPKIN SEED EXTRACT ADENOSINE 0.1% B</t>
  </si>
  <si>
    <t>Novel Nutrients Pvt Ltd</t>
  </si>
  <si>
    <t>VALENTIS UAB KAUNO SKYRIUS</t>
  </si>
  <si>
    <t>Vilnius</t>
  </si>
  <si>
    <t>Lithuania</t>
  </si>
  <si>
    <t>0711029393</t>
  </si>
  <si>
    <t>SEEDS &gt;&gt; PLANTING SEEDS INDIAN PLANTING SEEDS - HY PUMPKIN - SU</t>
  </si>
  <si>
    <t>SEEDS &gt;&gt; VEGETABLE SEEDS VEGETABLE SEEDS OF PUMPKIN SEEDS VARIET</t>
  </si>
  <si>
    <t>Crystal Crop Sciences Ltd</t>
  </si>
  <si>
    <t>BLUE WHALE INTERNATIONAL FZE</t>
  </si>
  <si>
    <t>0502006625</t>
  </si>
  <si>
    <t>SEEDS &gt;&gt; PUMPKIN SEEDS Pumpkin Seeds -5g/10g API</t>
  </si>
  <si>
    <t>HARRISON SPORT NUTRITION S L</t>
  </si>
  <si>
    <t>Valencia De Alcantara</t>
  </si>
  <si>
    <t>Spain</t>
  </si>
  <si>
    <t>SEEDS &gt;&gt; VEGETABLE SEEDS PUMPKIN CA181519 VEGETABLE SEEDS FOR SO</t>
  </si>
  <si>
    <t>Namdhari Seeds Pvt Ltd</t>
  </si>
  <si>
    <t>Allied Botanical Corporation</t>
  </si>
  <si>
    <t>Manila North Harbour</t>
  </si>
  <si>
    <t>Philippines</t>
  </si>
  <si>
    <t>0701001496</t>
  </si>
  <si>
    <t>SEEDS &gt;&gt; VEGETABLE SEEDS PUMPKIN UN110216 VEGETABLE SEEDS FOR SO</t>
  </si>
  <si>
    <t>SEEDS &gt;&gt; PUMPKIN SEEDS Pumpkin Seeds</t>
  </si>
  <si>
    <t>Nurture Agro Seeds LLP</t>
  </si>
  <si>
    <t>F A GREENSEEDS CORPORATION</t>
  </si>
  <si>
    <t>Manila</t>
  </si>
  <si>
    <t>AAPFN5294C</t>
  </si>
  <si>
    <t>SEED &gt;&gt; PLANTING SEED INDIAN PLANTING SEED- HY PUMPKIN</t>
  </si>
  <si>
    <t>SEED &gt;&gt; HY SEED PUMPKIN HY SEED KINGONG 10 GM</t>
  </si>
  <si>
    <t>DCM Shriram Ltd</t>
  </si>
  <si>
    <t>SANJAY IMPEX</t>
  </si>
  <si>
    <t>0590002881</t>
  </si>
  <si>
    <t>SEEDS &gt;&gt; VEGETABLE SEEDS VEGETABLE SEEDS:CROP :PUMPKIN,HYBRID:KRI</t>
  </si>
  <si>
    <t>Acsen Hyveg Pvt Ltd</t>
  </si>
  <si>
    <t>UNITED SEED COMPANY</t>
  </si>
  <si>
    <t>0416922937</t>
  </si>
  <si>
    <t>PUMPKIN SEED O/D AS PER INV/PL</t>
  </si>
  <si>
    <t>PUMPKIN SEED EXTRACT ADENOSINE 0.1% B</t>
  </si>
  <si>
    <t>PUMPKIN SEEDS-10G API</t>
  </si>
  <si>
    <t>Exclude - mixed/other food product</t>
  </si>
  <si>
    <t>Bajra and Pumpkin seeds porridge mix 200</t>
  </si>
  <si>
    <t>Dhatu Organics and Naturals Pvt Ltd</t>
  </si>
  <si>
    <t>ECO FUTURE GENERAL TRADING LLC</t>
  </si>
  <si>
    <t>Malt extract; food preparations of flour, groats, meal, starch or malt extract, not containing cocoa or containing less than 40% by weight of cocoa calculated on a totally defatted basis, not elsewhere specified or included; food preparations of goods of</t>
  </si>
  <si>
    <t>0716903997</t>
  </si>
  <si>
    <t>VEGETABLETS SEEDS - PUMPKIN SEEDS - LOT</t>
  </si>
  <si>
    <t>Welcome Crop Science Pvt Ltd</t>
  </si>
  <si>
    <t>Takii Co Ltd</t>
  </si>
  <si>
    <t>Osaka</t>
  </si>
  <si>
    <t>0509094881</t>
  </si>
  <si>
    <t>Pumpkin Seed Extract 2%</t>
  </si>
  <si>
    <t>Extroil Naturals</t>
  </si>
  <si>
    <t>Xian</t>
  </si>
  <si>
    <t>Ahmedabad Air</t>
  </si>
  <si>
    <t>APNPD6144A</t>
  </si>
  <si>
    <t xml:space="preserve"> SPARE PARTS / ACCESSORIES / COMPONENT  OF PLANTS AND OTHERS PUMPKIN SEED</t>
  </si>
  <si>
    <t>Ambika Seed Company</t>
  </si>
  <si>
    <t>JF AGRO PVT LTD</t>
  </si>
  <si>
    <t>0590024418</t>
  </si>
  <si>
    <t>Greenway Exports</t>
  </si>
  <si>
    <t>NANNEER 24340</t>
  </si>
  <si>
    <t>3510009541</t>
  </si>
  <si>
    <t>Pumpkin Variety No.7VEGETABLE SEEDS FOR</t>
  </si>
  <si>
    <t>Cava Seeds LLP</t>
  </si>
  <si>
    <t>Kaneko Seeds Co Ltd</t>
  </si>
  <si>
    <t>AAMFC7205K</t>
  </si>
  <si>
    <t xml:space="preserve"> SPARE PARTS / ACCESSORIES / COMPONENT  OF PLANTS PUMPKIN SEED NON SEED</t>
  </si>
  <si>
    <t>VEGETABLE SEEDS PUMPKIN VARETY USM-10</t>
  </si>
  <si>
    <t>VEGETABLE SEED: PUMPKIN API</t>
  </si>
  <si>
    <t>TONMOY PANDEY</t>
  </si>
  <si>
    <t>Islami Bank Bangladesh Ltd</t>
  </si>
  <si>
    <t>0205028144</t>
  </si>
  <si>
    <t>PUMPKIN 11758 VEGETABLE SEEDS FOR SOWIN</t>
  </si>
  <si>
    <t>REGIONAL AGRICULTURAL PRODUCTION</t>
  </si>
  <si>
    <t>PUMPKIN SEED EXTRACT</t>
  </si>
  <si>
    <t>Unicorn Natural Products Ltd</t>
  </si>
  <si>
    <t>Seoul</t>
  </si>
  <si>
    <t>South Korea</t>
  </si>
  <si>
    <t>Hyderabad Air</t>
  </si>
  <si>
    <t>0991006933</t>
  </si>
  <si>
    <t>PUMPKIN-BALWANHYBRID VEGETABLE SEEDS</t>
  </si>
  <si>
    <t>Nuziveedu Seeds Ltd</t>
  </si>
  <si>
    <t>OFORMULATION LTD</t>
  </si>
  <si>
    <t>0999000012</t>
  </si>
  <si>
    <t>INDIAN PLANTING SEED - HY. PUMPKIN- SUMO</t>
  </si>
  <si>
    <t>ALWADI AGRICULTURAL MATERIALS EST</t>
  </si>
  <si>
    <t>Sharjah</t>
  </si>
  <si>
    <t>INDIAN PLANTING SEED - HY. PUMPKIN- MAHY</t>
  </si>
  <si>
    <t>Pumpkin seed Extract 4:1; Batch: GH/P</t>
  </si>
  <si>
    <t>Herbs India</t>
  </si>
  <si>
    <t>Vitapharm Com SRL</t>
  </si>
  <si>
    <t>Chisinau (ex Kishinev)</t>
  </si>
  <si>
    <t>Moldova</t>
  </si>
  <si>
    <t>0309040779</t>
  </si>
  <si>
    <t>PUMPKIN PUM.213-R-Org VEGETABLE SEEDS F</t>
  </si>
  <si>
    <t>VITALIS BIOLOGISCHE ZADEN BV</t>
  </si>
  <si>
    <t>Amsterdam</t>
  </si>
  <si>
    <t>GREEN GARDEN TRAD</t>
  </si>
  <si>
    <t>VEGETABLE SEEDS:HYBRID PUMPKIN SEEDS CU</t>
  </si>
  <si>
    <t>United Genetics India Pvt Ltd</t>
  </si>
  <si>
    <t>KUSHIARA SEEDS</t>
  </si>
  <si>
    <t>Dhaka</t>
  </si>
  <si>
    <t>Aug-2022</t>
  </si>
  <si>
    <t>0705008886</t>
  </si>
  <si>
    <t>HY PUMPKIN SEEDS 7 B</t>
  </si>
  <si>
    <t>Jai Devi Seed Store</t>
  </si>
  <si>
    <t>BOXWISH GENERAL TRADING FZE DUBAI</t>
  </si>
  <si>
    <t>BMFPP6592N</t>
  </si>
  <si>
    <t>Pumpkin Seeds -10g API</t>
  </si>
  <si>
    <t>Hilli</t>
  </si>
  <si>
    <t>Rohini Seeds</t>
  </si>
  <si>
    <t>JOYPUR BEEZ MELA</t>
  </si>
  <si>
    <t>ADLPG7094A</t>
  </si>
  <si>
    <t>VEGETABLE SEEDS-PUMPKIN-MOSHATA RAJAH IT</t>
  </si>
  <si>
    <t>Pumpkin Seeds-5g/10g API</t>
  </si>
  <si>
    <t>PUMPKIN SEED OIL25 KGX1DRUM</t>
  </si>
  <si>
    <t>Marudhar Impex</t>
  </si>
  <si>
    <t>Essential oils (terpeneless or not),including concretes and absolutes; resinoids; extracted oleoresins; concentrates of essential oils in fats,in fixed oils, in waxes or the like, obtained by enfleurate or maceratin; terpenic by-products of the deterpenat</t>
  </si>
  <si>
    <t>0815012624</t>
  </si>
  <si>
    <t>HYBRID VEGETABLE SEEDS PUMPKIN-PITIVI 1</t>
  </si>
  <si>
    <t>PASHA PASHI SEED CO</t>
  </si>
  <si>
    <t>VEGETABLE SEEDS PUMPKIN-PITIVI 1 API</t>
  </si>
  <si>
    <t>INDIAN PLANTING SEEDS - HY PUMPKIN - SUM</t>
  </si>
  <si>
    <t>INDIAN PLANTING SEEDS - HY PUMPKIN - NOO</t>
  </si>
  <si>
    <t>INDIAN PLANTING SEEDS - HY. PUMPKIN - MI</t>
  </si>
  <si>
    <t>BLUE HORIZON PVT LTD</t>
  </si>
  <si>
    <t>INDIAN PLANTING SEEDS - HY PUMPKIN - CHA</t>
  </si>
  <si>
    <t>PUMPKIN 21-2013VEGETABLE SEEDS FOR SOWI</t>
  </si>
  <si>
    <t>KURUME VEGETABLE BREEDING CO LTD</t>
  </si>
  <si>
    <t>Fukuoka</t>
  </si>
  <si>
    <t>PUMPKIN SEEDS FB 22 10 GM PACK X 3 PACK</t>
  </si>
  <si>
    <t>FARMSON BIO-TECH</t>
  </si>
  <si>
    <t>GMS</t>
  </si>
  <si>
    <t>3416501641</t>
  </si>
  <si>
    <t>Pumpkin Seeds-10g /100g API</t>
  </si>
  <si>
    <t>Bondhon Genetics Ltd.</t>
  </si>
  <si>
    <t>Pumpkin seed Extract 4:1; Batch: GH/PSE/160822;  MANUFACTURING  DATE:16/08/2022  EXP DATE:15/08/2024</t>
  </si>
  <si>
    <t>Bajra &amp; Pumpkin Seeds Porridge Mix 200g</t>
  </si>
  <si>
    <t>Eco Future General Trading LLC</t>
  </si>
  <si>
    <t xml:space="preserve">Malt extract; food preparations of flour, groats, meal, starch or malt extract, not containing cocoa or containing less than 40% by weight of cocoa calculated on a totally defatted basis, not elsewhere specified or included; food preparations of goods of </t>
  </si>
  <si>
    <t>Organic Pumpkin Seed</t>
  </si>
  <si>
    <t>Westport/port Klang</t>
  </si>
  <si>
    <t>PUMPKIN SEED EXTRACT ADENOSINE 0.1% BNO:N22446  MANUFACTURING  DT:OCT-22 EXP DT:SEP-25</t>
  </si>
  <si>
    <t>VALENTIS UAB KAUNO SKYRIUS TAIKOS</t>
  </si>
  <si>
    <t>PUMPKIN SEEDS OP</t>
  </si>
  <si>
    <t>MN GLOBAL IMPEX</t>
  </si>
  <si>
    <t>NAME NADEEM KABUL AFGHANISTANSHAKHI MHAMMADI ROHANI LTD</t>
  </si>
  <si>
    <t>Kabul</t>
  </si>
  <si>
    <t>ABNFM9535A</t>
  </si>
  <si>
    <t>Pumpkin Seeds-100g PP API</t>
  </si>
  <si>
    <t>WE INTEND TO CLAIMED RODTEP PUMPKIN SEED EXTRACT 2%  BATCH NO: EN/CM02/UV11/2022  MANUFACTURING . DT: DEC. 2022 EXP. DT: NOV. 2025</t>
  </si>
  <si>
    <t>VEGETABLE SEEDS PUMPKIN - GUAMAL-7250F1 AS PER INV</t>
  </si>
  <si>
    <t>Hm Clause India Pvt Ltd</t>
  </si>
  <si>
    <t>HM Clause Thailand Co Ltd</t>
  </si>
  <si>
    <t>0902013343</t>
  </si>
  <si>
    <t>HYBRID PUMPKIN SEEDS</t>
  </si>
  <si>
    <t>THE ICON INDIA</t>
  </si>
  <si>
    <t>Boxwish General Trading FZE</t>
  </si>
  <si>
    <t>AMGPA3151Q</t>
  </si>
  <si>
    <t>INDIAN PLANTING SEEDS -HY PUMPKIN - MIPU1814 50GM</t>
  </si>
  <si>
    <t>Al Falah Agrotech Co</t>
  </si>
  <si>
    <t>OP Kuwait</t>
  </si>
  <si>
    <t>INDIAN PLANTING SEEDS -HY PUMPKIN - MIPU1831 50GM</t>
  </si>
  <si>
    <t>Pumpkin seed Extract 4:1; Batch: GH/PSE/160822;   MANUFACTURING  DATE:DATE:16/08/2022  EXPDATE :15/08/2024</t>
  </si>
  <si>
    <t>WE INTEND TO CLAIMED RODTEP PUMPKIN SEED EXTRACT 2%, BATCH NO.: EN/CM02/UV01/2023  MANUFACTURING . DATE: FEB.23 EXP. DATE: JAN-26</t>
  </si>
  <si>
    <t>Infinite Chem Co Ltd</t>
  </si>
  <si>
    <t>PUMPKIN PUM 059 ORGVEGETABLE SEEDS FORSOWING ONLY NOT FOR CONSUMPTION</t>
  </si>
  <si>
    <t>Pumpkin seed Extract 4:1; Batch: GH/PSE/190123;   MANUFACTURING  DATE:19.01.2023  EXP DATE: 18.01.2025</t>
  </si>
  <si>
    <t>FONS INTERNATIONAL</t>
  </si>
  <si>
    <t>KALPATARU POWERTRANSMISSIONLIMITED REDEVELOPMENT OF HANIMAADHOO INTER NATIONAL AIRPOR</t>
  </si>
  <si>
    <t>AAIFF6132A</t>
  </si>
  <si>
    <t>VEGETABLE SEEDS PUMPKIN SEEDS 4 BAGS</t>
  </si>
  <si>
    <t>Proline Seeds Company India Pvt Ltd</t>
  </si>
  <si>
    <t>Euro Seven General Trading LLC</t>
  </si>
  <si>
    <t>0597009341</t>
  </si>
  <si>
    <t>VEGETABLE SEEDS: CROP : PUMPKIN, HYBRID:GOLDEN BABY 250GM PACKING API</t>
  </si>
  <si>
    <t>United Seed Company</t>
  </si>
  <si>
    <t>VEGETABLE SEEDS: CROP : PUMPKIN,HYBRID:PARADISE 250GM PACKING API</t>
  </si>
  <si>
    <t>PUMPKIN SEED EXTRACT ADENOSINE 0.1% BATCH NO. N23147,  MANUFACTURING  DT. APR-2023, EXP. DT. MAR.-2026,</t>
  </si>
  <si>
    <t>VALENTIS UAB ADRESAS TAIKOS PR</t>
  </si>
  <si>
    <t>Lotusvale</t>
  </si>
  <si>
    <t>ORGANIC PUMPKIN SEED WHOLEDTL AS PERINVWE INT TO CLM BEN UND RODTEP SCH</t>
  </si>
  <si>
    <t>Aricha Trading Company Ltd</t>
  </si>
  <si>
    <t>NHARVEST CO LTD</t>
  </si>
  <si>
    <t>0299013596</t>
  </si>
  <si>
    <t>PUMPKIN Otylia F1FLOWER &amp; VEG SEEDS FORSOWING ONLY NOT FOR CONSUMPTION</t>
  </si>
  <si>
    <t>WLEGUTKO PRZEDSIEBIORSTWOHODOWLANO NASIENNE SP ZOO</t>
  </si>
  <si>
    <t>Warsaw</t>
  </si>
  <si>
    <t>Poland</t>
  </si>
  <si>
    <t>Pumpkin Seeds-25kg API</t>
  </si>
  <si>
    <t>Pumpkin Seed 1 BAG X 25 KG</t>
  </si>
  <si>
    <t>MITT AGRO PRIVATE LIMITED</t>
  </si>
  <si>
    <t>Penang</t>
  </si>
  <si>
    <t>AANCM0440J</t>
  </si>
  <si>
    <t>PUMPKIN SEED EXTRACT  ADENOSINE 0.1% BATCH NO. N23194  MANUFACTURING  DT. JUNE-23  EXP. DT.  MAY-26</t>
  </si>
  <si>
    <t>Valentis UAB</t>
  </si>
  <si>
    <t>Klaipeda</t>
  </si>
  <si>
    <t>PUMPKIN PUM 269-ORGVEGETABLE SEEDS FORSOWING ONLY NOT FOR CONSUMPTION</t>
  </si>
  <si>
    <t>Enza Zaden Seed Operations BV</t>
  </si>
  <si>
    <t>PUMPKIN SEED EXTRACT- 2%</t>
  </si>
  <si>
    <t>Nectar Phytochem Pvt Ltd</t>
  </si>
  <si>
    <t>0517526964</t>
  </si>
  <si>
    <t>PUMPKIN PUM 054-ORGVEGETABLE SEEDS FORSOWING ONLY NOT FOR CONSUMPTION</t>
  </si>
  <si>
    <t>PUMPKIN PUM 224-ORGVEGETABLE SEEDS FORSOWING ONLY NOT FOR CONSUMPTION</t>
  </si>
  <si>
    <t>PUMPKIN PUM 065-ORGVEGETABLE SEEDS FORSOWING ONLY NOT FOR CONSUMPTION</t>
  </si>
  <si>
    <t>PUMPKIN PUM 077-ORGVEGETABLE SEEDS FORSOWING ONLY NOT FOR CONSUMPTION</t>
  </si>
  <si>
    <t>PUMPKIN PUM 059-ORGVEGETABLE SEEDS FORSOWING ONLY NOT FOR CONSUMPTION</t>
  </si>
  <si>
    <t>PUMPKIN PUM 050R-ORGVEGETABLE SEEDS FORSOWING ONLY NOT FOR CONSUMPTION</t>
  </si>
  <si>
    <t xml:space="preserve">PUMPKIN SEED AS PER  DOCUMENT </t>
  </si>
  <si>
    <t>R D Seeds</t>
  </si>
  <si>
    <t>MS Joint Business Syndicate Corporation</t>
  </si>
  <si>
    <t>0206012969</t>
  </si>
  <si>
    <t>Quaker Oats Muesli Berries , Sunflower Seeds and Pumpkin Seeds 700g x 12</t>
  </si>
  <si>
    <t>Kayem Food Industries Pvt Ltd</t>
  </si>
  <si>
    <t>Pepsi Cola Thai Trading Co Ltd</t>
  </si>
  <si>
    <t>Laem Chabang</t>
  </si>
  <si>
    <t>Jattipur Icd</t>
  </si>
  <si>
    <t xml:space="preserve">Prepared foods obtained by the swelling or roasting of cereals or cereal products (for example, corn flakes); cereals (other than maize (corn) ) in grain form or in the form of flakes or other worked grains (except flour, groats and meal), pre-cooked, or </t>
  </si>
  <si>
    <t>0503042170</t>
  </si>
  <si>
    <t>VEGETABLE SEEDS FOR SOWINGPURPOSE-HYBRID PUMPKIN APS8RA BULK</t>
  </si>
  <si>
    <t>R K Seed Farms</t>
  </si>
  <si>
    <t>VIKAS KUMAR T A AGGROW</t>
  </si>
  <si>
    <t>Suva</t>
  </si>
  <si>
    <t>Fiji</t>
  </si>
  <si>
    <t>0505067862</t>
  </si>
  <si>
    <t>PUMPKIN SEEDS API</t>
  </si>
  <si>
    <t>Pariposa Seeds India Pvt Ltd</t>
  </si>
  <si>
    <t>M SRATNA BEEJ BHANDER STATION</t>
  </si>
  <si>
    <t>0214007782</t>
  </si>
  <si>
    <t>PUMPKIN SEEDS  A P I</t>
  </si>
  <si>
    <t>PUMPKIN GREEN MAGIC F1VEGETABLE SEEDS F</t>
  </si>
  <si>
    <t>Vokkal Seeds Pvt Ltd</t>
  </si>
  <si>
    <t>Balton Tanzania Ltd</t>
  </si>
  <si>
    <t>Kilimanjaro</t>
  </si>
  <si>
    <t>0716900441</t>
  </si>
  <si>
    <t>VEGETABLE SEEDS-CROP: PUMPKIN HYBRID: LUCKY 50 GM PACKING</t>
  </si>
  <si>
    <t>Arabia Agricultural Services Co LLC</t>
  </si>
  <si>
    <t>VEGETABLE SEEDS-CROP: PUMPKIN HYBRID: KRISHNA 50 GM PACKING</t>
  </si>
  <si>
    <t>HYBRID PUMPKIN SEEDS-KSG 802 API</t>
  </si>
  <si>
    <t>Kaveri Seed Company Ltd</t>
  </si>
  <si>
    <t>Isomer Agri Care Industries Ltd</t>
  </si>
  <si>
    <t>0903013886</t>
  </si>
  <si>
    <t>Pumpkin Seed 5Kg</t>
  </si>
  <si>
    <t>PUMPKIN Justynka F1VEGETABLE SEEDS FORSOWING ONLY NOT FOR CONSUMPTION</t>
  </si>
  <si>
    <t>Gdynia</t>
  </si>
  <si>
    <t>VEGETABLE SEEDS PUMPKIN SEEDS NO519 43BAG</t>
  </si>
  <si>
    <t>Kobe</t>
  </si>
  <si>
    <t>PUMPKIN SEED EXTRACT BATCH NO:N23266  MANUFACTURING DT. AUG-23, EXP. DT. JUL-26</t>
  </si>
  <si>
    <t>Harrison Sport Nutrition SLPOL</t>
  </si>
  <si>
    <t>Antwerpen</t>
  </si>
  <si>
    <t>Belgium</t>
  </si>
  <si>
    <t>HP PUMPKIN SEED NATURAL 200G 275  01PCS</t>
  </si>
  <si>
    <t>Sona Seeds</t>
  </si>
  <si>
    <t>Fazlu Seed Company</t>
  </si>
  <si>
    <t>0216901472</t>
  </si>
  <si>
    <t>Pumpkin seed Extract 4:1;  Batch: GH/PSE/230823  MANUFACTURING  DATE:23.06.2023  EXP DATE:22.08.2025</t>
  </si>
  <si>
    <t>PUMPKIN SEED 2 BAGS PKD IN 25.000 KGS NTWT.</t>
  </si>
  <si>
    <t>BANGLADESH NURSERY BALIA KAZAR BAZAR CHADPUR SADARCHADPUR BANGLADESH</t>
  </si>
  <si>
    <t xml:space="preserve">ORGANIC PUMPKIN SEED OTH. DET. AS PER DOCUMENT </t>
  </si>
  <si>
    <t>PUMPKIN SEED EXTRACT, BATCH NO. GO/PSE/2023070522,  MFG. ING DATE - JULY-23,EXPIRY DATE - JUNE-26</t>
  </si>
  <si>
    <t>GRACIOUS ORGANIC LLP</t>
  </si>
  <si>
    <t>AAXFG1444R</t>
  </si>
  <si>
    <t>HERBAL EXTRACT := PUMPKIN SEED EXTRACT 10:1</t>
  </si>
  <si>
    <t>Himalayan Herbaria Inc</t>
  </si>
  <si>
    <t>SILKWAY BVBA</t>
  </si>
  <si>
    <t>Brussels</t>
  </si>
  <si>
    <t>0508029287</t>
  </si>
  <si>
    <t>PUMPKIN SEEDS PACKED IN 30 KG BAG FORSOWING PURPOSE ONLY</t>
  </si>
  <si>
    <t>MSN Agro Seeds Pvt Ltd</t>
  </si>
  <si>
    <t>Mile Stone General Trading LLC</t>
  </si>
  <si>
    <t>0505039265</t>
  </si>
  <si>
    <t>Pumpkin Seeds 100gm</t>
  </si>
  <si>
    <t>SAMPOORNA SWADESI</t>
  </si>
  <si>
    <t>Thillai Super Market Pte Ltd</t>
  </si>
  <si>
    <t>Vizag Sea</t>
  </si>
  <si>
    <t>AEPPN0395A</t>
  </si>
  <si>
    <t>VEGETABLE SEEDS: CROP PUMPKIN HYBRID LUCKY 50 GM PACKING</t>
  </si>
  <si>
    <t>VEGETABLE SEEDS: CROP PUMPKIN HYBRID KRISHNA 50 GM PACKING</t>
  </si>
  <si>
    <t xml:space="preserve">PUMPKIN SEED NON SEED AS PER  DOCUMENT </t>
  </si>
  <si>
    <t>RR Traders</t>
  </si>
  <si>
    <t>Pumpkin seed Extract 4:1;  Batch: GH/PSE/130923  MANUFACTURING  DATE:13.09.2023  EXP DATE:12.09.2025</t>
  </si>
  <si>
    <t>PUMPKIN SEED SUPER MARKET ITEMS</t>
  </si>
  <si>
    <t>Munagorom Ventures</t>
  </si>
  <si>
    <t>Tincanlagos</t>
  </si>
  <si>
    <t>VEGETABLE SEEDS FOR LAB USE - PUMPKIN SEED</t>
  </si>
  <si>
    <t>Monsanto Holdings Pvt Ltd</t>
  </si>
  <si>
    <t>ENKHUIZEN SEED PHYSIOLOGY LAB C OMONSANTO HOLLAND BV</t>
  </si>
  <si>
    <t>0398055157</t>
  </si>
  <si>
    <t>INDIAN PLANTING SEEDS- HY. PUMPKIN-CHAKOR 50 GMSCUCURBITA PEPO</t>
  </si>
  <si>
    <t>INDIAN PLANTING SEEDS- HY. PUMPKIN-HONEYB MPH 3 50 GMSCUCURBITA PEPO</t>
  </si>
  <si>
    <t>INDIAN PLANTING SEEDS- HY. PUMPKIN-SUMOMPH 150 GMSCUCURBITA PEPO</t>
  </si>
  <si>
    <t>VEGETABLE SEEDS - PUMPKIN - VARIETY:PK1504</t>
  </si>
  <si>
    <t>Bio Resources</t>
  </si>
  <si>
    <t>Fa Greenseds Corporation</t>
  </si>
  <si>
    <t>0904008975</t>
  </si>
  <si>
    <t>VEGETABLE SEEDS : PUMPKIN BODHUA API</t>
  </si>
  <si>
    <t>EAST WEST SEED BANGLADESH PRIVATE</t>
  </si>
  <si>
    <t>VEGETABLE SEEDS PUMPKIN ARJUNA IN COATED</t>
  </si>
  <si>
    <t>JAY KISAN SEED CENTER TEBAHAL NACHHEGALI POBOX</t>
  </si>
  <si>
    <t>Biratnagar</t>
  </si>
  <si>
    <t>Jogbani</t>
  </si>
  <si>
    <t>VEGETABLE SEEDS PUMPKIN SEEDS- CUCURBITAMOSCHATA VARIETY:GM17.33</t>
  </si>
  <si>
    <t>BSV SEEDS</t>
  </si>
  <si>
    <t>TECHNISEM ZONE ANJOU ACTIPARC DE</t>
  </si>
  <si>
    <t>Le Havre</t>
  </si>
  <si>
    <t>AAUFB7897G</t>
  </si>
  <si>
    <t>INDIAN PLANTING SEEDS- HY PUMPKIN-SUMO MPH-1CUCURBITA PEPO</t>
  </si>
  <si>
    <t>PUMPKIN BOL171 D OrgVEGETABLE SEEDS FORSOWING ONLY NOT FOR CONSUMPTION</t>
  </si>
  <si>
    <t>De Bolster BV</t>
  </si>
  <si>
    <t>PUMPKIN PUM 269 ORGVEGETABLE SEEDS FORSOWING ONLY NOT FOR CONSUMPTION</t>
  </si>
  <si>
    <t>PUMPKIN PUM 295 ORGVEGETABLE SEEDS FORSOWING ONLY NOT FOR CONSUMPTION</t>
  </si>
  <si>
    <t>PUMPKIN BOL 347 OrgVEGETABLE SEEDS FORSOWING ONLY NOT FOR CONSUMPTION</t>
  </si>
  <si>
    <t>PUMPKIN PUM 213 ORGVEGETABLE SEEDS FORSOWING ONLY NOT FOR CONSUMPTION</t>
  </si>
  <si>
    <t>RUPESH KUMAR</t>
  </si>
  <si>
    <t>GYSPK8011H</t>
  </si>
  <si>
    <t>VEGETABLE SEEDS : PUMPKIN API</t>
  </si>
  <si>
    <t>INDIAN PLANTING SEED- HY PUMPKIN NO. 111 50 GM MPH-1CUCURBITA PEPO</t>
  </si>
  <si>
    <t>Pumpkin seed Extract 4:1;  Batch: GH/PSE/181223  MANUFACTURING  DATE:18.12.2023  EXP DATE:17.12.2025</t>
  </si>
  <si>
    <t>Chisinau Ex Kishinev</t>
  </si>
  <si>
    <t>PUMPKIN SEED EXTRACT PUMPKINCUCUBITA PEPOSEED EXTRACTADENOSINE0.1%,1.5%B.NO.GO/PSE/202402014,DOM.FEB-24,EXP.JAN-27</t>
  </si>
  <si>
    <t>PUMPKIN SEEDS-PU031</t>
  </si>
  <si>
    <t>HMCLAUSE VIETNAM LTD</t>
  </si>
  <si>
    <t>Ho Chi Minh City</t>
  </si>
  <si>
    <t>Vietnam</t>
  </si>
  <si>
    <t>Noida-Dadri-ICD</t>
  </si>
  <si>
    <t>OPULENCE-LOW CARB HIGH PROTEIN FLOUR,INGREDIENTS ALMOND FLOUR,PUMPKIN,FLAX SEED</t>
  </si>
  <si>
    <t>Queen Global International</t>
  </si>
  <si>
    <t>Al Mauna Trading WLL</t>
  </si>
  <si>
    <t>Cereal flours other than of wheat or meslin</t>
  </si>
  <si>
    <t>ASMPR2348Q</t>
  </si>
  <si>
    <t>MEWAR IMPEX</t>
  </si>
  <si>
    <t>Damini Traders and Suppliers</t>
  </si>
  <si>
    <t>CRFPR2381K</t>
  </si>
  <si>
    <t>HYBRID PUMPKIN SEEDS BRAND JAMS 09 1000SEEDSPACKX 5 POUCH 160 GMS</t>
  </si>
  <si>
    <t>LAHER SEEDS</t>
  </si>
  <si>
    <t>MOHAMMAD ALZMI</t>
  </si>
  <si>
    <t>ACXPL1398R</t>
  </si>
  <si>
    <t>Pumpkin Seed Extract 4:1;  Batch: GH/PSE/120424  MANUFACTURING  DATE:12.04.2024  EXP DATE:11.04.2026</t>
  </si>
  <si>
    <t>PUMPKIN SEEDS  OTHER DETAILS AS PER INV&amp; PL</t>
  </si>
  <si>
    <t>Rizwan Seed Company</t>
  </si>
  <si>
    <t>Abdul Wasi Norali Afghan Ltd.</t>
  </si>
  <si>
    <t>Karachi</t>
  </si>
  <si>
    <t>3007002877</t>
  </si>
  <si>
    <t>HYBRID PUMPKIN SEEDS - BRAND JAMS 09 1000 SEEDS PACK X 5 POUCH 160 GMS</t>
  </si>
  <si>
    <t>MOHAMMAD ALAZMI</t>
  </si>
  <si>
    <t>HY PUMPKIN  SEEDS FOR AGRICULTURE PURPOSE</t>
  </si>
  <si>
    <t>SHIVATRADE IMPEX PRIVATE LIMITED</t>
  </si>
  <si>
    <t>Top Guinee SARL</t>
  </si>
  <si>
    <t>Conakry</t>
  </si>
  <si>
    <t>Guinea</t>
  </si>
  <si>
    <t>ABMCS0318K</t>
  </si>
  <si>
    <t>PUMPKIN PUM.045-OrgVEGETABLE SEEDS FORSOWING ONLY NOT FOR CONSUMPTION</t>
  </si>
  <si>
    <t>Joint Business Syndicate Corporation</t>
  </si>
  <si>
    <t>Sayma Traders</t>
  </si>
  <si>
    <t>PUMPKIN SEED EXTRACT PUMPKIN CUCUBITA PEPO SEED EXTRACT ADENOSINE 0.1%, 1.5%ENTERODIOL 18-20:1</t>
  </si>
  <si>
    <t>OPULENCE - Low Carb High Protein Flour ,Ingredients : Almond flour, pumpkin, Flax seed</t>
  </si>
  <si>
    <t>Avisa Smart Hospitals FZ LLC</t>
  </si>
  <si>
    <t>Flour, meal and powder of the dried leguminous vegetables of heading 0713, of sago or of roots or tubers of heading 0714 or of the products of Chapter 8</t>
  </si>
  <si>
    <t>TREATED SEED, VEGETABLE SEEDS FOR SOWINGPURPOSE ONLY: PUMPKIN A.P.I.</t>
  </si>
  <si>
    <t>Rafique Seed</t>
  </si>
  <si>
    <t>PUMPKIN SEEDS-BENGALA P I</t>
  </si>
  <si>
    <t>Juwel Seed Company</t>
  </si>
  <si>
    <t>HYBRID PUMPKIN SEEDS-KSG-801</t>
  </si>
  <si>
    <t>Mstokki Seed Center</t>
  </si>
  <si>
    <t>Bangladesh Nursery</t>
  </si>
  <si>
    <t>VEGETABLE SEEDS : PUMPKIN SEEDS BIVI 03F1 FREE SAMPLE</t>
  </si>
  <si>
    <t>HK. Clause Vietnam Ltd.</t>
  </si>
  <si>
    <t>KGN Enterprise</t>
  </si>
  <si>
    <t>Al Modina Seed Store</t>
  </si>
  <si>
    <t>CKVPM8526J</t>
  </si>
  <si>
    <t>Taneja Seeds Corporation</t>
  </si>
  <si>
    <t>0597034095</t>
  </si>
  <si>
    <t>VEGETABLE SEEDS: Crop: Pumpkin, Variety:Krishna 50gm packing</t>
  </si>
  <si>
    <t>VEGETABLE SEEDS: Crop: Pumpkin, Variety:Lucky 50gm packing</t>
  </si>
  <si>
    <t>PUMPKIN SEEDS - BIVI 03</t>
  </si>
  <si>
    <t>Hm Clause Vietnam Limited Liability Company</t>
  </si>
  <si>
    <t>PUMPKIN SEEDS SUPER MARKET ITEMS</t>
  </si>
  <si>
    <t>BC Guvano and Chain Link Services</t>
  </si>
  <si>
    <t>PUMPKIN CUCUBITA PEPO SEED EXTRACTADENOSINE0.1%,15%ENTERODIOL18-20:1BHNO-GO/PSE/202411135 MGF.NOV-24 EX.OCT-27</t>
  </si>
  <si>
    <t xml:space="preserve"> VEGETABLE SAPS AND EXTRACTS; PECTIC SUBSTANCES, PECTINATES AND PECTATES; AGAR-AGAR AND OTHER MUCILAGES AND THICKENERS, WHETHER OR NOT MODIFIED, DERIVED FROM VEGETABLE PRODUCTS,  Other:, Other</t>
  </si>
  <si>
    <t>SEEDS Pumpkin</t>
  </si>
  <si>
    <t>Vihan agro agency</t>
  </si>
  <si>
    <t>Srinivasa Rao Gottipati</t>
  </si>
  <si>
    <t xml:space="preserve"> SEEDS, FRUIT AND SPORES, OF A KIND USED FOR SOWING,  Vegetable seeds:, Other</t>
  </si>
  <si>
    <t>AQKPG6788R</t>
  </si>
  <si>
    <t>VEGETABLE SEEDS : PUMPKIN : ADV 2317 20KGS BULK API</t>
  </si>
  <si>
    <t>ADVANTA ENTERPRISES LIMITED</t>
  </si>
  <si>
    <t>United Commercial Bank PLC</t>
  </si>
  <si>
    <t>AAXCA1074E</t>
  </si>
  <si>
    <t>PUMPKIN SEED EXTRACT BATCH NO-N24288</t>
  </si>
  <si>
    <t>Nutritional Manufacturing Services LLC</t>
  </si>
  <si>
    <t>PUMPKIN SEEDS-VARIETY-BIVI 03</t>
  </si>
  <si>
    <t>Hm. Clause Vietnam Ltd.</t>
  </si>
  <si>
    <t>VEGETABLE SEEDS PUMPKIN SEEDS CUCURBITAMOSCHATA</t>
  </si>
  <si>
    <t>Jay Kisan Seed Center</t>
  </si>
  <si>
    <t>COMPOUND PUMPKIN SEED ABC</t>
  </si>
  <si>
    <t>Kamal Arochem</t>
  </si>
  <si>
    <t>Alif Products FZE</t>
  </si>
  <si>
    <t xml:space="preserve"> MIXTURES OF ODORIFEROUS SUBSTANCES AND MIXTURES (INCLUDING ALCOHOLIC SOLUTIONS) WITH A BASIS OF ONE OR MORE OF THESE SUBSTANCES, OF A KIND USED AS RAW MATERIALS IN INDUSTRY; OTHER PREPARATIONS BASED ON ODORIFEROUS SUBSTANCES, OF A KIND USED FOR THE MANUF</t>
  </si>
  <si>
    <t>0314040579</t>
  </si>
  <si>
    <t>PUMPKIN SEEDS OTHER DETAILED AS PER DOCUMENT &amp;P/L</t>
  </si>
  <si>
    <t>Siddharth Food Product</t>
  </si>
  <si>
    <t>Cholia Foods HK Ltd</t>
  </si>
  <si>
    <t>1109004010</t>
  </si>
  <si>
    <t>VEGETABLE SEEDS - PUMPKIN - VIRAT</t>
  </si>
  <si>
    <t>Doctor Seeds Pvt Ltd</t>
  </si>
  <si>
    <t>St Soldier Farms Inc</t>
  </si>
  <si>
    <t>3000000208</t>
  </si>
  <si>
    <t>BEYOND INDIA EXPORTS</t>
  </si>
  <si>
    <t>Dublin</t>
  </si>
  <si>
    <t>Ireland</t>
  </si>
  <si>
    <t xml:space="preserve"> SEEDS, FRUIT AND SPORES, OF A KIND USED FOR SOWING,  Vegetable seeds:, Of Cabbage</t>
  </si>
  <si>
    <t>AAXFB7693M</t>
  </si>
  <si>
    <t>PUMPKIN SEED EXTRACT,B.NO.CPC-25/03/1249MFG:MAR-2025,EXP:FEB-2028</t>
  </si>
  <si>
    <t>PUMPKIN SEED EXTRACT 4:1; BATCH NO: GH/PSE/160125 ; MFG DATE: 16/01/2025; EXPDATE: 15/01/2027</t>
  </si>
  <si>
    <t>PUMPKIN SEEDS,PK-1395 API</t>
  </si>
  <si>
    <t>Kheti Bari Seeds Pvt Ltd</t>
  </si>
  <si>
    <t>Rafique Seeds</t>
  </si>
  <si>
    <t>2115001435</t>
  </si>
  <si>
    <t>VEGETABLE SEEDS : PUMPKIN - PRITHVI</t>
  </si>
  <si>
    <t>RGP GREENHOUSE INC</t>
  </si>
  <si>
    <t>Volza-G103170</t>
  </si>
  <si>
    <t>VEGETABLE SEEDS PUMPKIN SEEDS</t>
  </si>
  <si>
    <t>Jay Kishan Seed Center</t>
  </si>
  <si>
    <t>PUMPKIN SEEDS,PK BS01</t>
  </si>
  <si>
    <t>Rafique Seeds Holding</t>
  </si>
  <si>
    <t>Burimari</t>
  </si>
  <si>
    <t>Changrabandha</t>
  </si>
  <si>
    <t>Sivasakthi Machine Works</t>
  </si>
  <si>
    <t>Maharaja Supermarkets Pvt Ltd</t>
  </si>
  <si>
    <t>3203013860</t>
  </si>
  <si>
    <t>MAYURI GREEN PUMPKIN SEEDS 150G</t>
  </si>
  <si>
    <t>GROVOY GLOBAL EXPORTS PRIVATE LIMITED</t>
  </si>
  <si>
    <t>Home Food Direct Ltd.</t>
  </si>
  <si>
    <t>Clactononsea</t>
  </si>
  <si>
    <t>AAJCG9244Q</t>
  </si>
  <si>
    <t>PUMPKIN SEED EXTRACT B.NO.CPF-25/06/0244  MFG. ING :JUN-2025,EXP:MAY-2028</t>
  </si>
  <si>
    <t>RIDDHI SIDDHI ENTERPRISES</t>
  </si>
  <si>
    <t xml:space="preserve">INNOVATIVE FOOD CONCEPTS IFC </t>
  </si>
  <si>
    <t>Abidjan</t>
  </si>
  <si>
    <t>Ivory Coast</t>
  </si>
  <si>
    <t>AUTPM5211A</t>
  </si>
  <si>
    <t>NANKI PUMPKIN SEEDS 200 GM X 75 PCS = 15 KG</t>
  </si>
  <si>
    <t>GROCERIA LIMITED</t>
  </si>
  <si>
    <t>Ludhiana Icd</t>
  </si>
  <si>
    <t>PUMPKIN SEEDS-BIVI03 AS PER INV</t>
  </si>
  <si>
    <t>PUMPKIN SEED EXTRACT PUMPKIN CUCUBITA PEPOSEED EXTRACT: BATCH NO.GO/PSE/202505030,  MFG. ING .DATE-:MAY-25,EXP.DATE-:APR-28</t>
  </si>
  <si>
    <t>TFS Pumpkin Seeds Darkgreen 700g</t>
  </si>
  <si>
    <t>Pick n Save Supermarkets Ltd</t>
  </si>
  <si>
    <t>TFS Pumpkin Seeds Darkgreen 300g</t>
  </si>
  <si>
    <t>VEGETABLE SEED- PUMPKIN VARIETY:H57023,QTY:03 BAGS</t>
  </si>
  <si>
    <t>Sagi Seeds Pvt Ltd</t>
  </si>
  <si>
    <t>LARK SEEDS INTERNATONAL</t>
  </si>
  <si>
    <t>San Francisco</t>
  </si>
  <si>
    <t>0914004361</t>
  </si>
  <si>
    <t>ENZA ZADEN SEED OPERATIONS B V</t>
  </si>
  <si>
    <t>PUMPKIN SEEDS KSP 9750 7 BAGS</t>
  </si>
  <si>
    <t>Khaitan Agro Seeds</t>
  </si>
  <si>
    <t>0508072182</t>
  </si>
  <si>
    <t>Matadi</t>
  </si>
  <si>
    <t>Congo</t>
  </si>
  <si>
    <t>Vee Natural</t>
  </si>
  <si>
    <t>Long Beach</t>
  </si>
  <si>
    <t>5015001444</t>
  </si>
  <si>
    <t>PUMPKIN SEED EXTRACT 2%,BATCH NO.: EN/CM02/UV06/2025,  MFG. ING . DATE: 10 JULY 2025,EXP. DATE: 09 JULY 2028</t>
  </si>
  <si>
    <t>Rakib Seed Company</t>
  </si>
  <si>
    <t>GLOBAL SEEDS INDIA PRIVATE LIMITED</t>
  </si>
  <si>
    <t>Spice King General Trading Office</t>
  </si>
  <si>
    <t>AAJCG4618G</t>
  </si>
  <si>
    <t>VEGETABLE SEEDS - PUMPKIN BD 417 COATEDAPI</t>
  </si>
  <si>
    <t>EAST WEST SEED BANGLADESH PVT LTD</t>
  </si>
  <si>
    <t>VEGETABLE SEEDS - PUMPKIN BEHULA COATEDAPI</t>
  </si>
  <si>
    <t>VEGETABLE SEEDS - PUMPKIN BODHUA COATEDAPI</t>
  </si>
  <si>
    <t>PUMPKIN SEED EXTRACT 2% OTHER DETAILED ASPER DOCUMENT  AND PACKING LIST</t>
  </si>
  <si>
    <t>SWEETS AND SNACKS ITEMS-PUMPKIN SEEDS</t>
  </si>
  <si>
    <t>SSR TRADING</t>
  </si>
  <si>
    <t>SSR TRADINGS PTE LTD</t>
  </si>
  <si>
    <t>Tondiarpet Icd</t>
  </si>
  <si>
    <t xml:space="preserve"> PREPARED FOODS OBTAINED BY THE SWELLING OR ROASTING OF CEREALS OR CEREAL PRODUCTS (FOR EXAMPLE, CORN FLAKES); CEREALS [OTHER THAN MAIZE (CORN) ] IN GRAIN FORM OR IN THE FORM OF FLAKES OR OTHER WORKED GRAINS (EXCEPT FLOUR, GROATS AND MEAL), PRE-COOKED OR ,  Prepared foods obtained by the swelling or roasting of cereals or cereal products:, Other</t>
  </si>
  <si>
    <t>CYYPM7025H</t>
  </si>
  <si>
    <t>Pumpkin seed extract Batch No. N25210 mgf dt. jul-25 exp dt. jun-30</t>
  </si>
  <si>
    <t>Harrison Sport Nutrition S L</t>
  </si>
  <si>
    <t>Dry Pumpkin Extract seeds</t>
  </si>
  <si>
    <t>BIGNESTS</t>
  </si>
  <si>
    <t>LLC KAZAN EXTRACTS PLANT</t>
  </si>
  <si>
    <t>Moscow</t>
  </si>
  <si>
    <t>Russia</t>
  </si>
  <si>
    <t>DSPPS4820C</t>
  </si>
  <si>
    <t>LLC Greenomica Trade</t>
  </si>
  <si>
    <t xml:space="preserve">PUMPKIN SEEDS AS PER DOCUMENT </t>
  </si>
  <si>
    <t>NAVIN KUMAR</t>
  </si>
  <si>
    <t>2117500099</t>
  </si>
  <si>
    <t>HUDDALTON ENTERPRISES</t>
  </si>
  <si>
    <t>PUMPKIN SEED EXTRACT 2 % BATCH NUMBERCPI-25/09/0663  MANUFACTURING - SEP 2025 EXP- AUG2028</t>
  </si>
  <si>
    <t>PUMPKIN SEED 5*8*200GM</t>
  </si>
  <si>
    <t>Bains Wholesale Foods Ltd.</t>
  </si>
  <si>
    <t>PUMPKIN SEEDS NON SEED</t>
  </si>
  <si>
    <t>Motiur Enterprises</t>
  </si>
  <si>
    <t>Pumpkin seed extract Batch No. N25260  MANUFACTURING  Dt. Aug-25 Exp Dt. Jul-30</t>
  </si>
  <si>
    <t>HARRISON SPORT NUTRITION SL</t>
  </si>
  <si>
    <t>ISLAND SEED PVT LTD PRIVATE LIMITED</t>
  </si>
  <si>
    <t>Pumpkin seed Extract 4:1; Batch: GH/PSE/130725 ;  MANUFACTURING  DATE: 13.07.2025 ; EXP DATE: 12.07.2027</t>
  </si>
  <si>
    <t>Priya Exports</t>
  </si>
  <si>
    <t>SUVA FIJI</t>
  </si>
  <si>
    <t>Irugur Icd</t>
  </si>
  <si>
    <t>3292009472</t>
  </si>
  <si>
    <t>IG PUMPKIN SEEDS DARK GREEN 100 GMS</t>
  </si>
  <si>
    <t>Mohan Mutha Exports Pvt Ltd</t>
  </si>
  <si>
    <t>Mohan Mutha Exports Pvt. Ltd.</t>
  </si>
  <si>
    <t xml:space="preserve"> SEEDS, FRUIT AND SPORES, OF A KIND USED FOR SOWING,  Other:, Fruit seeds for planting or sowing</t>
  </si>
  <si>
    <t>0488017009</t>
  </si>
  <si>
    <t>Review Flag</t>
  </si>
  <si>
    <t>Explicit edible description but HS code is under 1209 (sowing heading)</t>
  </si>
  <si>
    <t>Duplicate Review</t>
  </si>
  <si>
    <t>Potential duplicate based on business fields; verify Record ID/source</t>
  </si>
  <si>
    <t>Metric</t>
  </si>
  <si>
    <t>Count</t>
  </si>
  <si>
    <t>Raw data rows</t>
  </si>
  <si>
    <t>Raw data columns</t>
  </si>
  <si>
    <t>Exact duplicate rows</t>
  </si>
  <si>
    <t>Final edible-pumpkin-seed rows</t>
  </si>
  <si>
    <t>Excluded rows</t>
  </si>
  <si>
    <t>Manual classification review rows</t>
  </si>
  <si>
    <t>Missing Rate Currency in final data</t>
  </si>
  <si>
    <t>Potential duplicate rows in final data</t>
  </si>
  <si>
    <t>Final analysis columns</t>
  </si>
  <si>
    <t>Year</t>
  </si>
  <si>
    <t>Row Labels</t>
  </si>
  <si>
    <t>Grand Total</t>
  </si>
  <si>
    <t>2022</t>
  </si>
  <si>
    <t>2023</t>
  </si>
  <si>
    <t>2024</t>
  </si>
  <si>
    <t>2025</t>
  </si>
  <si>
    <t>Sum of Estimated  F.O.B Value $</t>
  </si>
  <si>
    <t>MARKET SIZE</t>
  </si>
  <si>
    <t>YoY%</t>
  </si>
  <si>
    <t>1)</t>
  </si>
  <si>
    <t>2)</t>
  </si>
  <si>
    <t>MARKET VOLUME</t>
  </si>
  <si>
    <t>Sum of Standard Qty</t>
  </si>
  <si>
    <t>3)</t>
  </si>
  <si>
    <t>PRICE ANALYSIS</t>
  </si>
  <si>
    <t>Average of Standard Unit Rate $</t>
  </si>
  <si>
    <t>4)</t>
  </si>
  <si>
    <t>DESTINATION COUNTRY ANALYSIS</t>
  </si>
  <si>
    <t>Count of Record Id</t>
  </si>
  <si>
    <t>Volume</t>
  </si>
  <si>
    <t>Shipments</t>
  </si>
  <si>
    <t>FOB Values</t>
  </si>
  <si>
    <t>5)</t>
  </si>
  <si>
    <t>PORT OF DESTINATION</t>
  </si>
  <si>
    <t>Port of Destinations</t>
  </si>
  <si>
    <t xml:space="preserve">6) </t>
  </si>
  <si>
    <t>TOP CONSIGNEES/BUYERS</t>
  </si>
  <si>
    <t>7)</t>
  </si>
  <si>
    <t>SEASONALITY</t>
  </si>
  <si>
    <t>Months</t>
  </si>
  <si>
    <t>8)</t>
  </si>
  <si>
    <t>Top Shippers / Exporters</t>
  </si>
  <si>
    <t>9)</t>
  </si>
  <si>
    <t>Shipper × Destination</t>
  </si>
  <si>
    <t>Column Labels</t>
  </si>
  <si>
    <t>10)</t>
  </si>
  <si>
    <t>Consignee × Shipper</t>
  </si>
  <si>
    <t>Buyer X imports heavily from Exporter A and Exporter B</t>
  </si>
  <si>
    <t>11)</t>
  </si>
  <si>
    <t>Price vs Country</t>
  </si>
  <si>
    <r>
      <t xml:space="preserve">A small market with a </t>
    </r>
    <r>
      <rPr>
        <b/>
        <sz val="11"/>
        <color theme="1"/>
        <rFont val="Calibri"/>
        <family val="2"/>
        <scheme val="minor"/>
      </rPr>
      <t>high average price</t>
    </r>
    <r>
      <rPr>
        <sz val="11"/>
        <color theme="1"/>
        <rFont val="Calibri"/>
        <family val="2"/>
        <scheme val="minor"/>
      </rPr>
      <t xml:space="preserve"> could potentially be more attractive than a huge low-price market.</t>
    </r>
  </si>
  <si>
    <t>12)</t>
  </si>
  <si>
    <t>Growth by Country</t>
  </si>
  <si>
    <t>Top 5 Countries by Value</t>
  </si>
  <si>
    <t>Top 5 countries by Volume</t>
  </si>
  <si>
    <t>Top Ports</t>
  </si>
  <si>
    <t>Top 5 Shippers</t>
  </si>
  <si>
    <t>High Average Prices</t>
  </si>
  <si>
    <t>Country</t>
  </si>
  <si>
    <t>Top 5 Consignee × Shipper Pairs</t>
  </si>
  <si>
    <t>Rank</t>
  </si>
  <si>
    <t>Consignee</t>
  </si>
  <si>
    <t>Shipper</t>
  </si>
  <si>
    <t>Row idx (helper)</t>
  </si>
  <si>
    <t>Col idx (helper)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</si>
</sst>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hh:mm:ss"/>
    <numFmt numFmtId="165" formatCode="0.000"/>
    <numFmt numFmtId="166" formatCode="yyyy"/>
    <numFmt numFmtId="168" formatCode="mmmm"/>
    <numFmt numFmtId="169" formatCode="0.0%"/>
    <numFmt numFmtId="178" formatCode="[$-409]mmmm;@"/>
    <numFmt numFmtId="180" formatCode="[$$-409]#,##0.00"/>
  </numFmts>
  <fonts count="7"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b/>
      <sz val="11"/>
      <color rgb="FFFFFFFF"/>
      <name val="Calibri"/>
      <family val="2"/>
      <scheme val="minor"/>
    </font>
    <font>
      <i/>
      <sz val="11"/>
      <color rgb="FF808080"/>
      <name val="Calibri"/>
      <family val="2"/>
      <scheme val="minor"/>
    </font>
  </fonts>
  <fills count="20">
    <fill>
      <patternFill patternType="none"/>
    </fill>
    <fill>
      <patternFill patternType="gray125"/>
    </fill>
    <fill>
      <patternFill patternType="solid">
        <fgColor rgb="FFD9EAF7"/>
      </patternFill>
    </fill>
    <fill>
      <patternFill patternType="solid">
        <fgColor theme="3" tint="0.59999389629810485"/>
        <bgColor indexed="64"/>
      </patternFill>
    </fill>
    <fill>
      <patternFill patternType="solid">
        <fgColor rgb="FF92D050"/>
        <bgColor indexed="64"/>
      </patternFill>
    </fill>
    <fill>
      <patternFill patternType="solid">
        <fgColor rgb="FF00B0F0"/>
        <bgColor indexed="64"/>
      </patternFill>
    </fill>
    <fill>
      <patternFill patternType="solid">
        <fgColor theme="6"/>
        <bgColor indexed="64"/>
      </patternFill>
    </fill>
    <fill>
      <patternFill patternType="solid">
        <fgColor theme="6" tint="0.59999389629810485"/>
        <bgColor indexed="64"/>
      </patternFill>
    </fill>
    <fill>
      <patternFill patternType="solid">
        <fgColor theme="5"/>
        <bgColor indexed="64"/>
      </patternFill>
    </fill>
    <fill>
      <patternFill patternType="solid">
        <fgColor theme="7"/>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7030A0"/>
        <bgColor indexed="64"/>
      </patternFill>
    </fill>
    <fill>
      <patternFill patternType="solid">
        <fgColor rgb="FFFF0000"/>
        <bgColor indexed="64"/>
      </patternFill>
    </fill>
    <fill>
      <patternFill patternType="solid">
        <fgColor theme="0"/>
        <bgColor indexed="64"/>
      </patternFill>
    </fill>
    <fill>
      <patternFill patternType="solid">
        <fgColor rgb="FFDCE6F1"/>
        <bgColor indexed="64"/>
      </patternFill>
    </fill>
    <fill>
      <patternFill patternType="solid">
        <fgColor rgb="FF8064A2"/>
        <bgColor indexed="64"/>
      </patternFill>
    </fill>
    <fill>
      <patternFill patternType="solid">
        <fgColor rgb="FFCCC0DA"/>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bottom style="thin">
        <color rgb="FF95B3D7"/>
      </bottom>
      <diagonal/>
    </border>
    <border>
      <left/>
      <right/>
      <top style="thin">
        <color rgb="FF95B3D7"/>
      </top>
      <bottom/>
      <diagonal/>
    </border>
  </borders>
  <cellStyleXfs count="2">
    <xf numFmtId="0" fontId="0" fillId="0" borderId="0"/>
    <xf numFmtId="9" fontId="2" fillId="0" borderId="0" applyFont="0" applyFill="0" applyBorder="0" applyAlignment="0" applyProtection="0"/>
  </cellStyleXfs>
  <cellXfs count="51">
    <xf numFmtId="0" fontId="0" fillId="0" borderId="0" xfId="0"/>
    <xf numFmtId="164" fontId="0" fillId="0" borderId="0" xfId="0" applyNumberFormat="1"/>
    <xf numFmtId="0" fontId="1"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14" fontId="0" fillId="0" borderId="0" xfId="0" applyNumberFormat="1"/>
    <xf numFmtId="4" fontId="1" fillId="2" borderId="2" xfId="0" applyNumberFormat="1" applyFont="1" applyFill="1" applyBorder="1" applyAlignment="1">
      <alignment horizontal="center" vertical="center" wrapText="1"/>
    </xf>
    <xf numFmtId="4" fontId="0" fillId="0" borderId="0" xfId="0" applyNumberFormat="1"/>
    <xf numFmtId="165" fontId="1" fillId="2" borderId="2" xfId="0" applyNumberFormat="1" applyFont="1" applyFill="1" applyBorder="1" applyAlignment="1">
      <alignment horizontal="center" vertical="center" wrapText="1"/>
    </xf>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3" fillId="0" borderId="0" xfId="0" applyFont="1"/>
    <xf numFmtId="2" fontId="0" fillId="0" borderId="0" xfId="0" applyNumberFormat="1"/>
    <xf numFmtId="0" fontId="3" fillId="0" borderId="0" xfId="0" applyFont="1" applyAlignment="1">
      <alignment horizontal="left"/>
    </xf>
    <xf numFmtId="168" fontId="0" fillId="0" borderId="0" xfId="0" applyNumberFormat="1"/>
    <xf numFmtId="169" fontId="3" fillId="0" borderId="0" xfId="1" applyNumberFormat="1" applyFont="1"/>
    <xf numFmtId="0" fontId="3" fillId="5" borderId="0" xfId="0" applyFont="1" applyFill="1"/>
    <xf numFmtId="0" fontId="0" fillId="4" borderId="0" xfId="0" applyFill="1" applyAlignment="1">
      <alignment horizontal="left"/>
    </xf>
    <xf numFmtId="0" fontId="0" fillId="3" borderId="0" xfId="0" applyFill="1" applyAlignment="1">
      <alignment horizontal="left"/>
    </xf>
    <xf numFmtId="0" fontId="0" fillId="7" borderId="0" xfId="0" applyFill="1" applyAlignment="1">
      <alignment horizontal="left"/>
    </xf>
    <xf numFmtId="0" fontId="3" fillId="6" borderId="0" xfId="0" applyFont="1" applyFill="1"/>
    <xf numFmtId="0" fontId="0" fillId="8" borderId="0" xfId="0" applyFill="1"/>
    <xf numFmtId="0" fontId="0" fillId="9" borderId="0" xfId="0" applyFill="1"/>
    <xf numFmtId="0" fontId="0" fillId="10" borderId="0" xfId="0" applyFill="1" applyAlignment="1">
      <alignment horizontal="left"/>
    </xf>
    <xf numFmtId="0" fontId="0" fillId="11" borderId="0" xfId="0" applyFill="1" applyAlignment="1">
      <alignment horizontal="left"/>
    </xf>
    <xf numFmtId="0" fontId="0" fillId="12" borderId="0" xfId="0" applyFill="1"/>
    <xf numFmtId="0" fontId="0" fillId="4" borderId="0" xfId="0" applyFill="1"/>
    <xf numFmtId="0" fontId="0" fillId="13" borderId="0" xfId="0" applyFill="1" applyAlignment="1">
      <alignment horizontal="left"/>
    </xf>
    <xf numFmtId="0" fontId="0" fillId="13" borderId="0" xfId="0" applyFill="1"/>
    <xf numFmtId="0" fontId="0" fillId="5" borderId="0" xfId="0" applyFill="1" applyAlignment="1">
      <alignment horizontal="left"/>
    </xf>
    <xf numFmtId="0" fontId="0" fillId="5" borderId="0" xfId="0" applyFill="1"/>
    <xf numFmtId="0" fontId="0" fillId="14" borderId="0" xfId="0" applyFill="1" applyAlignment="1">
      <alignment horizontal="left"/>
    </xf>
    <xf numFmtId="0" fontId="0" fillId="14" borderId="0" xfId="0" applyFill="1"/>
    <xf numFmtId="0" fontId="0" fillId="15" borderId="0" xfId="0" applyFill="1" applyAlignment="1">
      <alignment horizontal="left"/>
    </xf>
    <xf numFmtId="0" fontId="0" fillId="15" borderId="0" xfId="0" applyFill="1"/>
    <xf numFmtId="0" fontId="3" fillId="16" borderId="0" xfId="0" applyFont="1" applyFill="1"/>
    <xf numFmtId="0" fontId="3" fillId="17" borderId="4" xfId="0" applyFont="1" applyFill="1" applyBorder="1"/>
    <xf numFmtId="178" fontId="0" fillId="0" borderId="0" xfId="0" applyNumberFormat="1" applyAlignment="1">
      <alignment horizontal="left"/>
    </xf>
    <xf numFmtId="0" fontId="3" fillId="17" borderId="5" xfId="0" applyFont="1" applyFill="1" applyBorder="1"/>
    <xf numFmtId="0" fontId="3" fillId="17" borderId="5" xfId="0" applyFont="1" applyFill="1" applyBorder="1" applyAlignment="1">
      <alignment horizontal="left"/>
    </xf>
    <xf numFmtId="0" fontId="6" fillId="0" borderId="0" xfId="0" applyFont="1"/>
    <xf numFmtId="0" fontId="5" fillId="18" borderId="0" xfId="0" applyFont="1" applyFill="1" applyBorder="1"/>
    <xf numFmtId="0" fontId="0" fillId="19" borderId="0" xfId="0" applyFill="1" applyBorder="1" applyAlignment="1">
      <alignment horizontal="center"/>
    </xf>
    <xf numFmtId="0" fontId="0" fillId="19" borderId="0" xfId="0" applyFill="1" applyBorder="1" applyAlignment="1">
      <alignment horizontal="left"/>
    </xf>
    <xf numFmtId="0" fontId="0" fillId="19" borderId="3" xfId="0" applyFill="1" applyBorder="1" applyAlignment="1">
      <alignment horizontal="center"/>
    </xf>
    <xf numFmtId="0" fontId="0" fillId="19" borderId="3" xfId="0" applyFill="1" applyBorder="1" applyAlignment="1">
      <alignment horizontal="left"/>
    </xf>
    <xf numFmtId="180" fontId="0" fillId="19" borderId="0" xfId="0" applyNumberFormat="1" applyFill="1" applyBorder="1"/>
    <xf numFmtId="180" fontId="0" fillId="19" borderId="3" xfId="0" applyNumberFormat="1" applyFill="1" applyBorder="1"/>
  </cellXfs>
  <cellStyles count="2">
    <cellStyle name="Normal" xfId="0" builtinId="0"/>
    <cellStyle name="Percent" xfId="1" builtinId="5"/>
  </cellStyles>
  <dxfs count="30">
    <dxf>
      <numFmt numFmtId="168" formatCode="mmmm"/>
    </dxf>
    <dxf>
      <numFmt numFmtId="165" formatCode="0.000"/>
    </dxf>
    <dxf>
      <numFmt numFmtId="165" formatCode="0.000"/>
    </dxf>
    <dxf>
      <numFmt numFmtId="4" formatCode="#,##0.00"/>
    </dxf>
    <dxf>
      <numFmt numFmtId="166" formatCode="yyyy"/>
    </dxf>
    <dxf>
      <numFmt numFmtId="177"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center" textRotation="0" wrapText="1"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165" formatCode="0.000"/>
    </dxf>
    <dxf>
      <numFmt numFmtId="170" formatCode="0.0000"/>
    </dxf>
    <dxf>
      <numFmt numFmtId="171" formatCode="0.00000"/>
    </dxf>
    <dxf>
      <numFmt numFmtId="172" formatCode="0.000000"/>
    </dxf>
    <dxf>
      <numFmt numFmtId="173" formatCode="0.0000000"/>
    </dxf>
    <dxf>
      <numFmt numFmtId="174" formatCode="0.00000000"/>
    </dxf>
    <dxf>
      <numFmt numFmtId="175" formatCode="0.000000000"/>
    </dxf>
    <dxf>
      <numFmt numFmtId="176" formatCode="0.0000000000"/>
    </dxf>
    <dxf>
      <numFmt numFmtId="167" formatCode="[$-409]mmmmm;@"/>
    </dxf>
    <dxf>
      <numFmt numFmtId="167" formatCode="[$-409]mmmmm;@"/>
    </dxf>
    <dxf>
      <fill>
        <patternFill patternType="solid">
          <bgColor rgb="FF7030A0"/>
        </patternFill>
      </fill>
    </dxf>
    <dxf>
      <fill>
        <patternFill patternType="solid">
          <bgColor rgb="FF7030A0"/>
        </patternFill>
      </fill>
    </dxf>
    <dxf>
      <fill>
        <patternFill patternType="solid">
          <bgColor rgb="FFFF0000"/>
        </patternFill>
      </fill>
    </dxf>
    <dxf>
      <fill>
        <patternFill patternType="solid">
          <bgColor rgb="FFFF0000"/>
        </patternFill>
      </fill>
    </dxf>
    <dxf>
      <fill>
        <patternFill patternType="solid">
          <bgColor rgb="FF00B0F0"/>
        </patternFill>
      </fill>
    </dxf>
    <dxf>
      <fill>
        <patternFill patternType="solid">
          <bgColor rgb="FF00B0F0"/>
        </patternFill>
      </fill>
    </dxf>
    <dxf>
      <fill>
        <patternFill patternType="solid">
          <bgColor rgb="FFFFC000"/>
        </patternFill>
      </fill>
    </dxf>
    <dxf>
      <fill>
        <patternFill patternType="solid">
          <bgColor rgb="FFFFC000"/>
        </patternFill>
      </fill>
    </dxf>
    <dxf>
      <fill>
        <patternFill patternType="solid">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[Pumpkin_Seeds_Data_Analysis_report.xlsx]Analysis!PivotTable4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Analysis!$C$26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Analysis!$B$27:$B$31</c:f>
              <c:strCache>
                <c:ptCount val="4"/>
                <c:pt idx="0">
                  <c:v>2022</c:v>
                </c:pt>
                <c:pt idx="1">
                  <c:v>2023</c:v>
                </c:pt>
                <c:pt idx="2">
                  <c:v>2024</c:v>
                </c:pt>
                <c:pt idx="3">
                  <c:v>2025</c:v>
                </c:pt>
              </c:strCache>
            </c:strRef>
          </c:cat>
          <c:val>
            <c:numRef>
              <c:f>Analysis!$C$27:$C$31</c:f>
              <c:numCache>
                <c:formatCode>0.000</c:formatCode>
                <c:ptCount val="4"/>
                <c:pt idx="0">
                  <c:v>6.2657961649126177</c:v>
                </c:pt>
                <c:pt idx="1">
                  <c:v>6.1332426775924898</c:v>
                </c:pt>
                <c:pt idx="2">
                  <c:v>4.3284726912402061</c:v>
                </c:pt>
                <c:pt idx="3">
                  <c:v>5.3437337497993722</c:v>
                </c:pt>
              </c:numCache>
            </c:numRef>
          </c:val>
          <c:smooth val="0"/>
          <c:extLst>
            <c:ext xmlns:c16="http://schemas.microsoft.com/office/drawing/2014/chart" uri="{C3380CC4-5D6E-409C-BE32-E72D297353CC}">
              <c16:uniqueId val="{00000000-186C-4100-BEB6-35642D2CFE24}"/>
            </c:ext>
          </c:extLst>
        </c:ser>
        <c:dLbls>
          <c:showLegendKey val="0"/>
          <c:showVal val="0"/>
          <c:showCatName val="0"/>
          <c:showSerName val="0"/>
          <c:showPercent val="0"/>
          <c:showBubbleSize val="0"/>
        </c:dLbls>
        <c:marker val="1"/>
        <c:smooth val="0"/>
        <c:axId val="371221264"/>
        <c:axId val="371207536"/>
      </c:lineChart>
      <c:catAx>
        <c:axId val="37122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07536"/>
        <c:crosses val="autoZero"/>
        <c:auto val="1"/>
        <c:lblAlgn val="ctr"/>
        <c:lblOffset val="100"/>
        <c:noMultiLvlLbl val="0"/>
      </c:catAx>
      <c:valAx>
        <c:axId val="37120753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[Pumpkin_Seeds_Data_Analysis_report.xlsx]Analysis!PivotTable6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Analysis!$C$83</c:f>
              <c:strCache>
                <c:ptCount val="1"/>
                <c:pt idx="0">
                  <c:v>Total</c:v>
                </c:pt>
              </c:strCache>
            </c:strRef>
          </c:tx>
          <c:spPr>
            <a:solidFill>
              <a:schemeClr val="accent1"/>
            </a:solidFill>
            <a:ln>
              <a:noFill/>
            </a:ln>
            <a:effectLst/>
            <a:sp3d/>
          </c:spPr>
          <c:invertIfNegative val="0"/>
          <c:cat>
            <c:strRef>
              <c:f>Analysis!$B$84:$B$150</c:f>
              <c:strCache>
                <c:ptCount val="66"/>
                <c:pt idx="0">
                  <c:v>Kathmandu</c:v>
                </c:pt>
                <c:pt idx="1">
                  <c:v>Birgunj</c:v>
                </c:pt>
                <c:pt idx="2">
                  <c:v>Caucedo</c:v>
                </c:pt>
                <c:pt idx="3">
                  <c:v>Colombo</c:v>
                </c:pt>
                <c:pt idx="4">
                  <c:v>Felixstowe</c:v>
                </c:pt>
                <c:pt idx="5">
                  <c:v>Krishnanagar</c:v>
                </c:pt>
                <c:pt idx="6">
                  <c:v>Bhairawa</c:v>
                </c:pt>
                <c:pt idx="7">
                  <c:v>Louis</c:v>
                </c:pt>
                <c:pt idx="8">
                  <c:v>Sonamosjid</c:v>
                </c:pt>
                <c:pt idx="9">
                  <c:v>Puerto Caldera</c:v>
                </c:pt>
                <c:pt idx="10">
                  <c:v>Shuwaikh</c:v>
                </c:pt>
                <c:pt idx="11">
                  <c:v>Louise</c:v>
                </c:pt>
                <c:pt idx="12">
                  <c:v>Gateway</c:v>
                </c:pt>
                <c:pt idx="13">
                  <c:v>OP Singapore</c:v>
                </c:pt>
                <c:pt idx="14">
                  <c:v>Auckland</c:v>
                </c:pt>
                <c:pt idx="15">
                  <c:v>Male</c:v>
                </c:pt>
                <c:pt idx="16">
                  <c:v>Jebel Ali</c:v>
                </c:pt>
                <c:pt idx="17">
                  <c:v>Mogadishu</c:v>
                </c:pt>
                <c:pt idx="18">
                  <c:v>Jeddah</c:v>
                </c:pt>
                <c:pt idx="19">
                  <c:v>Durban</c:v>
                </c:pt>
                <c:pt idx="20">
                  <c:v>New York</c:v>
                </c:pt>
                <c:pt idx="21">
                  <c:v>Klang</c:v>
                </c:pt>
                <c:pt idx="22">
                  <c:v>Philipsburg</c:v>
                </c:pt>
                <c:pt idx="23">
                  <c:v>Phuntsholing</c:v>
                </c:pt>
                <c:pt idx="24">
                  <c:v>Hili Lcs</c:v>
                </c:pt>
                <c:pt idx="25">
                  <c:v>Victoria</c:v>
                </c:pt>
                <c:pt idx="26">
                  <c:v>Bremerhaven</c:v>
                </c:pt>
                <c:pt idx="27">
                  <c:v>Mahe</c:v>
                </c:pt>
                <c:pt idx="28">
                  <c:v>Sohar</c:v>
                </c:pt>
                <c:pt idx="29">
                  <c:v>Victoria Harbor</c:v>
                </c:pt>
                <c:pt idx="30">
                  <c:v>Bandar Abbas</c:v>
                </c:pt>
                <c:pt idx="31">
                  <c:v>Hamad</c:v>
                </c:pt>
                <c:pt idx="32">
                  <c:v>Apapa</c:v>
                </c:pt>
                <c:pt idx="33">
                  <c:v>Zurich</c:v>
                </c:pt>
                <c:pt idx="34">
                  <c:v>Tema</c:v>
                </c:pt>
                <c:pt idx="35">
                  <c:v>Adelaide</c:v>
                </c:pt>
                <c:pt idx="36">
                  <c:v>Not Available</c:v>
                </c:pt>
                <c:pt idx="37">
                  <c:v>Seattle</c:v>
                </c:pt>
                <c:pt idx="38">
                  <c:v>Toronto</c:v>
                </c:pt>
                <c:pt idx="39">
                  <c:v>OP Bahrain</c:v>
                </c:pt>
                <c:pt idx="40">
                  <c:v>Montreal</c:v>
                </c:pt>
                <c:pt idx="41">
                  <c:v>Doha</c:v>
                </c:pt>
                <c:pt idx="42">
                  <c:v>OP Hong Kong</c:v>
                </c:pt>
                <c:pt idx="43">
                  <c:v>Dar Es Salaam</c:v>
                </c:pt>
                <c:pt idx="44">
                  <c:v>Johannesburg</c:v>
                </c:pt>
                <c:pt idx="45">
                  <c:v>Rotterdam</c:v>
                </c:pt>
                <c:pt idx="46">
                  <c:v>Fremantle</c:v>
                </c:pt>
                <c:pt idx="47">
                  <c:v>Kakarbitta</c:v>
                </c:pt>
                <c:pt idx="48">
                  <c:v>Benapole</c:v>
                </c:pt>
                <c:pt idx="49">
                  <c:v>VANCOUVER BC CANADA CAVAN </c:v>
                </c:pt>
                <c:pt idx="50">
                  <c:v>Freetown</c:v>
                </c:pt>
                <c:pt idx="51">
                  <c:v>Samste Bhutan</c:v>
                </c:pt>
                <c:pt idx="52">
                  <c:v>Oslo</c:v>
                </c:pt>
                <c:pt idx="53">
                  <c:v>Surabaya</c:v>
                </c:pt>
                <c:pt idx="54">
                  <c:v>Oakland</c:v>
                </c:pt>
                <c:pt idx="55">
                  <c:v>Tokyo</c:v>
                </c:pt>
                <c:pt idx="56">
                  <c:v>Vancouver</c:v>
                </c:pt>
                <c:pt idx="57">
                  <c:v>Lagos</c:v>
                </c:pt>
                <c:pt idx="58">
                  <c:v>Dubai</c:v>
                </c:pt>
                <c:pt idx="59">
                  <c:v>Onne</c:v>
                </c:pt>
                <c:pt idx="60">
                  <c:v>Salalah</c:v>
                </c:pt>
                <c:pt idx="61">
                  <c:v>Heathrow</c:v>
                </c:pt>
                <c:pt idx="62">
                  <c:v>Norfolk</c:v>
                </c:pt>
                <c:pt idx="63">
                  <c:v>Jitty</c:v>
                </c:pt>
                <c:pt idx="64">
                  <c:v>JITTY BHUTAN</c:v>
                </c:pt>
                <c:pt idx="65">
                  <c:v>Bhimtar Bhutan</c:v>
                </c:pt>
              </c:strCache>
            </c:strRef>
          </c:cat>
          <c:val>
            <c:numRef>
              <c:f>Analysis!$C$84:$C$150</c:f>
              <c:numCache>
                <c:formatCode>0.00</c:formatCode>
                <c:ptCount val="66"/>
                <c:pt idx="0">
                  <c:v>244045.55</c:v>
                </c:pt>
                <c:pt idx="1">
                  <c:v>100044.83000000002</c:v>
                </c:pt>
                <c:pt idx="2">
                  <c:v>68351.179999999993</c:v>
                </c:pt>
                <c:pt idx="3">
                  <c:v>58659.631313141777</c:v>
                </c:pt>
                <c:pt idx="4">
                  <c:v>54909.838512399991</c:v>
                </c:pt>
                <c:pt idx="5">
                  <c:v>36216.490000000005</c:v>
                </c:pt>
                <c:pt idx="6">
                  <c:v>32642.42</c:v>
                </c:pt>
                <c:pt idx="7">
                  <c:v>26826.239999999998</c:v>
                </c:pt>
                <c:pt idx="8">
                  <c:v>18637.650000000001</c:v>
                </c:pt>
                <c:pt idx="9">
                  <c:v>16221.449999999999</c:v>
                </c:pt>
                <c:pt idx="10">
                  <c:v>14090.939999999999</c:v>
                </c:pt>
                <c:pt idx="11">
                  <c:v>11294.739999999998</c:v>
                </c:pt>
                <c:pt idx="12">
                  <c:v>8679.9666170174096</c:v>
                </c:pt>
                <c:pt idx="13">
                  <c:v>8245.2909328621899</c:v>
                </c:pt>
                <c:pt idx="14">
                  <c:v>6229.8008515815081</c:v>
                </c:pt>
                <c:pt idx="15">
                  <c:v>5943.6503684879281</c:v>
                </c:pt>
                <c:pt idx="16">
                  <c:v>5735.0166855649841</c:v>
                </c:pt>
                <c:pt idx="17">
                  <c:v>5370.0599999999995</c:v>
                </c:pt>
                <c:pt idx="18">
                  <c:v>5325.3</c:v>
                </c:pt>
                <c:pt idx="19">
                  <c:v>5073.96</c:v>
                </c:pt>
                <c:pt idx="20">
                  <c:v>4506.9887377049181</c:v>
                </c:pt>
                <c:pt idx="21">
                  <c:v>4086.17</c:v>
                </c:pt>
                <c:pt idx="22">
                  <c:v>3466.05</c:v>
                </c:pt>
                <c:pt idx="23">
                  <c:v>3403.17</c:v>
                </c:pt>
                <c:pt idx="24">
                  <c:v>3250.9847724058091</c:v>
                </c:pt>
                <c:pt idx="25">
                  <c:v>2280.5500000000002</c:v>
                </c:pt>
                <c:pt idx="26">
                  <c:v>2257.5299999999997</c:v>
                </c:pt>
                <c:pt idx="27">
                  <c:v>2176.5499999999997</c:v>
                </c:pt>
                <c:pt idx="28">
                  <c:v>1823.5353621346887</c:v>
                </c:pt>
                <c:pt idx="29">
                  <c:v>1710.0700000000002</c:v>
                </c:pt>
                <c:pt idx="30">
                  <c:v>1672.42</c:v>
                </c:pt>
                <c:pt idx="31">
                  <c:v>1364.27</c:v>
                </c:pt>
                <c:pt idx="32">
                  <c:v>1337.6399999999999</c:v>
                </c:pt>
                <c:pt idx="33">
                  <c:v>1281.98</c:v>
                </c:pt>
                <c:pt idx="34">
                  <c:v>1247.1100000000001</c:v>
                </c:pt>
                <c:pt idx="35">
                  <c:v>1022.97</c:v>
                </c:pt>
                <c:pt idx="36">
                  <c:v>890.23264951411829</c:v>
                </c:pt>
                <c:pt idx="37">
                  <c:v>802.58</c:v>
                </c:pt>
                <c:pt idx="38">
                  <c:v>797.31</c:v>
                </c:pt>
                <c:pt idx="39">
                  <c:v>665.52</c:v>
                </c:pt>
                <c:pt idx="40">
                  <c:v>652.92999999999995</c:v>
                </c:pt>
                <c:pt idx="41">
                  <c:v>645.76</c:v>
                </c:pt>
                <c:pt idx="42">
                  <c:v>524.43000000000006</c:v>
                </c:pt>
                <c:pt idx="43">
                  <c:v>514.62</c:v>
                </c:pt>
                <c:pt idx="44">
                  <c:v>489.47</c:v>
                </c:pt>
                <c:pt idx="45">
                  <c:v>460.61</c:v>
                </c:pt>
                <c:pt idx="46">
                  <c:v>450.04</c:v>
                </c:pt>
                <c:pt idx="47">
                  <c:v>426.09</c:v>
                </c:pt>
                <c:pt idx="48">
                  <c:v>357.01</c:v>
                </c:pt>
                <c:pt idx="49">
                  <c:v>329.46</c:v>
                </c:pt>
                <c:pt idx="50">
                  <c:v>252.94</c:v>
                </c:pt>
                <c:pt idx="51">
                  <c:v>225.68648030495552</c:v>
                </c:pt>
                <c:pt idx="52">
                  <c:v>220.23</c:v>
                </c:pt>
                <c:pt idx="53">
                  <c:v>188.91</c:v>
                </c:pt>
                <c:pt idx="54">
                  <c:v>165.18424396442191</c:v>
                </c:pt>
                <c:pt idx="55">
                  <c:v>151.99888182973316</c:v>
                </c:pt>
                <c:pt idx="56">
                  <c:v>132.71</c:v>
                </c:pt>
                <c:pt idx="57">
                  <c:v>130.83000000000001</c:v>
                </c:pt>
                <c:pt idx="58">
                  <c:v>95.84</c:v>
                </c:pt>
                <c:pt idx="59">
                  <c:v>95.6</c:v>
                </c:pt>
                <c:pt idx="60">
                  <c:v>63.9</c:v>
                </c:pt>
                <c:pt idx="61">
                  <c:v>60.35</c:v>
                </c:pt>
                <c:pt idx="62">
                  <c:v>54.94</c:v>
                </c:pt>
                <c:pt idx="63">
                  <c:v>32.29</c:v>
                </c:pt>
                <c:pt idx="64">
                  <c:v>26.61</c:v>
                </c:pt>
                <c:pt idx="65">
                  <c:v>25.01</c:v>
                </c:pt>
              </c:numCache>
            </c:numRef>
          </c:val>
          <c:extLst>
            <c:ext xmlns:c16="http://schemas.microsoft.com/office/drawing/2014/chart" uri="{C3380CC4-5D6E-409C-BE32-E72D297353CC}">
              <c16:uniqueId val="{00000000-FD8E-4CB9-9AF4-2A9D70503B59}"/>
            </c:ext>
          </c:extLst>
        </c:ser>
        <c:dLbls>
          <c:showLegendKey val="0"/>
          <c:showVal val="0"/>
          <c:showCatName val="0"/>
          <c:showSerName val="0"/>
          <c:showPercent val="0"/>
          <c:showBubbleSize val="0"/>
        </c:dLbls>
        <c:gapWidth val="150"/>
        <c:shape val="box"/>
        <c:axId val="371218352"/>
        <c:axId val="371224592"/>
        <c:axId val="0"/>
      </c:bar3DChart>
      <c:catAx>
        <c:axId val="371218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24592"/>
        <c:crosses val="autoZero"/>
        <c:auto val="1"/>
        <c:lblAlgn val="ctr"/>
        <c:lblOffset val="100"/>
        <c:noMultiLvlLbl val="0"/>
      </c:catAx>
      <c:valAx>
        <c:axId val="3712245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1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xdr:colOff>
      <xdr:row>23</xdr:row>
      <xdr:rowOff>165652</xdr:rowOff>
    </xdr:from>
    <xdr:to>
      <xdr:col>9</xdr:col>
      <xdr:colOff>115957</xdr:colOff>
      <xdr:row>35</xdr:row>
      <xdr:rowOff>72390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103</xdr:row>
      <xdr:rowOff>1</xdr:rowOff>
    </xdr:from>
    <xdr:to>
      <xdr:col>10</xdr:col>
      <xdr:colOff>786848</xdr:colOff>
      <xdr:row>121</xdr:row>
      <xdr:rowOff>157371</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yita Arora" refreshedDate="46242.850610879628" createdVersion="6" refreshedVersion="6" minRefreshableVersion="3" recordCount="440" xr:uid="{00000000-000A-0000-FFFF-FFFF24000000}">
  <cacheSource type="worksheet">
    <worksheetSource name="PumpkinData"/>
  </cacheSource>
  <cacheFields count="28">
    <cacheField name="Date" numFmtId="14">
      <sharedItems containsSemiMixedTypes="0" containsNonDate="0" containsDate="1" containsString="0" minDate="2022-01-05T00:00:00" maxDate="2025-11-01T00:00:00"/>
    </cacheField>
    <cacheField name="Year" numFmtId="166">
      <sharedItems containsSemiMixedTypes="0" containsNonDate="0" containsDate="1" containsString="0" minDate="2022-01-05T00:00:00" maxDate="2025-11-01T00:00:00" count="326">
        <d v="2022-01-05T00:00:00"/>
        <d v="2022-01-22T00:00:00"/>
        <d v="2022-01-28T00:00:00"/>
        <d v="2022-02-14T00:00:00"/>
        <d v="2022-02-17T00:00:00"/>
        <d v="2022-03-08T00:00:00"/>
        <d v="2022-03-11T00:00:00"/>
        <d v="2022-03-23T00:00:00"/>
        <d v="2022-04-02T00:00:00"/>
        <d v="2022-05-10T00:00:00"/>
        <d v="2022-05-12T00:00:00"/>
        <d v="2022-05-17T00:00:00"/>
        <d v="2022-06-09T00:00:00"/>
        <d v="2022-07-06T00:00:00"/>
        <d v="2022-07-08T00:00:00"/>
        <d v="2022-07-25T00:00:00"/>
        <d v="2022-07-31T00:00:00"/>
        <d v="2022-09-01T00:00:00"/>
        <d v="2022-09-09T00:00:00"/>
        <d v="2022-09-14T00:00:00"/>
        <d v="2022-09-21T00:00:00"/>
        <d v="2022-09-27T00:00:00"/>
        <d v="2022-09-28T00:00:00"/>
        <d v="2022-10-28T00:00:00"/>
        <d v="2022-10-29T00:00:00"/>
        <d v="2022-11-02T00:00:00"/>
        <d v="2022-12-04T00:00:00"/>
        <d v="2022-12-18T00:00:00"/>
        <d v="2022-12-20T00:00:00"/>
        <d v="2022-12-25T00:00:00"/>
        <d v="2023-01-02T00:00:00"/>
        <d v="2023-01-09T00:00:00"/>
        <d v="2023-01-12T00:00:00"/>
        <d v="2023-01-14T00:00:00"/>
        <d v="2023-01-17T00:00:00"/>
        <d v="2023-02-07T00:00:00"/>
        <d v="2023-02-08T00:00:00"/>
        <d v="2023-02-22T00:00:00"/>
        <d v="2023-03-11T00:00:00"/>
        <d v="2023-03-15T00:00:00"/>
        <d v="2023-03-23T00:00:00"/>
        <d v="2023-03-25T00:00:00"/>
        <d v="2023-03-27T00:00:00"/>
        <d v="2023-04-05T00:00:00"/>
        <d v="2023-04-12T00:00:00"/>
        <d v="2023-04-21T00:00:00"/>
        <d v="2023-05-12T00:00:00"/>
        <d v="2023-05-17T00:00:00"/>
        <d v="2023-05-23T00:00:00"/>
        <d v="2023-06-03T00:00:00"/>
        <d v="2023-06-06T00:00:00"/>
        <d v="2023-06-07T00:00:00"/>
        <d v="2023-06-09T00:00:00"/>
        <d v="2023-06-11T00:00:00"/>
        <d v="2023-06-20T00:00:00"/>
        <d v="2023-06-21T00:00:00"/>
        <d v="2023-06-28T00:00:00"/>
        <d v="2023-07-06T00:00:00"/>
        <d v="2023-07-22T00:00:00"/>
        <d v="2023-07-25T00:00:00"/>
        <d v="2023-08-03T00:00:00"/>
        <d v="2023-08-07T00:00:00"/>
        <d v="2023-08-11T00:00:00"/>
        <d v="2023-08-25T00:00:00"/>
        <d v="2023-09-01T00:00:00"/>
        <d v="2023-09-05T00:00:00"/>
        <d v="2023-09-06T00:00:00"/>
        <d v="2023-09-13T00:00:00"/>
        <d v="2023-09-17T00:00:00"/>
        <d v="2023-09-21T00:00:00"/>
        <d v="2023-09-30T00:00:00"/>
        <d v="2023-10-04T00:00:00"/>
        <d v="2023-10-07T00:00:00"/>
        <d v="2023-10-11T00:00:00"/>
        <d v="2023-10-12T00:00:00"/>
        <d v="2023-10-17T00:00:00"/>
        <d v="2023-10-18T00:00:00"/>
        <d v="2023-10-30T00:00:00"/>
        <d v="2023-11-03T00:00:00"/>
        <d v="2023-11-06T00:00:00"/>
        <d v="2023-11-08T00:00:00"/>
        <d v="2023-11-10T00:00:00"/>
        <d v="2023-11-18T00:00:00"/>
        <d v="2023-11-24T00:00:00"/>
        <d v="2023-12-01T00:00:00"/>
        <d v="2023-12-04T00:00:00"/>
        <d v="2023-12-18T00:00:00"/>
        <d v="2023-12-23T00:00:00"/>
        <d v="2023-12-26T00:00:00"/>
        <d v="2023-12-29T00:00:00"/>
        <d v="2024-01-02T00:00:00"/>
        <d v="2024-01-03T00:00:00"/>
        <d v="2024-01-09T00:00:00"/>
        <d v="2024-01-16T00:00:00"/>
        <d v="2024-01-17T00:00:00"/>
        <d v="2024-01-24T00:00:00"/>
        <d v="2024-01-25T00:00:00"/>
        <d v="2024-01-30T00:00:00"/>
        <d v="2024-01-31T00:00:00"/>
        <d v="2024-02-06T00:00:00"/>
        <d v="2024-03-01T00:00:00"/>
        <d v="2024-03-06T00:00:00"/>
        <d v="2024-03-07T00:00:00"/>
        <d v="2024-03-08T00:00:00"/>
        <d v="2024-03-11T00:00:00"/>
        <d v="2024-03-13T00:00:00"/>
        <d v="2024-03-20T00:00:00"/>
        <d v="2024-03-27T00:00:00"/>
        <d v="2024-03-30T00:00:00"/>
        <d v="2024-04-02T00:00:00"/>
        <d v="2024-04-06T00:00:00"/>
        <d v="2024-04-17T00:00:00"/>
        <d v="2024-04-18T00:00:00"/>
        <d v="2024-04-19T00:00:00"/>
        <d v="2024-04-23T00:00:00"/>
        <d v="2024-04-25T00:00:00"/>
        <d v="2024-04-26T00:00:00"/>
        <d v="2024-04-28T00:00:00"/>
        <d v="2024-05-04T00:00:00"/>
        <d v="2024-05-11T00:00:00"/>
        <d v="2024-05-13T00:00:00"/>
        <d v="2024-05-15T00:00:00"/>
        <d v="2024-05-23T00:00:00"/>
        <d v="2024-05-26T00:00:00"/>
        <d v="2024-06-02T00:00:00"/>
        <d v="2024-06-03T00:00:00"/>
        <d v="2024-06-10T00:00:00"/>
        <d v="2024-06-11T00:00:00"/>
        <d v="2024-06-12T00:00:00"/>
        <d v="2024-06-14T00:00:00"/>
        <d v="2024-06-19T00:00:00"/>
        <d v="2024-06-29T00:00:00"/>
        <d v="2024-07-01T00:00:00"/>
        <d v="2024-07-03T00:00:00"/>
        <d v="2024-07-04T00:00:00"/>
        <d v="2024-07-06T00:00:00"/>
        <d v="2024-07-07T00:00:00"/>
        <d v="2024-07-10T00:00:00"/>
        <d v="2024-07-16T00:00:00"/>
        <d v="2024-07-18T00:00:00"/>
        <d v="2024-07-19T00:00:00"/>
        <d v="2024-07-27T00:00:00"/>
        <d v="2024-07-29T00:00:00"/>
        <d v="2024-08-01T00:00:00"/>
        <d v="2024-08-07T00:00:00"/>
        <d v="2024-08-09T00:00:00"/>
        <d v="2024-08-10T00:00:00"/>
        <d v="2024-08-16T00:00:00"/>
        <d v="2024-08-18T00:00:00"/>
        <d v="2024-08-20T00:00:00"/>
        <d v="2024-08-29T00:00:00"/>
        <d v="2024-09-01T00:00:00"/>
        <d v="2024-09-03T00:00:00"/>
        <d v="2024-09-05T00:00:00"/>
        <d v="2024-09-06T00:00:00"/>
        <d v="2024-09-07T00:00:00"/>
        <d v="2024-09-17T00:00:00"/>
        <d v="2024-09-18T00:00:00"/>
        <d v="2024-09-20T00:00:00"/>
        <d v="2024-09-23T00:00:00"/>
        <d v="2024-09-25T00:00:00"/>
        <d v="2024-09-26T00:00:00"/>
        <d v="2024-09-30T00:00:00"/>
        <d v="2024-10-04T00:00:00"/>
        <d v="2024-10-07T00:00:00"/>
        <d v="2024-10-18T00:00:00"/>
        <d v="2024-10-19T00:00:00"/>
        <d v="2024-10-22T00:00:00"/>
        <d v="2024-10-23T00:00:00"/>
        <d v="2024-11-09T00:00:00"/>
        <d v="2024-11-16T00:00:00"/>
        <d v="2024-11-17T00:00:00"/>
        <d v="2024-11-22T00:00:00"/>
        <d v="2024-11-25T00:00:00"/>
        <d v="2024-11-28T00:00:00"/>
        <d v="2024-12-04T00:00:00"/>
        <d v="2024-12-05T00:00:00"/>
        <d v="2024-12-09T00:00:00"/>
        <d v="2024-12-11T00:00:00"/>
        <d v="2024-12-12T00:00:00"/>
        <d v="2024-12-13T00:00:00"/>
        <d v="2024-12-17T00:00:00"/>
        <d v="2024-12-23T00:00:00"/>
        <d v="2024-12-24T00:00:00"/>
        <d v="2024-12-27T00:00:00"/>
        <d v="2024-12-28T00:00:00"/>
        <d v="2024-12-31T00:00:00"/>
        <d v="2025-01-03T00:00:00"/>
        <d v="2025-01-07T00:00:00"/>
        <d v="2025-01-11T00:00:00"/>
        <d v="2025-01-13T00:00:00"/>
        <d v="2025-01-17T00:00:00"/>
        <d v="2025-01-22T00:00:00"/>
        <d v="2025-01-23T00:00:00"/>
        <d v="2025-01-27T00:00:00"/>
        <d v="2025-01-30T00:00:00"/>
        <d v="2025-01-31T00:00:00"/>
        <d v="2025-02-01T00:00:00"/>
        <d v="2025-02-03T00:00:00"/>
        <d v="2025-02-05T00:00:00"/>
        <d v="2025-02-08T00:00:00"/>
        <d v="2025-02-09T00:00:00"/>
        <d v="2025-02-10T00:00:00"/>
        <d v="2025-02-11T00:00:00"/>
        <d v="2025-02-13T00:00:00"/>
        <d v="2025-02-15T00:00:00"/>
        <d v="2025-02-18T00:00:00"/>
        <d v="2025-02-19T00:00:00"/>
        <d v="2025-02-22T00:00:00"/>
        <d v="2025-02-23T00:00:00"/>
        <d v="2025-02-25T00:00:00"/>
        <d v="2025-02-27T00:00:00"/>
        <d v="2025-03-01T00:00:00"/>
        <d v="2025-03-02T00:00:00"/>
        <d v="2025-03-04T00:00:00"/>
        <d v="2025-03-05T00:00:00"/>
        <d v="2025-03-06T00:00:00"/>
        <d v="2025-03-07T00:00:00"/>
        <d v="2025-03-09T00:00:00"/>
        <d v="2025-03-10T00:00:00"/>
        <d v="2025-03-11T00:00:00"/>
        <d v="2025-03-21T00:00:00"/>
        <d v="2025-03-25T00:00:00"/>
        <d v="2025-03-27T00:00:00"/>
        <d v="2025-03-28T00:00:00"/>
        <d v="2025-03-29T00:00:00"/>
        <d v="2025-03-31T00:00:00"/>
        <d v="2025-04-07T00:00:00"/>
        <d v="2025-04-08T00:00:00"/>
        <d v="2025-04-11T00:00:00"/>
        <d v="2025-04-14T00:00:00"/>
        <d v="2025-04-15T00:00:00"/>
        <d v="2025-04-16T00:00:00"/>
        <d v="2025-04-17T00:00:00"/>
        <d v="2025-04-18T00:00:00"/>
        <d v="2025-04-22T00:00:00"/>
        <d v="2025-04-23T00:00:00"/>
        <d v="2025-04-24T00:00:00"/>
        <d v="2025-04-25T00:00:00"/>
        <d v="2025-04-26T00:00:00"/>
        <d v="2025-04-30T00:00:00"/>
        <d v="2025-05-05T00:00:00"/>
        <d v="2025-05-06T00:00:00"/>
        <d v="2025-05-07T00:00:00"/>
        <d v="2025-05-08T00:00:00"/>
        <d v="2025-05-10T00:00:00"/>
        <d v="2025-05-14T00:00:00"/>
        <d v="2025-05-15T00:00:00"/>
        <d v="2025-05-18T00:00:00"/>
        <d v="2025-05-19T00:00:00"/>
        <d v="2025-05-21T00:00:00"/>
        <d v="2025-05-22T00:00:00"/>
        <d v="2025-05-23T00:00:00"/>
        <d v="2025-05-26T00:00:00"/>
        <d v="2025-05-27T00:00:00"/>
        <d v="2025-05-28T00:00:00"/>
        <d v="2025-06-02T00:00:00"/>
        <d v="2025-06-08T00:00:00"/>
        <d v="2025-06-13T00:00:00"/>
        <d v="2025-06-16T00:00:00"/>
        <d v="2025-06-17T00:00:00"/>
        <d v="2025-06-19T00:00:00"/>
        <d v="2025-06-21T00:00:00"/>
        <d v="2025-06-23T00:00:00"/>
        <d v="2025-06-24T00:00:00"/>
        <d v="2025-06-26T00:00:00"/>
        <d v="2025-06-28T00:00:00"/>
        <d v="2025-07-01T00:00:00"/>
        <d v="2025-07-04T00:00:00"/>
        <d v="2025-07-06T00:00:00"/>
        <d v="2025-07-08T00:00:00"/>
        <d v="2025-07-09T00:00:00"/>
        <d v="2025-07-13T00:00:00"/>
        <d v="2025-07-14T00:00:00"/>
        <d v="2025-07-16T00:00:00"/>
        <d v="2025-07-17T00:00:00"/>
        <d v="2025-07-19T00:00:00"/>
        <d v="2025-07-25T00:00:00"/>
        <d v="2025-07-28T00:00:00"/>
        <d v="2025-07-30T00:00:00"/>
        <d v="2025-07-31T00:00:00"/>
        <d v="2025-08-02T00:00:00"/>
        <d v="2025-08-03T00:00:00"/>
        <d v="2025-08-04T00:00:00"/>
        <d v="2025-08-06T00:00:00"/>
        <d v="2025-08-07T00:00:00"/>
        <d v="2025-08-09T00:00:00"/>
        <d v="2025-08-11T00:00:00"/>
        <d v="2025-08-12T00:00:00"/>
        <d v="2025-08-13T00:00:00"/>
        <d v="2025-08-17T00:00:00"/>
        <d v="2025-08-18T00:00:00"/>
        <d v="2025-08-22T00:00:00"/>
        <d v="2025-08-23T00:00:00"/>
        <d v="2025-08-25T00:00:00"/>
        <d v="2025-08-26T00:00:00"/>
        <d v="2025-08-27T00:00:00"/>
        <d v="2025-08-29T00:00:00"/>
        <d v="2025-08-30T00:00:00"/>
        <d v="2025-09-02T00:00:00"/>
        <d v="2025-09-03T00:00:00"/>
        <d v="2025-09-04T00:00:00"/>
        <d v="2025-09-09T00:00:00"/>
        <d v="2025-09-11T00:00:00"/>
        <d v="2025-09-13T00:00:00"/>
        <d v="2025-09-15T00:00:00"/>
        <d v="2025-09-17T00:00:00"/>
        <d v="2025-09-18T00:00:00"/>
        <d v="2025-09-21T00:00:00"/>
        <d v="2025-09-22T00:00:00"/>
        <d v="2025-09-23T00:00:00"/>
        <d v="2025-09-24T00:00:00"/>
        <d v="2025-09-25T00:00:00"/>
        <d v="2025-09-26T00:00:00"/>
        <d v="2025-09-29T00:00:00"/>
        <d v="2025-10-07T00:00:00"/>
        <d v="2025-10-08T00:00:00"/>
        <d v="2025-10-10T00:00:00"/>
        <d v="2025-10-15T00:00:00"/>
        <d v="2025-10-18T00:00:00"/>
        <d v="2025-10-23T00:00:00"/>
        <d v="2025-10-24T00:00:00"/>
        <d v="2025-10-27T00:00:00"/>
        <d v="2025-10-29T00:00:00"/>
        <d v="2025-10-30T00:00:00"/>
        <d v="2025-10-31T00:00:00"/>
      </sharedItems>
      <fieldGroup par="27" base="1">
        <rangePr groupBy="months" startDate="2022-01-05T00:00:00" endDate="2025-11-01T00:00:00"/>
        <groupItems count="14">
          <s v="&lt;1/5/2022"/>
          <s v="Jan"/>
          <s v="Feb"/>
          <s v="Mar"/>
          <s v="Apr"/>
          <s v="May"/>
          <s v="Jun"/>
          <s v="Jul"/>
          <s v="Aug"/>
          <s v="Sep"/>
          <s v="Oct"/>
          <s v="Nov"/>
          <s v="Dec"/>
          <s v="&gt;11/1/2025"/>
        </groupItems>
      </fieldGroup>
    </cacheField>
    <cacheField name="HS Code" numFmtId="0">
      <sharedItems containsSemiMixedTypes="0" containsString="0" containsNumber="1" containsInteger="1" minValue="7099310" maxValue="30049011"/>
    </cacheField>
    <cacheField name="Product Description" numFmtId="0">
      <sharedItems/>
    </cacheField>
    <cacheField name="Shipper Name" numFmtId="0">
      <sharedItems count="110">
        <s v="Mahima Enterprises"/>
        <s v="Greens Pulses Spices"/>
        <s v="Mohini Fine Foods Pvt Ltd"/>
        <s v="BISWAJIT KUNDU"/>
        <s v="Samruddhi Organic Farm India Pvt Ltd"/>
        <s v="Gazi International"/>
        <s v="Kunal Corporation"/>
        <s v="Ajit Singh Om Parkash Private Limited"/>
        <s v="Hindustan Exports"/>
        <s v="Nanki Impex Pvt Ltd"/>
        <s v="SIDDHAGIRI SWASTHYA"/>
        <s v="SUKHENDU HALDER"/>
        <s v="Ashraf Exports"/>
        <s v="JINDAL STORES"/>
        <s v="Ganpati Scientifics"/>
        <s v="BHAGWATI DRY FRUITS LLP"/>
        <s v="RDR Impex Pvt Ltd"/>
        <s v="F2T TRADEMART INDIA OPC PRIVATE LIMITED"/>
        <s v="Jay Keshav Exports Pvt Ltd"/>
        <s v="Nani Agro Foods Pvt Ltd"/>
        <s v="TULSI FOODS"/>
        <s v="RAJGURU S DELIGHT NUTS FOODS PRIVATE LIMITED"/>
        <s v="Esquire Exporters"/>
        <s v="Aussee Oats India Ltd"/>
        <s v="Maruti Trading Company"/>
        <s v="KWID EXPORTS"/>
        <s v="Arihant Solution"/>
        <s v="Swiss Bake Ingredients Pvt Ltd"/>
        <s v="HAKIMI OVERSEAS"/>
        <s v="Miltop Exports"/>
        <s v="ACE EXPORTS"/>
        <s v="Jalaram Agriexports Pvt Ltd"/>
        <s v="Nature Vit"/>
        <s v="Devi Overseas"/>
        <s v="NAMMA VEEDU"/>
        <s v="Tapovan Impex Pvt Ltd"/>
        <s v="Rev Snacks Pvt Ltd"/>
        <s v="DOWN TO EARTH FOODS EXPORT PRIVATE LIMITED"/>
        <s v="Gorkha Distributors"/>
        <s v="STARAGRO CROP"/>
        <s v="Shree Impex"/>
        <s v="Greendot Health Foods Pvt Ltd"/>
        <s v="Hangrow Foods India Pvt Ltd"/>
        <s v="Thula Exports Pvt Ltd"/>
        <s v="Farmavision Healthcare"/>
        <s v="Manirul Enterprise"/>
        <s v="Euro Foods Pvt Ltd"/>
        <s v="Greenway Exim India"/>
        <s v="Aatish Industries"/>
        <s v="Milan"/>
        <s v="Onleo Global Solutions Pvt Ltd"/>
        <s v="Ahuja Impex"/>
        <s v="Kilaru Naturals Pvt Ltd"/>
        <s v="Rishav Impex"/>
        <s v="Wholesome Habits Pvt Ltd"/>
        <s v="ROYAL INTERNATIONAL"/>
        <s v="DINESH KUMAR SONS HUF"/>
        <s v="LOHIA STORE"/>
        <s v="Jafferbhooy Salehbhooy Co"/>
        <s v="Ashirwad Exports"/>
        <s v="AIMS MARINE HOSPITALITY SERVICES"/>
        <s v="S G International"/>
        <s v="NARASIMHA AGRO PRODUCTS PRIVATE LIMITED"/>
        <s v="RTC Foods"/>
        <s v="SRI KANNIGA TRADING HOUSE"/>
        <s v="C Arunkumar Co Exports"/>
        <s v="Healthy Grubs Nuts"/>
        <s v="P S S Ganesan Sons"/>
        <s v="Global Organics"/>
        <s v="SAURAV JAIN"/>
        <s v="DURGA AGRO FOODS"/>
        <s v="GRAMIYUM NATUREFRESH PRIVATE LIMITED"/>
        <s v="Natureland Organic Foods Pvt Ltd"/>
        <s v="STAR TRADERS"/>
        <s v="Bharat International Pvt Ltd"/>
        <s v="Sheetal Periwal"/>
        <s v="TOP GREEN ORGANICS"/>
        <s v="FORTUNE EXICOM"/>
        <s v="Parayil Food Products Pvt Ltd"/>
        <s v="Finesse Market Link Pvt Ltd"/>
        <s v="ARCTIC EXIM"/>
        <s v="Accolade International Inc"/>
        <s v="D G Masala Kraft"/>
        <s v="Laxmi Narayan Bishnu Kumar"/>
        <s v="UTHRA FOODS VENTURE PVT LTD"/>
        <s v="G B Enterprises"/>
        <s v="Shree Ambey Industries"/>
        <s v="Jairaj Adi Global Food Products LLP"/>
        <s v="K K THAKUR SONS HUF"/>
        <s v="LIV247 FRESH BOX LLP"/>
        <s v="Indian Kismis Company"/>
        <s v="GIANNA AGRO PRIVATE LIMITED"/>
        <s v="RASHYAA FOODS"/>
        <s v="M R Corporation"/>
        <s v="Anil Agencies"/>
        <s v="Januz Universal"/>
        <s v="A G ROYAL TRADERS"/>
        <s v="Giant International Pvt Ltd"/>
        <s v="Maxit International"/>
        <s v="Om Exim Corporation"/>
        <s v="Shree Jee Enterprises"/>
        <s v="RAMAVTAR PRADEEP KUMAR"/>
        <s v="NINPA ENTERPRISE"/>
        <s v="Fair Exports India Pvt Ltd"/>
        <s v="Gajanand Foods Pvt Ltd"/>
        <s v="New Punjab Store"/>
        <s v="Kamdar Exports"/>
        <s v="APEY WORLD OF NATURE PRIVATE LIMITED"/>
        <s v="Roy International"/>
        <s v="Bombay Masala Company Pvt Ltd"/>
      </sharedItems>
    </cacheField>
    <cacheField name="Consignee Name" numFmtId="0">
      <sharedItems count="162">
        <s v="WORLD FORUM TRADING LLC"/>
        <s v="OMEGA TRADERS"/>
        <s v="Gandhi Oriental Foods Ltd"/>
        <s v="Royal Trade International"/>
        <s v="ORGANICBASKET PTE LTD"/>
        <s v="Gandhi Oriental Foods Ltd."/>
        <s v="Z To Order and NA"/>
        <s v="CROWN DISTRIBUTIORS LTD"/>
        <s v="FERROUS TRADING PTE LTD"/>
        <s v="GROCERIA LIMITED 2 LAMBERG"/>
        <s v="Symphani LLC"/>
        <s v="VISHAL COMPANY LIMITED"/>
        <s v="CHHETRI ENTERPRISE"/>
        <s v="Mindful Organics"/>
        <s v="VAV PVT LTD C-0413 2017"/>
        <s v="HARIDAS NENSEY PARTNERS CO L L"/>
        <s v="BHAVIKA STORE"/>
        <s v="AB International Ltd"/>
        <s v="M D DISTRIBUTION INC"/>
        <s v="AL BANADIR CARGO BAKARA MARKET"/>
        <s v="Jero Global Sdn Bhd"/>
        <s v="Kamala Overseas Ltd"/>
        <s v="Organo Mantra Trading Co LLC"/>
        <s v="Aussee Oats Milling Pvt Ltd"/>
        <s v="SIYARA INVESTMENTS LTD"/>
        <s v="MSMEEMIZOM MART HAMID NAFEES GTHARUEHIGE"/>
        <s v="Ozy Gr8 Pty"/>
        <s v="Al Asadi Trading Co"/>
        <s v="Chhetri Enterprises"/>
        <s v="SARAFALLY ABDULALLY"/>
        <s v="Gupta Gastro Line GmbH"/>
        <s v="Hesbhd No"/>
        <s v="GROUPE JAMBO SARL"/>
        <s v="Morooj Alzafaran Trading"/>
        <s v="UOB Bank United Overseas Bank"/>
        <s v="Sommykammy Nig Ltd"/>
        <s v="Gunarajan Handelsagentur"/>
        <s v="Amazon FBA Rev Snacks Pvt Ltd"/>
        <s v="Down to Earth Foods Ltd"/>
        <s v="Sago Investment Pvt Ltd"/>
        <s v="JAY PRAKASH PRASAD"/>
        <s v="Supriya Trading"/>
        <s v="H E S BHD"/>
        <s v="Himalayan Trading Suppliers"/>
        <s v="Reliance Trading Ltd"/>
        <s v="Neha And Riya Trading"/>
        <s v="Avighna Impex Pte Ltd"/>
        <s v="ASWANTH GROUP PTY LTD"/>
        <s v="Shommels and Squibs Ltd"/>
        <s v="AUSSEE OATS MILLING PVT"/>
        <s v="Rafi Seed House D"/>
        <s v="SAWHNEY FOODSTUFF TRD CO LLC"/>
        <s v="KHEYBAR TARABAR INT TPT CO"/>
        <s v="B S Trix Pvt Ltd"/>
        <s v="HARIDAS NENSEY PARTNERS CO L L C"/>
        <s v="Nimambo Logistics Services Ltd"/>
        <s v="MALIBAN BISCUIT MANUFACTORIES PVT"/>
        <s v="Down to Earth General Trading LLC"/>
        <s v="GOKALS LIMITED"/>
        <s v="Maa Laxmi Traders"/>
        <s v="Agro Commodities and Finance FZ LLC"/>
        <s v="JAY NEPAL ENTERPRISES"/>
        <s v="BABA PASHUPATINATH ENTERPRISE"/>
        <s v="Apex Global Foods Ltd"/>
        <s v="Trust Food Products Pvt Ltd"/>
        <s v="SHRI SURABHI INTERNATION"/>
        <s v="Shree Pashupati Spice and Foods"/>
        <s v="BS TRIX Pvt Ltd"/>
        <s v="Atish International"/>
        <s v="Sri Mullai Traders Pte. Ltd."/>
        <s v="SHRI BALAJI FOOD AND SPICES"/>
        <s v="TO THE MASTER OF VESSEL"/>
        <s v="Maliban Diary Agri Products Pvt Ltd"/>
        <s v="Farmacy BT"/>
        <s v="Sri Ambikas Pte Ltd"/>
        <s v="Nepal Everest Food &amp; Snacks Pvt. Ltd."/>
        <s v="Ashish And Traders"/>
        <s v="Shrutti Traders"/>
        <s v="MOHIT SPICES AND FOOD PRODUCT PVT LIMITED"/>
        <s v="Modern Store M Sdn Bhd"/>
        <s v="POOJA SPICES AND PACKAGING"/>
        <s v="Zamorano Global Ventures"/>
        <s v="Nuts Organic"/>
        <s v="Kumar Impex Pvt Ltd"/>
        <s v="PT Hills and Waves International"/>
        <s v="NEPAL EVEREST FOOD SNACK PVT LTD"/>
        <s v="Shree Khatu International"/>
        <s v="B S Trix Pvt. Ltd."/>
        <s v="Nidhi Trade Impex"/>
        <s v="Kanha International"/>
        <s v="Organic Business Group Pvt. Ltd."/>
        <s v="Pick n Save Supermarkets Ltd."/>
        <s v="Komala s Foods Services Pte Ltd"/>
        <s v="Kumar Impex Pvt. Ltd."/>
        <s v="Mata Vaishno Traders"/>
        <s v="Vishala Traders"/>
        <s v="Chanda Trade Impex"/>
        <s v="SUPPRIYA TRADING"/>
        <s v="J S S INTERNATIONAL"/>
        <s v="JSS International"/>
        <s v="J J Exim Pvt. Ltd."/>
        <s v="GIANT INVESTMENT PVTLTD REGNOC04292021 TONNAGE PVT LTD"/>
        <s v="Nepal Everest Food Snacks Pvt Ltd"/>
        <s v="DHANBUKURI LIVERPOOL HA"/>
        <s v="General Grocery Store"/>
        <s v="J J Exim Pvt Ltd"/>
        <s v="Jothi Store and Flower Shop"/>
        <s v="Sati Bani Traders"/>
        <s v="HOSPITALITY SUPPLIES LTD"/>
        <s v="Delight Foods USA LLC"/>
        <s v="Shree Galla Kirana Bhandar"/>
        <s v="BENATURAL TRADING LLC"/>
        <s v="Sarusana Private Ltd"/>
        <s v="Island Seed Pvt Ltd"/>
        <s v="SHRUTI TRADERS"/>
        <s v="A A Gunja Co Ltd"/>
        <s v="Niketan Enterprises"/>
        <s v="Mahadev Trading International"/>
        <s v="India Grocer Pty"/>
        <s v="Nitesh Food Products Pvt Ltd"/>
        <s v="Bhat Bhateni Food Products Pvt. Ltd."/>
        <s v="Laxmi Multi Trading Concern Pvt Ltd"/>
        <s v="A A Global Impex Ltd"/>
        <s v="Down to Earth Food NZ Ltd"/>
        <s v="Solland Import and Reise AS"/>
        <s v="Maa Luxmi Traders"/>
        <s v="YASH ENTERPRISE NV"/>
        <s v="Gocha Rabten"/>
        <s v="Seal Brand and Co Ltd"/>
        <s v="Livly Foods"/>
        <s v="BAYER GOKALS LTD"/>
        <s v="Shri Balaji Food and Spices Store"/>
        <s v="RSA Ventures Pte Ltd"/>
        <s v="RASHYA FOODS PVT LTD"/>
        <s v="Hospitality Supplies Ltd."/>
        <s v="AATISH INTERNATIONAL"/>
        <s v="SHAH TRADE INTERNATIONAL"/>
        <s v="JJEXIM Pvt Ltd"/>
        <s v="SHUVA SANDESH TRADERS"/>
        <s v="GOPALA KRISHNA LLC"/>
        <s v="Delight Foods USA"/>
        <s v="Ahmad Company"/>
        <s v="MOHIT SPICES AND FOOD PRODUCTS"/>
        <s v="Island Seed Pvt. Ltd."/>
        <s v="ESHA ENTERPRISES PTE LTD"/>
        <s v="JJEXIM PVTLTD BIRGUNJ"/>
        <s v="Sarusana Private Ltd."/>
        <s v="Shoponline"/>
        <s v="Super Impex Pvt. Ltd."/>
        <s v="Baba Pashupatinath Agro Pvt Ltd"/>
        <s v="N N Tshongkhang"/>
        <s v="Abhishek Exim Pvt. Ltd."/>
        <s v="GOCHA RABTEN TSHONGKHAN"/>
        <s v="Lulu Muscat Hypermarket L.L.C"/>
        <s v="Y P IMPORTS INC"/>
        <s v="BHAT BHATENI FOOD PRODUCTS PVT LTD"/>
        <s v="Islami Bank Bangladesh PLC"/>
        <s v="SOLO"/>
        <s v="Flex Trade Pvt Ltd"/>
        <s v="YASH ENTERPRISE N V"/>
        <s v="PHUENTSHOG NORPHEL ENTERPISE"/>
        <s v="My Mart"/>
      </sharedItems>
    </cacheField>
    <cacheField name="Standard Qty" numFmtId="4">
      <sharedItems containsSemiMixedTypes="0" containsString="0" containsNumber="1" minValue="0.2" maxValue="15000"/>
    </cacheField>
    <cacheField name="Standard Unit" numFmtId="0">
      <sharedItems/>
    </cacheField>
    <cacheField name="Standard Unit Rate $" numFmtId="165">
      <sharedItems containsSemiMixedTypes="0" containsString="0" containsNumber="1" minValue="0" maxValue="370.15879999999999"/>
    </cacheField>
    <cacheField name="Estimated  F.O.B Value $" numFmtId="165">
      <sharedItems containsSemiMixedTypes="0" containsString="0" containsNumber="1" minValue="0" maxValue="27689.119999999999"/>
    </cacheField>
    <cacheField name="Estimated Unit Rate $" numFmtId="0">
      <sharedItems containsSemiMixedTypes="0" containsString="0" containsNumber="1" minValue="0" maxValue="6153.14"/>
    </cacheField>
    <cacheField name="Port of Destination" numFmtId="0">
      <sharedItems count="66">
        <s v="Jebel Ali"/>
        <s v="Colombo"/>
        <s v="Gateway"/>
        <s v="Hili Lcs"/>
        <s v="Not Available"/>
        <s v="Felixstowe"/>
        <s v="Louis"/>
        <s v="Vancouver"/>
        <s v="Auckland"/>
        <s v="Seattle"/>
        <s v="Tokyo"/>
        <s v="Mogadishu"/>
        <s v="Samste Bhutan"/>
        <s v="Oakland"/>
        <s v="Male"/>
        <s v="Sohar"/>
        <s v="New York"/>
        <s v="Klang"/>
        <s v="Dubai"/>
        <s v="Dar Es Salaam"/>
        <s v="Adelaide"/>
        <s v="Doha"/>
        <s v="Jitty"/>
        <s v="Rotterdam"/>
        <s v="Apapa"/>
        <s v="OP Singapore"/>
        <s v="Bremerhaven"/>
        <s v="Hamad"/>
        <s v="Heathrow"/>
        <s v="Birgunj"/>
        <s v="Krishnanagar"/>
        <s v="Caucedo"/>
        <s v="Victoria"/>
        <s v="Lagos"/>
        <s v="Benapole"/>
        <s v="Bandar Abbas"/>
        <s v="Montreal"/>
        <s v="Kathmandu"/>
        <s v="Onne"/>
        <s v="Tema"/>
        <s v="Toronto"/>
        <s v="Johannesburg"/>
        <s v="Phuntsholing"/>
        <s v="Bhairawa"/>
        <s v="OP Bahrain"/>
        <s v="Kakarbitta"/>
        <s v="Surabaya"/>
        <s v="Durban"/>
        <s v="Jeddah"/>
        <s v="OP Hong Kong"/>
        <s v="Puerto Caldera"/>
        <s v="Victoria Harbor"/>
        <s v="Zurich"/>
        <s v="Louise"/>
        <s v="Shuwaikh"/>
        <s v="Fremantle"/>
        <s v="Mahe"/>
        <s v="Oslo"/>
        <s v="Philipsburg"/>
        <s v="VANCOUVER BC CANADA CAVAN "/>
        <s v="JITTY BHUTAN"/>
        <s v="Norfolk"/>
        <s v="Freetown"/>
        <s v="Bhimtar Bhutan"/>
        <s v="Sonamosjid"/>
        <s v="Salalah"/>
      </sharedItems>
    </cacheField>
    <cacheField name="Country of Destination" numFmtId="0">
      <sharedItems count="36">
        <s v="United Arab Emirates"/>
        <s v="Sri Lanka"/>
        <s v="United Kingdom"/>
        <s v="Bangladesh"/>
        <s v="Singapore"/>
        <s v="Mauritius"/>
        <s v="Canada"/>
        <s v="New Zealand"/>
        <s v="United States"/>
        <s v="Japan"/>
        <s v="Somalia"/>
        <s v="Bhutan"/>
        <s v="Maldives"/>
        <s v="Oman"/>
        <s v="Hong Kong"/>
        <s v="Malaysia"/>
        <s v="Tanzania"/>
        <s v="Australia"/>
        <s v="Qatar"/>
        <s v="Netherlands"/>
        <s v="Nigeria"/>
        <s v="Germany"/>
        <s v="Nepal"/>
        <s v="Dominican Republic"/>
        <s v="Seychelles"/>
        <s v="Afghanistan"/>
        <s v="Ghana"/>
        <s v="South Africa"/>
        <s v="Bahrain"/>
        <s v="Indonesia"/>
        <s v="Saudi Arabia"/>
        <s v="Costa Rica"/>
        <s v="Kuwait"/>
        <s v="Norway"/>
        <s v="Netherlands Antilles"/>
        <s v="Sierra Leone"/>
      </sharedItems>
    </cacheField>
    <cacheField name="Port of Origin" numFmtId="0">
      <sharedItems/>
    </cacheField>
    <cacheField name="Shipment mode" numFmtId="0">
      <sharedItems/>
    </cacheField>
    <cacheField name="QTY" numFmtId="0">
      <sharedItems containsSemiMixedTypes="0" containsString="0" containsNumber="1" minValue="2.5000000000000001E-2" maxValue="15000"/>
    </cacheField>
    <cacheField name="Unit" numFmtId="0">
      <sharedItems/>
    </cacheField>
    <cacheField name="Value in FC" numFmtId="0">
      <sharedItems containsSemiMixedTypes="0" containsString="0" containsNumber="1" minValue="0.1" maxValue="48000000"/>
    </cacheField>
    <cacheField name="Rate In FC" numFmtId="0">
      <sharedItems containsSemiMixedTypes="0" containsString="0" containsNumber="1" minValue="0.24" maxValue="32000"/>
    </cacheField>
    <cacheField name="Rate Currency" numFmtId="0">
      <sharedItems containsBlank="1"/>
    </cacheField>
    <cacheField name="HS Description" numFmtId="0">
      <sharedItems longText="1"/>
    </cacheField>
    <cacheField name="HS2" numFmtId="0">
      <sharedItems containsSemiMixedTypes="0" containsString="0" containsNumber="1" containsInteger="1" minValue="7" maxValue="30"/>
    </cacheField>
    <cacheField name="HS4" numFmtId="0">
      <sharedItems containsSemiMixedTypes="0" containsString="0" containsNumber="1" containsInteger="1" minValue="709" maxValue="3004"/>
    </cacheField>
    <cacheField name="Month" numFmtId="168">
      <sharedItems containsSemiMixedTypes="0" containsNonDate="0" containsDate="1" containsString="0" minDate="2022-01-01T00:00:00" maxDate="2025-10-17T00:00:00" count="424">
        <d v="2022-01-01T00:00:00"/>
        <d v="2022-02-01T00:00:00"/>
        <d v="2022-03-01T00:00:00"/>
        <d v="2022-04-01T00:00:00"/>
        <d v="2022-05-01T00:00:00"/>
        <d v="2022-06-01T00:00:00"/>
        <d v="2022-07-01T00:00:00"/>
        <d v="2022-09-01T00:00:00"/>
        <d v="2022-09-02T00:00:00"/>
        <d v="2022-09-03T00:00:00"/>
        <d v="2022-09-04T00:00:00"/>
        <d v="2022-09-05T00:00:00"/>
        <d v="2022-09-06T00:00:00"/>
        <d v="2022-09-07T00:00:00"/>
        <d v="2022-10-01T00:00:00"/>
        <d v="2022-11-01T00:00:00"/>
        <d v="2022-12-01T00:00:00"/>
        <d v="2022-12-02T00:00:00"/>
        <d v="2022-12-03T00:00:00"/>
        <d v="2022-12-04T00:00:00"/>
        <d v="2022-12-05T00:00:00"/>
        <d v="2022-12-06T00:00:00"/>
        <d v="2023-01-01T00:00:00"/>
        <d v="2023-01-02T00:00:00"/>
        <d v="2023-01-03T00:00:00"/>
        <d v="2023-01-04T00:00:00"/>
        <d v="2023-01-05T00:00:00"/>
        <d v="2023-01-06T00:00:00"/>
        <d v="2023-01-07T00:00:00"/>
        <d v="2023-02-01T00:00:00"/>
        <d v="2023-02-02T00:00:00"/>
        <d v="2023-02-03T00:00:00"/>
        <d v="2023-02-04T00:00:00"/>
        <d v="2023-03-01T00:00:00"/>
        <d v="2023-03-02T00:00:00"/>
        <d v="2023-03-03T00:00:00"/>
        <d v="2023-03-04T00:00:00"/>
        <d v="2023-03-05T00:00:00"/>
        <d v="2023-04-01T00:00:00"/>
        <d v="2023-04-02T00:00:00"/>
        <d v="2023-04-03T00:00:00"/>
        <d v="2023-05-01T00:00:00"/>
        <d v="2023-05-02T00:00:00"/>
        <d v="2023-05-03T00:00:00"/>
        <d v="2023-06-01T00:00:00"/>
        <d v="2023-06-02T00:00:00"/>
        <d v="2023-06-03T00:00:00"/>
        <d v="2023-06-04T00:00:00"/>
        <d v="2023-06-05T00:00:00"/>
        <d v="2023-06-06T00:00:00"/>
        <d v="2023-06-07T00:00:00"/>
        <d v="2023-06-08T00:00:00"/>
        <d v="2023-06-09T00:00:00"/>
        <d v="2023-07-01T00:00:00"/>
        <d v="2023-07-02T00:00:00"/>
        <d v="2023-07-03T00:00:00"/>
        <d v="2023-08-01T00:00:00"/>
        <d v="2023-08-02T00:00:00"/>
        <d v="2023-08-03T00:00:00"/>
        <d v="2023-08-04T00:00:00"/>
        <d v="2023-09-01T00:00:00"/>
        <d v="2023-09-02T00:00:00"/>
        <d v="2023-09-03T00:00:00"/>
        <d v="2023-09-04T00:00:00"/>
        <d v="2023-09-05T00:00:00"/>
        <d v="2023-09-06T00:00:00"/>
        <d v="2023-09-07T00:00:00"/>
        <d v="2023-09-08T00:00:00"/>
        <d v="2023-10-01T00:00:00"/>
        <d v="2023-10-02T00:00:00"/>
        <d v="2023-10-03T00:00:00"/>
        <d v="2023-10-04T00:00:00"/>
        <d v="2023-10-05T00:00:00"/>
        <d v="2023-10-06T00:00:00"/>
        <d v="2023-10-07T00:00:00"/>
        <d v="2023-11-01T00:00:00"/>
        <d v="2023-11-02T00:00:00"/>
        <d v="2023-11-03T00:00:00"/>
        <d v="2023-11-04T00:00:00"/>
        <d v="2023-11-05T00:00:00"/>
        <d v="2023-11-06T00:00:00"/>
        <d v="2023-12-01T00:00:00"/>
        <d v="2023-12-02T00:00:00"/>
        <d v="2023-12-03T00:00:00"/>
        <d v="2023-12-04T00:00:00"/>
        <d v="2023-12-05T00:00:00"/>
        <d v="2023-12-06T00:00:00"/>
        <d v="2023-12-07T00:00:00"/>
        <d v="2024-01-01T00:00:00"/>
        <d v="2024-01-02T00:00:00"/>
        <d v="2024-01-03T00:00:00"/>
        <d v="2024-01-04T00:00:00"/>
        <d v="2024-01-05T00:00:00"/>
        <d v="2024-01-06T00:00:00"/>
        <d v="2024-01-07T00:00:00"/>
        <d v="2024-01-08T00:00:00"/>
        <d v="2024-01-09T00:00:00"/>
        <d v="2024-02-01T00:00:00"/>
        <d v="2024-03-01T00:00:00"/>
        <d v="2024-03-02T00:00:00"/>
        <d v="2024-03-03T00:00:00"/>
        <d v="2024-03-04T00:00:00"/>
        <d v="2024-03-05T00:00:00"/>
        <d v="2024-03-06T00:00:00"/>
        <d v="2024-03-07T00:00:00"/>
        <d v="2024-03-08T00:00:00"/>
        <d v="2024-03-09T00:00:00"/>
        <d v="2024-03-10T00:00:00"/>
        <d v="2024-03-11T00:00:00"/>
        <d v="2024-03-12T00:00:00"/>
        <d v="2024-03-13T00:00:00"/>
        <d v="2024-04-01T00:00:00"/>
        <d v="2024-04-02T00:00:00"/>
        <d v="2024-04-03T00:00:00"/>
        <d v="2024-04-04T00:00:00"/>
        <d v="2024-04-05T00:00:00"/>
        <d v="2024-04-06T00:00:00"/>
        <d v="2024-04-07T00:00:00"/>
        <d v="2024-04-08T00:00:00"/>
        <d v="2024-04-09T00:00:00"/>
        <d v="2024-04-10T00:00:00"/>
        <d v="2024-05-01T00:00:00"/>
        <d v="2024-05-02T00:00:00"/>
        <d v="2024-05-03T00:00:00"/>
        <d v="2024-05-04T00:00:00"/>
        <d v="2024-05-05T00:00:00"/>
        <d v="2024-05-06T00:00:00"/>
        <d v="2024-06-01T00:00:00"/>
        <d v="2024-06-02T00:00:00"/>
        <d v="2024-06-03T00:00:00"/>
        <d v="2024-06-04T00:00:00"/>
        <d v="2024-06-05T00:00:00"/>
        <d v="2024-06-06T00:00:00"/>
        <d v="2024-06-07T00:00:00"/>
        <d v="2024-06-08T00:00:00"/>
        <d v="2024-06-09T00:00:00"/>
        <d v="2024-06-10T00:00:00"/>
        <d v="2024-06-11T00:00:00"/>
        <d v="2024-06-12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8-01T00:00:00"/>
        <d v="2024-08-02T00:00:00"/>
        <d v="2024-08-03T00:00:00"/>
        <d v="2024-08-04T00:00:00"/>
        <d v="2024-08-05T00:00:00"/>
        <d v="2024-08-06T00:00:00"/>
        <d v="2024-08-07T00:00:00"/>
        <d v="2024-08-08T00:00:00"/>
        <d v="2024-08-09T00:00:00"/>
        <d v="2024-08-10T00:00:00"/>
        <d v="2024-08-11T00:00:00"/>
        <d v="2024-08-12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10-01T00:00:00"/>
        <d v="2024-10-02T00:00:00"/>
        <d v="2024-10-03T00:00:00"/>
        <d v="2024-10-04T00:00:00"/>
        <d v="2024-10-05T00:00:00"/>
        <d v="2024-10-06T00:00:00"/>
        <d v="2024-10-07T00:00:00"/>
        <d v="2024-10-08T00:00:00"/>
        <d v="2024-10-09T00:00:00"/>
        <d v="2024-11-01T00:00:00"/>
        <d v="2024-11-02T00:00:00"/>
        <d v="2024-11-03T00:00:00"/>
        <d v="2024-11-04T00:00:00"/>
        <d v="2024-11-05T00:00:00"/>
        <d v="2024-11-06T00:00:00"/>
        <d v="2024-11-07T00:00:00"/>
        <d v="2024-11-08T00:00:00"/>
        <d v="2024-11-09T00:00:00"/>
        <d v="2024-11-1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5-01-01T00:00:00"/>
        <d v="2025-01-02T00:00:00"/>
        <d v="2025-01-03T00:00:00"/>
        <d v="2025-01-04T00:00:00"/>
        <d v="2025-01-05T00:00:00"/>
        <d v="2025-01-06T00:00:00"/>
        <d v="2025-01-07T00:00:00"/>
        <d v="2025-01-08T00:00:00"/>
        <d v="2025-01-09T00:00:00"/>
        <d v="2025-01-10T00:00:00"/>
        <d v="2025-01-11T00:00:00"/>
        <d v="2025-01-12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sharedItems>
    </cacheField>
    <cacheField name="Record Id" numFmtId="0">
      <sharedItems containsSemiMixedTypes="0" containsString="0" containsNumber="1" containsInteger="1" minValue="33982" maxValue="359720259"/>
    </cacheField>
    <cacheField name="IEC" numFmtId="0">
      <sharedItems/>
    </cacheField>
    <cacheField name="Quarters" numFmtId="0" databaseField="0">
      <fieldGroup base="1">
        <rangePr groupBy="quarters" startDate="2022-01-05T00:00:00" endDate="2025-11-01T00:00:00"/>
        <groupItems count="6">
          <s v="&lt;1/5/2022"/>
          <s v="Qtr1"/>
          <s v="Qtr2"/>
          <s v="Qtr3"/>
          <s v="Qtr4"/>
          <s v="&gt;11/1/2025"/>
        </groupItems>
      </fieldGroup>
    </cacheField>
    <cacheField name="Years" numFmtId="0" databaseField="0">
      <fieldGroup base="1">
        <rangePr groupBy="years" startDate="2022-01-05T00:00:00" endDate="2025-11-01T00:00:00"/>
        <groupItems count="6">
          <s v="&lt;1/5/2022"/>
          <s v="2022"/>
          <s v="2023"/>
          <s v="2024"/>
          <s v="2025"/>
          <s v="&gt;11/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40">
  <r>
    <d v="2022-01-05T00:00:00"/>
    <x v="0"/>
    <n v="12077090"/>
    <s v="SEED &gt;&gt; PUMPKIN SEED PUMPKIN SEED / KADU"/>
    <x v="0"/>
    <x v="0"/>
    <n v="50"/>
    <s v="KGS"/>
    <n v="1.8841337112997021"/>
    <n v="94.206685564985094"/>
    <n v="1.8839999999999999"/>
    <x v="0"/>
    <x v="0"/>
    <s v="Delhi Tkd Icd"/>
    <s v="Sea"/>
    <n v="50"/>
    <s v="KGS"/>
    <n v="100"/>
    <n v="2"/>
    <s v="USD"/>
    <s v="Other oil seeds and oleaginous fruits, whether or not broken"/>
    <n v="12"/>
    <n v="1207"/>
    <x v="0"/>
    <n v="313032"/>
    <s v="0592023125"/>
  </r>
  <r>
    <d v="2022-01-22T00:00:00"/>
    <x v="1"/>
    <n v="20081920"/>
    <s v="SEEDS &gt;&gt; PUMPKIN SEEDS DRIED PUMPKIN SEEDS PACKED IN CTN BOX"/>
    <x v="1"/>
    <x v="1"/>
    <n v="1500"/>
    <s v="KGS"/>
    <n v="2.445875716596841"/>
    <n v="3668.8135748952609"/>
    <n v="2445.8760000000002"/>
    <x v="1"/>
    <x v="1"/>
    <s v="Madras Sea"/>
    <s v="Sea"/>
    <n v="1.5"/>
    <s v="MTS"/>
    <n v="3802.5"/>
    <n v="2535"/>
    <s v="USD"/>
    <s v="Fruit, nuts and other edible parts of plants, otherwise prepared or preserved, whether or not containing added sugar or other sweetening matter or spirit, not elsewhere specified or included"/>
    <n v="20"/>
    <n v="2008"/>
    <x v="0"/>
    <n v="2665105"/>
    <s v="AAPFG4059E"/>
  </r>
  <r>
    <d v="2022-01-28T00:00:00"/>
    <x v="2"/>
    <n v="20081920"/>
    <s v="SEEDS &gt;&gt; PUMPKIN SEEDS JOSH PUMPKIN SEEDS Suppliers GSTIN 27"/>
    <x v="2"/>
    <x v="2"/>
    <n v="745"/>
    <s v="KGS"/>
    <n v="5.1554585463320919"/>
    <n v="3840.816617017409"/>
    <n v="5.1550000000000002"/>
    <x v="2"/>
    <x v="2"/>
    <s v="JNPT"/>
    <s v="Sea"/>
    <n v="745"/>
    <s v="KGS"/>
    <n v="3598.35"/>
    <n v="4.83"/>
    <s v="GBP"/>
    <s v="Fruit, nuts and other edible parts of plants, otherwise prepared or preserved, whether or not containing added sugar or other sweetening matter or spirit, not elsewhere specified or included"/>
    <n v="20"/>
    <n v="2008"/>
    <x v="0"/>
    <n v="2922150"/>
    <s v="0302048987"/>
  </r>
  <r>
    <d v="2022-02-14T00:00:00"/>
    <x v="3"/>
    <n v="20081990"/>
    <s v="SEEDS &gt;&gt; PUMPKIN SEEDS PUMPKIN SEEDS AS PER  DOCUMENT "/>
    <x v="3"/>
    <x v="3"/>
    <n v="1500"/>
    <s v="KGS"/>
    <n v="1.268981148803872"/>
    <n v="1903.471723205809"/>
    <n v="1.2689999999999999"/>
    <x v="3"/>
    <x v="3"/>
    <s v="Hilli Lcs"/>
    <s v="Road"/>
    <n v="1500"/>
    <s v="KGS"/>
    <n v="1950"/>
    <n v="1.3"/>
    <s v="USD"/>
    <s v="Fruit, nuts and other edible parts of plants, otherwise prepared or preserved, whether or not containing added sugar or other sweetening matter or spirit, not elsewhere specified or included"/>
    <n v="20"/>
    <n v="2008"/>
    <x v="1"/>
    <n v="7454929"/>
    <s v="0214034151"/>
  </r>
  <r>
    <d v="2022-02-17T00:00:00"/>
    <x v="4"/>
    <n v="20081990"/>
    <s v="SEEDS &gt;&gt; PUMPKIN SEEDS Natural Pumpkin Seeds"/>
    <x v="4"/>
    <x v="4"/>
    <n v="32"/>
    <s v="KGS"/>
    <n v="7.910932122798898"/>
    <n v="253.14982792956471"/>
    <n v="7.9109999999999996"/>
    <x v="4"/>
    <x v="4"/>
    <s v="JNPT"/>
    <s v="Sea"/>
    <n v="32"/>
    <s v="KGS"/>
    <n v="261.44"/>
    <n v="8.17"/>
    <s v="USD"/>
    <s v="Fruit, nuts and other edible parts of plants, otherwise prepared or preserved, whether or not containing added sugar or other sweetening matter or spirit, not elsewhere specified or included"/>
    <n v="20"/>
    <n v="2008"/>
    <x v="1"/>
    <n v="5828044"/>
    <s v="3114029868"/>
  </r>
  <r>
    <d v="2022-03-08T00:00:00"/>
    <x v="5"/>
    <n v="20081990"/>
    <s v="DOCUMENT &gt;&gt; PER DOCUMENT PUMPKIN SEED AS PER  DOCUMENT "/>
    <x v="5"/>
    <x v="3"/>
    <n v="1000"/>
    <s v="KGS"/>
    <n v="1.3475130492"/>
    <n v="1347.5130492000001"/>
    <n v="1.3480000000000001"/>
    <x v="3"/>
    <x v="3"/>
    <s v="Hilli Lcs"/>
    <s v="Road"/>
    <n v="1000"/>
    <s v="KGS"/>
    <n v="1350"/>
    <n v="1.349"/>
    <s v="USD"/>
    <s v="Fruit, nuts and other edible parts of plants, otherwise prepared or preserved, whether or not containing added sugar or other sweetening matter or spirit, not elsewhere specified or included"/>
    <n v="20"/>
    <n v="2008"/>
    <x v="2"/>
    <n v="23294841"/>
    <s v="AKVPG7603E"/>
  </r>
  <r>
    <d v="2022-03-11T00:00:00"/>
    <x v="6"/>
    <n v="20081990"/>
    <s v="SEEDS &gt;&gt; PUMPKIN SEEDS Natural Pumpkin Seeds"/>
    <x v="4"/>
    <x v="4"/>
    <n v="32"/>
    <s v="KGS"/>
    <n v="8.158244348483235"/>
    <n v="261.06381915146352"/>
    <n v="8.1579999999999995"/>
    <x v="4"/>
    <x v="4"/>
    <s v="JNPT"/>
    <s v="Sea"/>
    <n v="32"/>
    <s v="KGS"/>
    <n v="261.44"/>
    <n v="8.17"/>
    <s v="USD"/>
    <s v="Fruit, nuts and other edible parts of plants, otherwise prepared or preserved, whether or not containing added sugar or other sweetening matter or spirit, not elsewhere specified or included"/>
    <n v="20"/>
    <n v="2008"/>
    <x v="2"/>
    <n v="9114343"/>
    <s v="3114029868"/>
  </r>
  <r>
    <d v="2022-03-23T00:00:00"/>
    <x v="7"/>
    <n v="20081920"/>
    <s v="SUPPLIERS &gt;&gt; SEEDS SUPPLIERS JOSH PUMPKIN SEEDS Suppliers GSTIN 27"/>
    <x v="2"/>
    <x v="5"/>
    <n v="510"/>
    <s v="KGS"/>
    <n v="5.0321346494117636"/>
    <n v="2566.3886711999999"/>
    <n v="5.032"/>
    <x v="5"/>
    <x v="2"/>
    <s v="JNPT"/>
    <s v="Sea"/>
    <n v="510"/>
    <s v="KGS"/>
    <n v="2463.3000000000002"/>
    <n v="4.8250000000000002"/>
    <s v="GBP"/>
    <s v="Fruit, nuts and other edible parts of plants, otherwise prepared or preserved, whether or not containing added sugar or other sweetening matter or spirit, not elsewhere specified or included"/>
    <n v="20"/>
    <n v="2008"/>
    <x v="2"/>
    <n v="23177273"/>
    <s v="0302048987"/>
  </r>
  <r>
    <d v="2022-03-23T00:00:00"/>
    <x v="7"/>
    <n v="20081920"/>
    <s v="SUPPLIERS &gt;&gt; SEEDS SUPPLIERS PUMPKIN SEEDS Suppliers GSTIN 27AAFFF"/>
    <x v="2"/>
    <x v="5"/>
    <n v="405"/>
    <s v="KGS"/>
    <n v="4.9577773856790124"/>
    <n v="2007.8998412000001"/>
    <n v="4.9580000000000002"/>
    <x v="5"/>
    <x v="2"/>
    <s v="JNPT"/>
    <s v="Sea"/>
    <n v="405"/>
    <s v="KGS"/>
    <n v="1919.7"/>
    <n v="4.7350000000000003"/>
    <s v="GBP"/>
    <s v="Fruit, nuts and other edible parts of plants, otherwise prepared or preserved, whether or not containing added sugar or other sweetening matter or spirit, not elsewhere specified or included"/>
    <n v="20"/>
    <n v="2008"/>
    <x v="2"/>
    <n v="23176851"/>
    <s v="0302048987"/>
  </r>
  <r>
    <d v="2022-04-02T00:00:00"/>
    <x v="8"/>
    <n v="20081920"/>
    <s v="Pumpkin Seeds 2 Box Nt.Wt. 25.000 Kgs &amp;"/>
    <x v="6"/>
    <x v="6"/>
    <n v="50"/>
    <s v="KGS"/>
    <n v="6.9148000000000014"/>
    <n v="345.74"/>
    <n v="6.91"/>
    <x v="6"/>
    <x v="5"/>
    <s v="JNPT"/>
    <s v="Sea"/>
    <n v="50"/>
    <s v="KGS"/>
    <n v="376"/>
    <n v="7.52"/>
    <s v="USD"/>
    <s v="Fruit, nuts and other edible parts of plants, otherwise prepared or preserved, whether or not containing added sugar or other sweetening matter or spirit, not elsewhere specified or included"/>
    <n v="20"/>
    <n v="2008"/>
    <x v="3"/>
    <n v="24722246"/>
    <s v="AAXFK3162C"/>
  </r>
  <r>
    <d v="2022-05-10T00:00:00"/>
    <x v="9"/>
    <n v="20081990"/>
    <s v="PUMPKIN SEED N.A.Y 250G O/D AS PER INV/P"/>
    <x v="7"/>
    <x v="7"/>
    <n v="20"/>
    <s v="KGS"/>
    <n v="6.6355000000000004"/>
    <n v="132.71"/>
    <n v="6.64"/>
    <x v="7"/>
    <x v="6"/>
    <s v="Mundra"/>
    <s v="Sea"/>
    <n v="20"/>
    <s v="KGS"/>
    <n v="171.6"/>
    <n v="8.58"/>
    <s v="CAD"/>
    <s v="Fruit, nuts and other edible parts of plants, otherwise prepared or preserved, whether or not containing added sugar or other sweetening matter or spirit, not elsewhere specified or included"/>
    <n v="20"/>
    <n v="2008"/>
    <x v="4"/>
    <n v="30772877"/>
    <s v="3003007190"/>
  </r>
  <r>
    <d v="2022-05-12T00:00:00"/>
    <x v="10"/>
    <n v="20081920"/>
    <s v="JOSH ROASTED PUMPKIN SEEDS Suppliers G"/>
    <x v="2"/>
    <x v="2"/>
    <n v="195"/>
    <s v="KGS"/>
    <n v="5.376615384615385"/>
    <n v="1048.44"/>
    <n v="5.38"/>
    <x v="5"/>
    <x v="2"/>
    <s v="JNPT"/>
    <s v="Sea"/>
    <n v="195"/>
    <s v="KGS"/>
    <n v="1014"/>
    <n v="5.2"/>
    <s v="GBP"/>
    <s v="Fruit, nuts and other edible parts of plants, otherwise prepared or preserved, whether or not containing added sugar or other sweetening matter or spirit, not elsewhere specified or included"/>
    <n v="20"/>
    <n v="2008"/>
    <x v="4"/>
    <n v="29207200"/>
    <s v="0302048987"/>
  </r>
  <r>
    <d v="2022-05-12T00:00:00"/>
    <x v="10"/>
    <n v="12129990"/>
    <s v="JOSH PUMPKIN SEEDS KERNELS Suppliers"/>
    <x v="2"/>
    <x v="2"/>
    <n v="800"/>
    <s v="KGS"/>
    <n v="5.4910375"/>
    <n v="4392.83"/>
    <n v="5.49"/>
    <x v="5"/>
    <x v="2"/>
    <s v="JNPT"/>
    <s v="Sea"/>
    <n v="800"/>
    <s v="KGS"/>
    <n v="4232"/>
    <n v="5.29"/>
    <s v="GBP"/>
    <s v="Locust beans, seaweeds and other algae, sugar beet and sugarcane, fresh, chilled, frozen or dried, whether or not ground; fruit stones and kernels and other vegetable products (including unroasted chicory roots of the variety Cichorium intybus sativum) of"/>
    <n v="12"/>
    <n v="1212"/>
    <x v="4"/>
    <n v="29206843"/>
    <s v="0302048987"/>
  </r>
  <r>
    <d v="2022-05-17T00:00:00"/>
    <x v="11"/>
    <n v="20081990"/>
    <s v="Natural Pumpkin Seeds 125gm [WE INTEND T"/>
    <x v="8"/>
    <x v="8"/>
    <n v="12"/>
    <s v="KGS"/>
    <n v="11.05916666666667"/>
    <n v="132.71"/>
    <n v="11.06"/>
    <x v="4"/>
    <x v="4"/>
    <s v="JNPT"/>
    <s v="Sea"/>
    <n v="12"/>
    <s v="KGS"/>
    <n v="128.52000000000001"/>
    <n v="10.71"/>
    <s v="USD"/>
    <s v="Fruit, nuts and other edible parts of plants, otherwise prepared or preserved, whether or not containing added sugar or other sweetening matter or spirit, not elsewhere specified or included"/>
    <n v="20"/>
    <n v="2008"/>
    <x v="4"/>
    <n v="29768999"/>
    <s v="0392063573"/>
  </r>
  <r>
    <d v="2022-06-09T00:00:00"/>
    <x v="12"/>
    <n v="20081990"/>
    <s v="Nanki Pumpkin Seeds For Eat 200 GM x 7"/>
    <x v="9"/>
    <x v="9"/>
    <n v="45"/>
    <s v="KGS"/>
    <n v="8.6806666666666672"/>
    <n v="390.63"/>
    <n v="8.68"/>
    <x v="8"/>
    <x v="7"/>
    <s v="Powerkheda Icd"/>
    <s v="Sea"/>
    <n v="45"/>
    <s v="KGS"/>
    <n v="405"/>
    <n v="9"/>
    <s v="USD"/>
    <s v="Fruit, nuts and other edible parts of plants, otherwise prepared or preserved, whether or not containing added sugar or other sweetening matter or spirit, not elsewhere specified or included"/>
    <n v="20"/>
    <n v="2008"/>
    <x v="5"/>
    <n v="37036181"/>
    <s v="1215900147"/>
  </r>
  <r>
    <d v="2022-07-06T00:00:00"/>
    <x v="13"/>
    <n v="20081990"/>
    <s v="ADRISH PUMPKIN SEED 4 KGS X 5 NOS"/>
    <x v="10"/>
    <x v="10"/>
    <n v="20"/>
    <s v="KGS"/>
    <n v="9.708499999999999"/>
    <n v="194.17"/>
    <n v="9.7100000000000009"/>
    <x v="9"/>
    <x v="8"/>
    <s v="Bangalore Icd"/>
    <s v="Sea"/>
    <n v="20"/>
    <s v="KGS"/>
    <n v="16000"/>
    <n v="800"/>
    <s v="INR"/>
    <s v="Fruit, nuts and other edible parts of plants, otherwise prepared or preserved, whether or not containing added sugar or other sweetening matter or spirit, not elsewhere specified or included"/>
    <n v="20"/>
    <n v="2008"/>
    <x v="6"/>
    <n v="38425129"/>
    <s v="ACYFS8677H"/>
  </r>
  <r>
    <d v="2022-07-06T00:00:00"/>
    <x v="13"/>
    <n v="20081920"/>
    <s v="ADRISH PUMPKIN SEED ROASTED 4 KGS X 5 N"/>
    <x v="10"/>
    <x v="10"/>
    <n v="20"/>
    <s v="KGS"/>
    <n v="9.708499999999999"/>
    <n v="194.17"/>
    <n v="9.7100000000000009"/>
    <x v="9"/>
    <x v="8"/>
    <s v="Bangalore Icd"/>
    <s v="Sea"/>
    <n v="20"/>
    <s v="KGS"/>
    <n v="16000"/>
    <n v="800"/>
    <s v="INR"/>
    <s v="Fruit, nuts and other edible parts of plants, otherwise prepared or preserved, whether or not containing added sugar or other sweetening matter or spirit, not elsewhere specified or included"/>
    <n v="20"/>
    <n v="2008"/>
    <x v="6"/>
    <n v="38464160"/>
    <s v="ACYFS8677H"/>
  </r>
  <r>
    <d v="2022-07-08T00:00:00"/>
    <x v="14"/>
    <n v="20081990"/>
    <s v="ADRISH PUMPKIN SEED 4 KGS X 5 NOS"/>
    <x v="10"/>
    <x v="10"/>
    <n v="20"/>
    <s v="KGS"/>
    <n v="10.356"/>
    <n v="207.12"/>
    <n v="10.36"/>
    <x v="9"/>
    <x v="8"/>
    <s v="Bangalore Icd"/>
    <s v="Sea"/>
    <n v="20"/>
    <s v="KGS"/>
    <n v="16000"/>
    <n v="800"/>
    <s v="INR"/>
    <s v="Fruit, nuts and other edible parts of plants, otherwise prepared or preserved, whether or not containing added sugar or other sweetening matter or spirit, not elsewhere specified or included"/>
    <n v="20"/>
    <n v="2008"/>
    <x v="6"/>
    <n v="38242579"/>
    <s v="ACYFS8677H"/>
  </r>
  <r>
    <d v="2022-07-08T00:00:00"/>
    <x v="14"/>
    <n v="20081920"/>
    <s v="ADRISH PUMPKIN SEED ROASTED [FINGER MILL"/>
    <x v="10"/>
    <x v="10"/>
    <n v="20"/>
    <s v="KGS"/>
    <n v="10.356"/>
    <n v="207.12"/>
    <n v="10.36"/>
    <x v="9"/>
    <x v="8"/>
    <s v="Bangalore Icd"/>
    <s v="Sea"/>
    <n v="20"/>
    <s v="KGS"/>
    <n v="16000"/>
    <n v="800"/>
    <s v="INR"/>
    <s v="Fruit, nuts and other edible parts of plants, otherwise prepared or preserved, whether or not containing added sugar or other sweetening matter or spirit, not elsewhere specified or included"/>
    <n v="20"/>
    <n v="2008"/>
    <x v="6"/>
    <n v="38276730"/>
    <s v="ACYFS8677H"/>
  </r>
  <r>
    <d v="2022-07-25T00:00:00"/>
    <x v="15"/>
    <n v="12077090"/>
    <s v="DRIED MELON RICE PUMPKIN SEEDS WLOLE.D"/>
    <x v="11"/>
    <x v="11"/>
    <n v="20.5"/>
    <s v="KGS"/>
    <n v="3.6956097560975611"/>
    <n v="75.760000000000005"/>
    <n v="3.7"/>
    <x v="10"/>
    <x v="9"/>
    <s v="Calcutta Sea"/>
    <s v="Sea"/>
    <n v="20.5"/>
    <s v="KGS"/>
    <n v="69.290000000000006"/>
    <n v="3.38"/>
    <s v="USD"/>
    <s v="Other oil seeds and oleaginous fruits, whether or not broken"/>
    <n v="12"/>
    <n v="1207"/>
    <x v="6"/>
    <n v="41101777"/>
    <s v="0211030741"/>
  </r>
  <r>
    <d v="2022-07-31T00:00:00"/>
    <x v="16"/>
    <n v="20081920"/>
    <s v="PUMPKIN SEED 5 BAGS 50 KGS / HDPE BAG"/>
    <x v="12"/>
    <x v="6"/>
    <n v="250"/>
    <s v="KGS"/>
    <n v="5.5050400000000002"/>
    <n v="1376.26"/>
    <n v="5.51"/>
    <x v="11"/>
    <x v="10"/>
    <s v="JNPT"/>
    <s v="Sea"/>
    <n v="250"/>
    <s v="KGS"/>
    <n v="1375"/>
    <n v="5.5"/>
    <s v="USD"/>
    <s v="Fruit, nuts and other edible parts of plants, otherwise prepared or preserved, whether or not containing added sugar or other sweetening matter or spirit, not elsewhere specified or included"/>
    <n v="20"/>
    <n v="2008"/>
    <x v="6"/>
    <n v="41048800"/>
    <s v="0388039329"/>
  </r>
  <r>
    <d v="2022-09-01T00:00:00"/>
    <x v="17"/>
    <n v="12077090"/>
    <s v="DRIED MELON RICE PUMPKIN SEEDS WLOLE.D"/>
    <x v="11"/>
    <x v="11"/>
    <n v="20.5"/>
    <s v="KGS"/>
    <n v="3.718969845352837"/>
    <n v="76.23888182973316"/>
    <n v="3.7189999999999999"/>
    <x v="10"/>
    <x v="9"/>
    <s v="Calcutta Sea"/>
    <s v="Sea"/>
    <n v="20.5"/>
    <s v="KGS"/>
    <n v="69.290000000000006"/>
    <n v="3.38"/>
    <s v="USD"/>
    <s v="Other oil seeds and oleaginous fruits, whether or not broken"/>
    <n v="12"/>
    <n v="1207"/>
    <x v="7"/>
    <n v="47493003"/>
    <s v="0211030741"/>
  </r>
  <r>
    <d v="2022-09-09T00:00:00"/>
    <x v="18"/>
    <n v="20081990"/>
    <s v="PUMPKIN SEED"/>
    <x v="13"/>
    <x v="12"/>
    <n v="4"/>
    <s v="KGS"/>
    <n v="3.1766200762388821"/>
    <n v="12.70648030495553"/>
    <n v="3.177"/>
    <x v="12"/>
    <x v="11"/>
    <s v="Chamurchi"/>
    <s v="Road"/>
    <n v="4"/>
    <s v="KGS"/>
    <n v="1032"/>
    <n v="258"/>
    <s v="INR"/>
    <s v="Fruit, nuts and other edible parts of plants, otherwise prepared or preserved, whether or not containing added sugar or other sweetening matter or spirit, not elsewhere specified or included"/>
    <n v="20"/>
    <n v="2008"/>
    <x v="8"/>
    <n v="50956033"/>
    <s v="ACNPA4874D"/>
  </r>
  <r>
    <d v="2022-09-14T00:00:00"/>
    <x v="19"/>
    <n v="20081920"/>
    <s v="DRIED PUMPKIN SEEDS PACKED IN CARTONS."/>
    <x v="1"/>
    <x v="1"/>
    <n v="1000"/>
    <s v="KGS"/>
    <n v="2.4269377382465049"/>
    <n v="2426.937738246505"/>
    <n v="2426.9380000000001"/>
    <x v="1"/>
    <x v="1"/>
    <s v="Madras Sea"/>
    <s v="Sea"/>
    <n v="1"/>
    <s v="MTS"/>
    <n v="2535"/>
    <n v="2535"/>
    <s v="USD"/>
    <s v="Fruit, nuts and other edible parts of plants, otherwise prepared or preserved, whether or not containing added sugar or other sweetening matter or spirit, not elsewhere specified or included"/>
    <n v="20"/>
    <n v="2008"/>
    <x v="9"/>
    <n v="47779810"/>
    <s v="AAPFG4059E"/>
  </r>
  <r>
    <d v="2022-09-21T00:00:00"/>
    <x v="20"/>
    <n v="20081990"/>
    <s v="Organic Pumpkin Seeds"/>
    <x v="14"/>
    <x v="13"/>
    <n v="18"/>
    <s v="KGS"/>
    <n v="9.1769024424678811"/>
    <n v="165.18424396442191"/>
    <n v="9.1769999999999996"/>
    <x v="13"/>
    <x v="8"/>
    <s v="Jaipur Icd"/>
    <s v="Sea"/>
    <n v="18"/>
    <s v="KGS"/>
    <n v="149.76"/>
    <n v="8.32"/>
    <s v="USD"/>
    <s v="Fruit, nuts and other edible parts of plants, otherwise prepared or preserved, whether or not containing added sugar or other sweetening matter or spirit, not elsewhere specified or included"/>
    <n v="20"/>
    <n v="2008"/>
    <x v="10"/>
    <n v="50971742"/>
    <s v="BGKPM6031N"/>
  </r>
  <r>
    <d v="2022-09-27T00:00:00"/>
    <x v="21"/>
    <n v="12129990"/>
    <s v="GREEN PUMPKIN SEED PLAIN WITHOUT SALT &amp;"/>
    <x v="15"/>
    <x v="14"/>
    <n v="210"/>
    <s v="KGS"/>
    <n v="6.4742542506201968"/>
    <n v="1359.5933926302409"/>
    <n v="6.4740000000000002"/>
    <x v="14"/>
    <x v="12"/>
    <s v="Mundra"/>
    <s v="Sea"/>
    <n v="210"/>
    <s v="KGS"/>
    <n v="1358.7"/>
    <n v="6.47"/>
    <s v="USD"/>
    <s v="Locust beans, seaweeds and other algae, sugar beet and sugarcane, fresh, chilled, frozen or dried, whether or not ground; fruit stones and kernels and other vegetable products (including unroasted chicory roots of the variety Cichorium intybus sativum) of"/>
    <n v="12"/>
    <n v="1212"/>
    <x v="11"/>
    <n v="49024569"/>
    <s v="AAZFB0602Q"/>
  </r>
  <r>
    <d v="2022-09-27T00:00:00"/>
    <x v="21"/>
    <n v="12129990"/>
    <s v="ROASTED GREEN PUMPKIN SEED WITHOUT SALT"/>
    <x v="15"/>
    <x v="14"/>
    <n v="90"/>
    <s v="KGS"/>
    <n v="7.3415219539743042"/>
    <n v="660.73697585768741"/>
    <n v="7.3419999999999996"/>
    <x v="14"/>
    <x v="12"/>
    <s v="Mundra"/>
    <s v="Sea"/>
    <n v="90"/>
    <s v="KGS"/>
    <n v="667.8"/>
    <n v="7.42"/>
    <s v="USD"/>
    <s v="Locust beans, seaweeds and other algae, sugar beet and sugarcane, fresh, chilled, frozen or dried, whether or not ground; fruit stones and kernels and other vegetable products (including unroasted chicory roots of the variety Cichorium intybus sativum) of"/>
    <n v="12"/>
    <n v="1212"/>
    <x v="12"/>
    <n v="49024541"/>
    <s v="AAZFB0602Q"/>
  </r>
  <r>
    <d v="2022-09-28T00:00:00"/>
    <x v="22"/>
    <n v="12079990"/>
    <s v="PUMPKIN SEEDS 200 GM X 24 PCS X 1 CTN"/>
    <x v="16"/>
    <x v="15"/>
    <n v="9.6"/>
    <s v="KGS"/>
    <n v="9.2651418890300725"/>
    <n v="88.945362134688693"/>
    <n v="9.2650000000000006"/>
    <x v="15"/>
    <x v="13"/>
    <s v="JNPT"/>
    <s v="Sea"/>
    <n v="9.6"/>
    <s v="KGS"/>
    <n v="89.86"/>
    <n v="9.36"/>
    <s v="USD"/>
    <s v="Other oil seeds and oleaginous fruits, whether or not broken"/>
    <n v="12"/>
    <n v="1207"/>
    <x v="13"/>
    <n v="48918823"/>
    <s v="0508085586"/>
  </r>
  <r>
    <d v="2022-10-28T00:00:00"/>
    <x v="23"/>
    <n v="12099910"/>
    <s v="PUMPKIN SEED USE FOR CAKE DECORATION 200 GRAM 96 PCS"/>
    <x v="17"/>
    <x v="16"/>
    <n v="19.2"/>
    <s v="KGS"/>
    <n v="6.3361719383617201"/>
    <n v="121.654501216545"/>
    <n v="6.3360000000000003"/>
    <x v="4"/>
    <x v="14"/>
    <s v="Madras Sea"/>
    <s v="Sea"/>
    <n v="19.2"/>
    <s v="KGS"/>
    <n v="128.06"/>
    <n v="6.67"/>
    <s v="USD"/>
    <s v="Seeds, fruit and spores, of a kind used for sowing"/>
    <n v="12"/>
    <n v="1209"/>
    <x v="14"/>
    <n v="54279814"/>
    <s v="AAECF4766F"/>
  </r>
  <r>
    <d v="2022-10-29T00:00:00"/>
    <x v="24"/>
    <n v="7099310"/>
    <s v="SUPER SEEDS - PUMPKIN 25*200GM"/>
    <x v="18"/>
    <x v="17"/>
    <n v="20"/>
    <s v="KGS"/>
    <n v="7.9075425790754252"/>
    <n v="158.1508515815085"/>
    <n v="7.9080000000000004"/>
    <x v="8"/>
    <x v="7"/>
    <s v="Bangalore Icd"/>
    <s v="Sea"/>
    <n v="20"/>
    <s v="KGS"/>
    <n v="160"/>
    <n v="8"/>
    <s v="USD"/>
    <s v="Other vegetables, fresh or chilled"/>
    <n v="7"/>
    <n v="709"/>
    <x v="14"/>
    <n v="54130567"/>
    <s v="0709010818"/>
  </r>
  <r>
    <d v="2022-11-02T00:00:00"/>
    <x v="25"/>
    <n v="12099990"/>
    <s v="PUMPKIN SEED USE FOR CAKE DECORATION 200 GRAM 96 PCS"/>
    <x v="17"/>
    <x v="16"/>
    <n v="19.2"/>
    <s v="KGS"/>
    <n v="6.3361719383617201"/>
    <n v="121.654501216545"/>
    <n v="6.3360000000000003"/>
    <x v="4"/>
    <x v="14"/>
    <s v="Madras Sea"/>
    <s v="Sea"/>
    <n v="19.2"/>
    <s v="KGS"/>
    <n v="127.87"/>
    <n v="6.66"/>
    <s v="USD"/>
    <s v="Seeds, fruit and spores, of a kind used for sowing"/>
    <n v="12"/>
    <n v="1209"/>
    <x v="15"/>
    <n v="58701299"/>
    <s v="AAECF4766F"/>
  </r>
  <r>
    <d v="2022-12-04T00:00:00"/>
    <x v="26"/>
    <n v="20081990"/>
    <s v="Pumpkin Seeds"/>
    <x v="19"/>
    <x v="6"/>
    <n v="360"/>
    <s v="KGS"/>
    <n v="7.5757500000000002"/>
    <n v="2727.27"/>
    <n v="7.58"/>
    <x v="5"/>
    <x v="2"/>
    <s v="Tuticorin Sea"/>
    <s v="Sea"/>
    <n v="360"/>
    <s v="KGS"/>
    <n v="2847.6"/>
    <n v="7.91"/>
    <s v="USD"/>
    <s v="Fruit, nuts and other edible parts of plants, otherwise prepared or preserved, whether or not containing added sugar or other sweetening matter or spirit, not elsewhere specified or included"/>
    <n v="20"/>
    <n v="2008"/>
    <x v="16"/>
    <n v="67313259"/>
    <s v="3298022802"/>
  </r>
  <r>
    <d v="2022-12-04T00:00:00"/>
    <x v="26"/>
    <n v="20081990"/>
    <s v="Pumpkin Seeds"/>
    <x v="19"/>
    <x v="6"/>
    <n v="360"/>
    <s v="KGS"/>
    <n v="7.6449444444444437"/>
    <n v="2752.18"/>
    <n v="7.64"/>
    <x v="5"/>
    <x v="2"/>
    <s v="Tuticorin Sea"/>
    <s v="Sea"/>
    <n v="360"/>
    <s v="KGS"/>
    <n v="2847.6"/>
    <n v="7.91"/>
    <s v="USD"/>
    <s v="Fruit, nuts and other edible parts of plants, otherwise prepared or preserved, whether or not containing added sugar or other sweetening matter or spirit, not elsewhere specified or included"/>
    <n v="20"/>
    <n v="2008"/>
    <x v="17"/>
    <n v="67182429"/>
    <s v="3298022802"/>
  </r>
  <r>
    <d v="2022-12-18T00:00:00"/>
    <x v="27"/>
    <n v="20081920"/>
    <s v="Pumpkin Seeds"/>
    <x v="20"/>
    <x v="18"/>
    <n v="250"/>
    <s v="KGS"/>
    <n v="6.4547600000000003"/>
    <n v="1613.69"/>
    <n v="6.45"/>
    <x v="16"/>
    <x v="8"/>
    <s v="Mundra"/>
    <s v="Sea"/>
    <n v="250"/>
    <s v="KGS"/>
    <n v="1612.5"/>
    <n v="6.45"/>
    <s v="USD"/>
    <s v="Fruit, nuts and other edible parts of plants, otherwise prepared or preserved, whether or not containing added sugar or other sweetening matter or spirit, not elsewhere specified or included"/>
    <n v="20"/>
    <n v="2008"/>
    <x v="18"/>
    <n v="67811405"/>
    <s v="AARFT3060E"/>
  </r>
  <r>
    <d v="2022-12-20T00:00:00"/>
    <x v="28"/>
    <n v="20081920"/>
    <s v="PUMPKIN SEED 4 CARTONS 25 KGS / CARTON"/>
    <x v="12"/>
    <x v="19"/>
    <n v="100"/>
    <s v="KGS"/>
    <n v="4.6455000000000002"/>
    <n v="464.55"/>
    <n v="4.6500000000000004"/>
    <x v="11"/>
    <x v="10"/>
    <s v="JNPT"/>
    <s v="Sea"/>
    <n v="100"/>
    <s v="KGS"/>
    <n v="500"/>
    <n v="5"/>
    <s v="USD"/>
    <s v="Fruit, nuts and other edible parts of plants, otherwise prepared or preserved, whether or not containing added sugar or other sweetening matter or spirit, not elsewhere specified or included"/>
    <n v="20"/>
    <n v="2008"/>
    <x v="19"/>
    <n v="67535054"/>
    <s v="0388039329"/>
  </r>
  <r>
    <d v="2022-12-25T00:00:00"/>
    <x v="29"/>
    <n v="12129990"/>
    <s v="JOSH PUMPKIN SEEDS Suppliers GSTIN 27ABPFA4525Q1ZS,  DOCUMENT  No.ASF-4006/22-23DT.22-11-2022"/>
    <x v="2"/>
    <x v="5"/>
    <n v="255"/>
    <s v="KGS"/>
    <n v="6.0405490196078429"/>
    <n v="1540.34"/>
    <n v="6.04"/>
    <x v="5"/>
    <x v="2"/>
    <s v="JNPT"/>
    <s v="Sea"/>
    <n v="255"/>
    <s v="KGS"/>
    <n v="1287.75"/>
    <n v="5.05"/>
    <s v="GBP"/>
    <s v="Locust beans, seaweeds and other algae, sugar beet and sugarcane, fresh, chilled, frozen or dried, whether or not ground; fruit stones and kernels and other vegetable products (including unroasted chicory roots of the variety Cichorium intybus sativum) of"/>
    <n v="12"/>
    <n v="1212"/>
    <x v="20"/>
    <n v="70015826"/>
    <s v="0302048987"/>
  </r>
  <r>
    <d v="2022-12-25T00:00:00"/>
    <x v="29"/>
    <n v="12129990"/>
    <s v="PUMPKIN SEEDS Suppliers GSTIN 27ADOPJ2488E1ZA,  DOCUMENT  No.ATC-1631/22-23 DT.16-12-2022"/>
    <x v="2"/>
    <x v="5"/>
    <n v="300"/>
    <s v="KGS"/>
    <n v="5.6642333333333337"/>
    <n v="1699.27"/>
    <n v="5.66"/>
    <x v="5"/>
    <x v="2"/>
    <s v="JNPT"/>
    <s v="Sea"/>
    <n v="300"/>
    <s v="KGS"/>
    <n v="1419"/>
    <n v="4.7300000000000004"/>
    <s v="GBP"/>
    <s v="Locust beans, seaweeds and other algae, sugar beet and sugarcane, fresh, chilled, frozen or dried, whether or not ground; fruit stones and kernels and other vegetable products (including unroasted chicory roots of the variety Cichorium intybus sativum) of"/>
    <n v="12"/>
    <n v="1212"/>
    <x v="21"/>
    <n v="70015833"/>
    <s v="0302048987"/>
  </r>
  <r>
    <d v="2023-01-02T00:00:00"/>
    <x v="30"/>
    <n v="20081920"/>
    <s v="DELIGHT NUTS PUMPKIN SEEDS R/S 48 X 200 GM"/>
    <x v="21"/>
    <x v="20"/>
    <n v="9.6"/>
    <s v="KGS"/>
    <n v="8.7354166666666675"/>
    <n v="83.86"/>
    <n v="8.74"/>
    <x v="17"/>
    <x v="15"/>
    <s v="JNPT"/>
    <s v="Sea"/>
    <n v="9.6"/>
    <s v="KGS"/>
    <n v="89.28"/>
    <n v="9.3000000000000007"/>
    <s v="USD"/>
    <s v="Fruit, nuts and other edible parts of plants, otherwise prepared or preserved, whether or not containing added sugar or other sweetening matter or spirit, not elsewhere specified or included"/>
    <n v="20"/>
    <n v="2008"/>
    <x v="22"/>
    <n v="353572"/>
    <s v="AAICR2360P"/>
  </r>
  <r>
    <d v="2023-01-02T00:00:00"/>
    <x v="30"/>
    <n v="20081990"/>
    <s v="DELIGHT NUTS RAW PUMPKIN SEEDS 48 X 200 GM"/>
    <x v="21"/>
    <x v="20"/>
    <n v="9.6"/>
    <s v="KGS"/>
    <n v="7.4874999999999998"/>
    <n v="71.88"/>
    <n v="7.49"/>
    <x v="17"/>
    <x v="15"/>
    <s v="JNPT"/>
    <s v="Sea"/>
    <n v="9.6"/>
    <s v="KGS"/>
    <n v="76.319999999999993"/>
    <n v="7.95"/>
    <s v="USD"/>
    <s v="Fruit, nuts and other edible parts of plants, otherwise prepared or preserved, whether or not containing added sugar or other sweetening matter or spirit, not elsewhere specified or included"/>
    <n v="20"/>
    <n v="2008"/>
    <x v="23"/>
    <n v="353589"/>
    <s v="AAICR2360P"/>
  </r>
  <r>
    <d v="2023-01-09T00:00:00"/>
    <x v="31"/>
    <n v="12129990"/>
    <s v="PUMPKIN SEEDS IN JAR"/>
    <x v="22"/>
    <x v="21"/>
    <n v="16"/>
    <s v="KGS"/>
    <n v="6.7262500000000003"/>
    <n v="107.62"/>
    <n v="6.73"/>
    <x v="8"/>
    <x v="7"/>
    <s v="JNPT"/>
    <s v="Sea"/>
    <n v="16"/>
    <s v="KGS"/>
    <n v="108"/>
    <n v="6.75"/>
    <s v="USD"/>
    <s v="Locust beans, seaweeds and other algae, sugar beet and sugarcane, fresh, chilled, frozen or dried, whether or not ground; fruit stones and kernels and other vegetable products (including unroasted chicory roots of the variety Cichorium intybus sativum) of"/>
    <n v="12"/>
    <n v="1212"/>
    <x v="24"/>
    <n v="498721"/>
    <s v="0391168525"/>
  </r>
  <r>
    <d v="2023-01-09T00:00:00"/>
    <x v="31"/>
    <n v="12129990"/>
    <s v="PUMPKIN SEEDS"/>
    <x v="22"/>
    <x v="21"/>
    <n v="40"/>
    <s v="KGS"/>
    <n v="5.68025"/>
    <n v="227.21"/>
    <n v="5.68"/>
    <x v="8"/>
    <x v="7"/>
    <s v="JNPT"/>
    <s v="Sea"/>
    <n v="40"/>
    <s v="KGS"/>
    <n v="237.2"/>
    <n v="5.93"/>
    <s v="USD"/>
    <s v="Locust beans, seaweeds and other algae, sugar beet and sugarcane, fresh, chilled, frozen or dried, whether or not ground; fruit stones and kernels and other vegetable products (including unroasted chicory roots of the variety Cichorium intybus sativum) of"/>
    <n v="12"/>
    <n v="1212"/>
    <x v="25"/>
    <n v="498722"/>
    <s v="0391168525"/>
  </r>
  <r>
    <d v="2023-01-12T00:00:00"/>
    <x v="32"/>
    <n v="20081990"/>
    <s v="PUMPKIN SEED[4 KGS X 02]"/>
    <x v="10"/>
    <x v="22"/>
    <n v="8"/>
    <s v="KGS"/>
    <n v="7.4737499999999999"/>
    <n v="59.79"/>
    <n v="7.47"/>
    <x v="18"/>
    <x v="0"/>
    <s v="Bangalore Air"/>
    <s v="Air"/>
    <n v="8"/>
    <s v="KGS"/>
    <n v="5440"/>
    <n v="680"/>
    <s v="INR"/>
    <s v="Fruit, nuts and other edible parts of plants, otherwise prepared or preserved, whether or not containing added sugar or other sweetening matter or spirit, not elsewhere specified or included"/>
    <n v="20"/>
    <n v="2008"/>
    <x v="26"/>
    <n v="2040986"/>
    <s v="ACYFS8677H"/>
  </r>
  <r>
    <d v="2023-01-14T00:00:00"/>
    <x v="33"/>
    <n v="20081920"/>
    <s v="PUMPKIN SEED QTY 220 KGS Supplier: Avishkar Agro Technology LLP GST: 27ABIFA9440K123"/>
    <x v="23"/>
    <x v="23"/>
    <n v="220"/>
    <s v="KGS"/>
    <n v="7.4729999999999999"/>
    <n v="1644.06"/>
    <n v="7.47"/>
    <x v="1"/>
    <x v="1"/>
    <s v="JNPT"/>
    <s v="Sea"/>
    <n v="220"/>
    <s v="KGS"/>
    <n v="1656.6"/>
    <n v="7.53"/>
    <s v="USD"/>
    <s v="Fruit, nuts and other edible parts of plants, otherwise prepared or preserved, whether or not containing added sugar or other sweetening matter or spirit, not elsewhere specified or included"/>
    <n v="20"/>
    <n v="2008"/>
    <x v="27"/>
    <n v="2464310"/>
    <s v="0315909102"/>
  </r>
  <r>
    <d v="2023-01-17T00:00:00"/>
    <x v="34"/>
    <n v="12079990"/>
    <s v="PUMPKIN SEEDS MAGAJTARI OTHER DETAILSAS PER  DOCUMENT  AND PACKING LIST"/>
    <x v="24"/>
    <x v="24"/>
    <n v="62.4"/>
    <s v="KGS"/>
    <n v="6.1325320512820518"/>
    <n v="382.67"/>
    <n v="6.13"/>
    <x v="19"/>
    <x v="16"/>
    <s v="Mundra"/>
    <s v="Sea"/>
    <n v="62.4"/>
    <s v="KGS"/>
    <n v="395.62"/>
    <n v="6.34"/>
    <s v="USD"/>
    <s v="Other oil seeds and oleaginous fruits, whether or not broken"/>
    <n v="12"/>
    <n v="1207"/>
    <x v="28"/>
    <n v="1705664"/>
    <s v="2415007650"/>
  </r>
  <r>
    <d v="2023-02-07T00:00:00"/>
    <x v="35"/>
    <n v="12060090"/>
    <s v="PUMPKIN SEED"/>
    <x v="25"/>
    <x v="25"/>
    <n v="20"/>
    <s v="KGS"/>
    <n v="5.4409999999999998"/>
    <n v="108.82"/>
    <n v="5.44"/>
    <x v="14"/>
    <x v="12"/>
    <s v="Tuticorin Sea"/>
    <s v="Sea"/>
    <n v="20"/>
    <s v="KGS"/>
    <n v="112.8"/>
    <n v="5.64"/>
    <s v="USD"/>
    <s v="Sunflower seeds, whether or not broken"/>
    <n v="12"/>
    <n v="1206"/>
    <x v="29"/>
    <n v="42401272"/>
    <s v="AAYFK7729A"/>
  </r>
  <r>
    <d v="2023-02-08T00:00:00"/>
    <x v="36"/>
    <n v="20081920"/>
    <s v="DRIED PUMPKIN SEEDS PACKED IN CTNS.  WEINTEND TO CLAIM REWARD UNDER RODTEP SCHEME"/>
    <x v="1"/>
    <x v="1"/>
    <n v="2000"/>
    <s v="KGS"/>
    <n v="2.1425299999999998"/>
    <n v="4285.0600000000004"/>
    <n v="2142.5300000000002"/>
    <x v="1"/>
    <x v="1"/>
    <s v="Kattupalli"/>
    <s v="Sea"/>
    <n v="2"/>
    <s v="MTS"/>
    <n v="4370"/>
    <n v="2185"/>
    <s v="USD"/>
    <s v="Fruit, nuts and other edible parts of plants, otherwise prepared or preserved, whether or not containing added sugar or other sweetening matter or spirit, not elsewhere specified or included"/>
    <n v="20"/>
    <n v="2008"/>
    <x v="30"/>
    <n v="43365793"/>
    <s v="AAPFG4059E"/>
  </r>
  <r>
    <d v="2023-02-22T00:00:00"/>
    <x v="37"/>
    <n v="12129990"/>
    <s v="PUMPKIN SEEDS"/>
    <x v="2"/>
    <x v="5"/>
    <n v="105"/>
    <s v="KGS"/>
    <n v="5.4700952380952383"/>
    <n v="574.36"/>
    <n v="5.47"/>
    <x v="5"/>
    <x v="2"/>
    <s v="JNPT"/>
    <s v="Sea"/>
    <n v="105"/>
    <s v="KGS"/>
    <n v="496.65"/>
    <n v="4.7300000000000004"/>
    <s v="GBP"/>
    <s v="Locust beans, seaweeds and other algae, sugar beet and sugarcane, fresh, chilled, frozen or dried, whether or not ground; fruit stones and kernels and other vegetable products (including unroasted chicory roots of the variety Cichorium intybus sativum) of"/>
    <n v="12"/>
    <n v="1212"/>
    <x v="31"/>
    <n v="45029257"/>
    <s v="0302048987"/>
  </r>
  <r>
    <d v="2023-02-22T00:00:00"/>
    <x v="37"/>
    <n v="12129990"/>
    <s v="JOSH PUMPKIN SEEDS"/>
    <x v="2"/>
    <x v="5"/>
    <n v="250"/>
    <s v="KGS"/>
    <n v="5.8978400000000004"/>
    <n v="1474.46"/>
    <n v="5.9"/>
    <x v="5"/>
    <x v="2"/>
    <s v="JNPT"/>
    <s v="Sea"/>
    <n v="250"/>
    <s v="KGS"/>
    <n v="1262.5"/>
    <n v="5.05"/>
    <s v="GBP"/>
    <s v="Locust beans, seaweeds and other algae, sugar beet and sugarcane, fresh, chilled, frozen or dried, whether or not ground; fruit stones and kernels and other vegetable products (including unroasted chicory roots of the variety Cichorium intybus sativum) of"/>
    <n v="12"/>
    <n v="1212"/>
    <x v="32"/>
    <n v="45029251"/>
    <s v="0302048987"/>
  </r>
  <r>
    <d v="2023-03-11T00:00:00"/>
    <x v="38"/>
    <n v="20081990"/>
    <s v="Pumpkin Seed  Supplier:Avishkar Agro Technology LLP   GST NO.27ABIFA9440K1Z3 INV No.ASIN- 223-0434 DT 08-02-23"/>
    <x v="23"/>
    <x v="23"/>
    <n v="120"/>
    <s v="KGS"/>
    <n v="6.5932500000000003"/>
    <n v="791.19"/>
    <n v="6.59"/>
    <x v="1"/>
    <x v="1"/>
    <s v="JNPT"/>
    <s v="Sea"/>
    <n v="120"/>
    <s v="KGS"/>
    <n v="817.2"/>
    <n v="6.81"/>
    <s v="USD"/>
    <s v="Fruit, nuts and other edible parts of plants, otherwise prepared or preserved, whether or not containing added sugar or other sweetening matter or spirit, not elsewhere specified or included"/>
    <n v="20"/>
    <n v="2008"/>
    <x v="33"/>
    <n v="51461338"/>
    <s v="0315909102"/>
  </r>
  <r>
    <d v="2023-03-15T00:00:00"/>
    <x v="39"/>
    <n v="12129990"/>
    <s v="JOSH PUMPKIN SEEDS"/>
    <x v="2"/>
    <x v="5"/>
    <n v="250"/>
    <s v="KGS"/>
    <n v="5.8109999999999999"/>
    <n v="1452.75"/>
    <n v="5.81"/>
    <x v="5"/>
    <x v="2"/>
    <s v="JNPT"/>
    <s v="Sea"/>
    <n v="250"/>
    <s v="KGS"/>
    <n v="1262.5"/>
    <n v="5.05"/>
    <s v="GBP"/>
    <s v="Locust beans, seaweeds and other algae, sugar beet and sugarcane, fresh, chilled, frozen or dried, whether or not ground; fruit stones and kernels and other vegetable products (including unroasted chicory roots of the variety Cichorium intybus sativum) of"/>
    <n v="12"/>
    <n v="1212"/>
    <x v="34"/>
    <n v="52023863"/>
    <s v="0302048987"/>
  </r>
  <r>
    <d v="2023-03-23T00:00:00"/>
    <x v="40"/>
    <n v="20081990"/>
    <s v="Pumpkin Seed Supplier:Avishkar Agro Te"/>
    <x v="23"/>
    <x v="23"/>
    <n v="120"/>
    <s v="KGS"/>
    <n v="6.5771666666666668"/>
    <n v="789.26"/>
    <n v="6.58"/>
    <x v="1"/>
    <x v="1"/>
    <s v="JNPT"/>
    <s v="Sea"/>
    <n v="120"/>
    <s v="KGS"/>
    <n v="819.6"/>
    <n v="6.83"/>
    <s v="USD"/>
    <s v="Fruit, nuts and other edible parts of plants, otherwise prepared or preserved, whether or not containing added sugar or other sweetening matter or spirit, not elsewhere specified or included"/>
    <n v="20"/>
    <n v="2008"/>
    <x v="35"/>
    <n v="53890479"/>
    <s v="0315909102"/>
  </r>
  <r>
    <d v="2023-03-25T00:00:00"/>
    <x v="41"/>
    <n v="20081990"/>
    <s v="PUMPKIN SEEDS 310G 360PCS"/>
    <x v="26"/>
    <x v="26"/>
    <n v="111.6"/>
    <s v="KGS"/>
    <n v="9.166397849462367"/>
    <n v="1022.97"/>
    <n v="9.17"/>
    <x v="20"/>
    <x v="17"/>
    <s v="Chawapayal Icd"/>
    <s v="Sea"/>
    <n v="111.6"/>
    <s v="KGS"/>
    <n v="1598.11"/>
    <n v="14.32"/>
    <s v="AUD"/>
    <s v="Fruit, nuts and other edible parts of plants, otherwise prepared or preserved, whether or not containing added sugar or other sweetening matter or spirit, not elsewhere specified or included"/>
    <n v="20"/>
    <n v="2008"/>
    <x v="36"/>
    <n v="58330237"/>
    <s v="ACYPJ0890M"/>
  </r>
  <r>
    <d v="2023-03-27T00:00:00"/>
    <x v="42"/>
    <n v="12060010"/>
    <s v="PUMPKIN SEEDS 10 kg Paper Bag Seeds for breads decoration"/>
    <x v="27"/>
    <x v="27"/>
    <n v="100"/>
    <s v="KGS"/>
    <n v="6.4576000000000002"/>
    <n v="645.76"/>
    <n v="6.46"/>
    <x v="21"/>
    <x v="18"/>
    <s v="JNPT"/>
    <s v="Sea"/>
    <n v="100"/>
    <s v="KGS"/>
    <n v="690"/>
    <n v="6.9"/>
    <s v="USD"/>
    <s v="Sunflower seeds, whether or not broken"/>
    <n v="12"/>
    <n v="1206"/>
    <x v="37"/>
    <n v="53725421"/>
    <s v="0312020350"/>
  </r>
  <r>
    <d v="2023-04-05T00:00:00"/>
    <x v="43"/>
    <n v="20081990"/>
    <s v="PUMPKIN SEED"/>
    <x v="13"/>
    <x v="28"/>
    <n v="10"/>
    <s v="KGS"/>
    <n v="3.2290000000000001"/>
    <n v="32.29"/>
    <n v="3.23"/>
    <x v="22"/>
    <x v="11"/>
    <s v="Nagarkata LCS"/>
    <s v="Road"/>
    <n v="10"/>
    <s v="KGS"/>
    <n v="34.5"/>
    <n v="3.45"/>
    <s v="USD"/>
    <s v="Fruit, nuts and other edible parts of plants, otherwise prepared or preserved, whether or not containing added sugar or other sweetening matter or spirit, not elsewhere specified or included"/>
    <n v="20"/>
    <n v="2008"/>
    <x v="38"/>
    <n v="64295703"/>
    <s v="ACNPA4874D"/>
  </r>
  <r>
    <d v="2023-04-12T00:00:00"/>
    <x v="44"/>
    <n v="20081990"/>
    <s v="PUMPKIN SEED KERNEL"/>
    <x v="28"/>
    <x v="29"/>
    <n v="750"/>
    <s v="KGS"/>
    <n v="1.305053333333333"/>
    <n v="978.79"/>
    <n v="1.31"/>
    <x v="1"/>
    <x v="1"/>
    <s v="JNPT"/>
    <s v="Sea"/>
    <n v="750"/>
    <s v="KGS"/>
    <n v="997.5"/>
    <n v="1.33"/>
    <s v="USD"/>
    <s v="Fruit, nuts and other edible parts of plants, otherwise prepared or preserved, whether or not containing added sugar or other sweetening matter or spirit, not elsewhere specified or included"/>
    <n v="20"/>
    <n v="2008"/>
    <x v="39"/>
    <n v="59792949"/>
    <s v="AHGPR2460J"/>
  </r>
  <r>
    <d v="2023-04-21T00:00:00"/>
    <x v="45"/>
    <n v="20081990"/>
    <s v="Pumpkin Seed Supplier:Avishkar Agro Technology LLP   GST NO.27ABIFA9440K1Z3  INV No.ASIN/2324/0001 DT-01-04-2023  "/>
    <x v="23"/>
    <x v="23"/>
    <n v="100"/>
    <s v="KGS"/>
    <n v="6.7420000000000009"/>
    <n v="674.2"/>
    <n v="6.74"/>
    <x v="1"/>
    <x v="1"/>
    <s v="JNPT"/>
    <s v="Sea"/>
    <n v="100"/>
    <s v="KGS"/>
    <n v="697"/>
    <n v="6.97"/>
    <s v="USD"/>
    <s v="Fruit, nuts and other edible parts of plants, otherwise prepared or preserved, whether or not containing added sugar or other sweetening matter or spirit, not elsewhere specified or included"/>
    <n v="20"/>
    <n v="2008"/>
    <x v="40"/>
    <n v="61942133"/>
    <s v="0315909102"/>
  </r>
  <r>
    <d v="2023-05-12T00:00:00"/>
    <x v="46"/>
    <n v="12129990"/>
    <s v="JOSH PUMPKIN SEEDS"/>
    <x v="2"/>
    <x v="5"/>
    <n v="495"/>
    <s v="KGS"/>
    <n v="6.1844040404040408"/>
    <n v="3061.28"/>
    <n v="6.18"/>
    <x v="5"/>
    <x v="2"/>
    <s v="JNPT"/>
    <s v="Sea"/>
    <n v="495"/>
    <s v="KGS"/>
    <n v="2499.75"/>
    <n v="5.05"/>
    <s v="GBP"/>
    <s v="Locust beans, seaweeds and other algae, sugar beet and sugarcane, fresh, chilled, frozen or dried, whether or not ground; fruit stones and kernels and other vegetable products (including unroasted chicory roots of the variety Cichorium intybus sativum) of"/>
    <n v="12"/>
    <n v="1212"/>
    <x v="41"/>
    <n v="68413494"/>
    <s v="0302048987"/>
  </r>
  <r>
    <d v="2023-05-17T00:00:00"/>
    <x v="47"/>
    <n v="20081920"/>
    <s v="PUMPKIN SEED 20X100GAS PER  DOCUMENT "/>
    <x v="29"/>
    <x v="30"/>
    <n v="56"/>
    <s v="KGS"/>
    <n v="8.2251785714285717"/>
    <n v="460.61"/>
    <n v="8.23"/>
    <x v="23"/>
    <x v="19"/>
    <s v="Mundra"/>
    <s v="Sea"/>
    <n v="56"/>
    <s v="KGS"/>
    <n v="472.08"/>
    <n v="8.43"/>
    <s v="USD"/>
    <s v="Fruit, nuts and other edible parts of plants, otherwise prepared or preserved, whether or not containing added sugar or other sweetening matter or spirit, not elsewhere specified or included"/>
    <n v="20"/>
    <n v="2008"/>
    <x v="42"/>
    <n v="68273754"/>
    <s v="2492000940"/>
  </r>
  <r>
    <d v="2023-05-23T00:00:00"/>
    <x v="48"/>
    <n v="20081990"/>
    <s v="Pumpkin Seed 4kg  x 1 nos"/>
    <x v="10"/>
    <x v="22"/>
    <n v="4"/>
    <s v="KGS"/>
    <n v="9.0124999999999993"/>
    <n v="36.049999999999997"/>
    <n v="9.01"/>
    <x v="18"/>
    <x v="0"/>
    <s v="Bangalore Icd"/>
    <s v="Sea"/>
    <n v="4"/>
    <s v="KGS"/>
    <n v="2720"/>
    <n v="680"/>
    <s v="INR"/>
    <s v="Fruit, nuts and other edible parts of plants, otherwise prepared or preserved, whether or not containing added sugar or other sweetening matter or spirit, not elsewhere specified or included"/>
    <n v="20"/>
    <n v="2008"/>
    <x v="43"/>
    <n v="69491601"/>
    <s v="ACYFS8677H"/>
  </r>
  <r>
    <d v="2023-06-03T00:00:00"/>
    <x v="49"/>
    <n v="20081920"/>
    <s v="PUMPKIN SEED MELON SEEDS ASRT. FOOD STUFFS"/>
    <x v="30"/>
    <x v="31"/>
    <n v="13"/>
    <s v="KGS"/>
    <n v="5.5361538461538462"/>
    <n v="71.97"/>
    <n v="5.54"/>
    <x v="17"/>
    <x v="15"/>
    <s v="JNPT"/>
    <s v="Sea"/>
    <n v="13"/>
    <s v="KGS"/>
    <n v="73.45"/>
    <n v="5.65"/>
    <s v="USD"/>
    <s v="Fruit, nuts and other edible parts of plants, otherwise prepared or preserved, whether or not containing added sugar or other sweetening matter or spirit, not elsewhere specified or included"/>
    <n v="20"/>
    <n v="2008"/>
    <x v="44"/>
    <n v="75605230"/>
    <s v="ABVFA9948B"/>
  </r>
  <r>
    <d v="2023-06-06T00:00:00"/>
    <x v="50"/>
    <n v="12079990"/>
    <s v="SUPER SEEDS - PUMPKIN 25*200GM"/>
    <x v="18"/>
    <x v="17"/>
    <n v="50"/>
    <s v="KGS"/>
    <n v="7.9167999999999994"/>
    <n v="395.84"/>
    <n v="7.92"/>
    <x v="8"/>
    <x v="7"/>
    <s v="Bangalore Icd"/>
    <s v="Sea"/>
    <n v="50"/>
    <s v="KGS"/>
    <n v="400"/>
    <n v="8"/>
    <s v="USD"/>
    <s v="Other oil seeds and oleaginous fruits, whether or not broken"/>
    <n v="12"/>
    <n v="1207"/>
    <x v="45"/>
    <n v="75112110"/>
    <s v="0709010818"/>
  </r>
  <r>
    <d v="2023-06-07T00:00:00"/>
    <x v="51"/>
    <n v="20081990"/>
    <s v="PUMPKIN SEEDS ORIGIN INDIA, CROP 202325 KG NET 12.5 X 80 BAGS IN 40 MASTERBOXES "/>
    <x v="31"/>
    <x v="6"/>
    <n v="1000"/>
    <s v="KGS"/>
    <n v="5.5091599999999996"/>
    <n v="5509.16"/>
    <n v="5509.16"/>
    <x v="6"/>
    <x v="5"/>
    <s v="Mundra"/>
    <s v="Sea"/>
    <n v="1"/>
    <s v="MTS"/>
    <n v="5610"/>
    <n v="5610"/>
    <s v="USD"/>
    <s v="Fruit, nuts and other edible parts of plants, otherwise prepared or preserved, whether or not containing added sugar or other sweetening matter or spirit, not elsewhere specified or included"/>
    <n v="20"/>
    <n v="2008"/>
    <x v="46"/>
    <n v="74737818"/>
    <s v="2411000944"/>
  </r>
  <r>
    <d v="2023-06-09T00:00:00"/>
    <x v="52"/>
    <n v="20081920"/>
    <s v="PUMPKIN SEEDS"/>
    <x v="32"/>
    <x v="6"/>
    <n v="100"/>
    <s v="KGS"/>
    <n v="4.4382000000000001"/>
    <n v="443.82"/>
    <n v="4.4400000000000004"/>
    <x v="24"/>
    <x v="20"/>
    <s v="Ahmedabad Icd"/>
    <s v="Sea"/>
    <n v="100"/>
    <s v="KGS"/>
    <n v="457"/>
    <n v="4.57"/>
    <s v="USD"/>
    <s v="Fruit, nuts and other edible parts of plants, otherwise prepared or preserved, whether or not containing added sugar or other sweetening matter or spirit, not elsewhere specified or included"/>
    <n v="20"/>
    <n v="2008"/>
    <x v="47"/>
    <n v="75080523"/>
    <s v="FSAPS9838B"/>
  </r>
  <r>
    <d v="2023-06-11T00:00:00"/>
    <x v="53"/>
    <n v="20081920"/>
    <s v="PUMPKIN SEEDS OTHER DETAILS AS PER INV&amp; PL"/>
    <x v="33"/>
    <x v="32"/>
    <n v="25"/>
    <s v="KGS"/>
    <n v="5.2779999999999996"/>
    <n v="131.94999999999999"/>
    <n v="5.28"/>
    <x v="19"/>
    <x v="16"/>
    <s v="Mundra"/>
    <s v="Sea"/>
    <n v="25"/>
    <s v="KGS"/>
    <n v="136"/>
    <n v="5.44"/>
    <s v="USD"/>
    <s v="Fruit, nuts and other edible parts of plants, otherwise prepared or preserved, whether or not containing added sugar or other sweetening matter or spirit, not elsewhere specified or included"/>
    <n v="20"/>
    <n v="2008"/>
    <x v="48"/>
    <n v="76749168"/>
    <s v="ABLPF3655J"/>
  </r>
  <r>
    <d v="2023-06-20T00:00:00"/>
    <x v="54"/>
    <n v="12079990"/>
    <s v="PUMPKIN SEEDS"/>
    <x v="34"/>
    <x v="33"/>
    <n v="12.5"/>
    <s v="KGS"/>
    <n v="8.6736000000000004"/>
    <n v="108.42"/>
    <n v="8.67"/>
    <x v="15"/>
    <x v="13"/>
    <s v="Tuticorin Sea"/>
    <s v="Sea"/>
    <n v="12.5"/>
    <s v="KGS"/>
    <n v="111.75"/>
    <n v="8.94"/>
    <s v="USD"/>
    <s v="Other oil seeds and oleaginous fruits, whether or not broken"/>
    <n v="12"/>
    <n v="1207"/>
    <x v="49"/>
    <n v="76164501"/>
    <s v="EERPS8173B"/>
  </r>
  <r>
    <d v="2023-06-20T00:00:00"/>
    <x v="54"/>
    <n v="12129990"/>
    <s v="JOSH PUMPKIN SEEDS"/>
    <x v="2"/>
    <x v="5"/>
    <n v="495"/>
    <s v="KGS"/>
    <n v="6.2455151515151517"/>
    <n v="3091.53"/>
    <n v="6.25"/>
    <x v="5"/>
    <x v="2"/>
    <s v="JNPT"/>
    <s v="Sea"/>
    <n v="495"/>
    <s v="KGS"/>
    <n v="2499.75"/>
    <n v="5.05"/>
    <s v="GBP"/>
    <s v="Locust beans, seaweeds and other algae, sugar beet and sugarcane, fresh, chilled, frozen or dried, whether or not ground; fruit stones and kernels and other vegetable products (including unroasted chicory roots of the variety Cichorium intybus sativum) of"/>
    <n v="12"/>
    <n v="1212"/>
    <x v="50"/>
    <n v="76162415"/>
    <s v="0302048987"/>
  </r>
  <r>
    <d v="2023-06-21T00:00:00"/>
    <x v="55"/>
    <n v="12077090"/>
    <s v="Other - PUMPKIN SEED 250gm*40pcs"/>
    <x v="35"/>
    <x v="34"/>
    <n v="50"/>
    <s v="KGS"/>
    <n v="9.1555999999999997"/>
    <n v="457.78"/>
    <n v="9.16"/>
    <x v="25"/>
    <x v="4"/>
    <s v="Mundra"/>
    <s v="Sea"/>
    <n v="50"/>
    <s v="KGS"/>
    <n v="470"/>
    <n v="9.4"/>
    <s v="USD"/>
    <s v="Other oil seeds and oleaginous fruits, whether or not broken"/>
    <n v="12"/>
    <n v="1207"/>
    <x v="51"/>
    <n v="77056708"/>
    <s v="0505001179"/>
  </r>
  <r>
    <d v="2023-06-28T00:00:00"/>
    <x v="56"/>
    <n v="20081920"/>
    <s v="KESAR PUMPKIN SEEDS SUPER MARKET ITEMS"/>
    <x v="30"/>
    <x v="35"/>
    <n v="25"/>
    <s v="KGS"/>
    <n v="6.7464000000000004"/>
    <n v="168.66"/>
    <n v="6.75"/>
    <x v="24"/>
    <x v="20"/>
    <s v="JNPT"/>
    <s v="Sea"/>
    <n v="25"/>
    <s v="KGS"/>
    <n v="171.75"/>
    <n v="6.87"/>
    <s v="USD"/>
    <s v="Fruit, nuts and other edible parts of plants, otherwise prepared or preserved, whether or not containing added sugar or other sweetening matter or spirit, not elsewhere specified or included"/>
    <n v="20"/>
    <n v="2008"/>
    <x v="52"/>
    <n v="76854351"/>
    <s v="ABVFA9948B"/>
  </r>
  <r>
    <d v="2023-07-06T00:00:00"/>
    <x v="57"/>
    <n v="20081920"/>
    <s v="PUMPKIN SEEDS PACKING:20X150GAS PER  DOCUMENT "/>
    <x v="29"/>
    <x v="36"/>
    <n v="144"/>
    <s v="KGS"/>
    <n v="7.6675000000000004"/>
    <n v="1104.1199999999999"/>
    <n v="7.67"/>
    <x v="26"/>
    <x v="21"/>
    <s v="Mundra"/>
    <s v="Sea"/>
    <n v="144"/>
    <s v="KGS"/>
    <n v="1029.5999999999999"/>
    <n v="7.15"/>
    <s v="EUR"/>
    <s v="Fruit, nuts and other edible parts of plants, otherwise prepared or preserved, whether or not containing added sugar or other sweetening matter or spirit, not elsewhere specified or included"/>
    <n v="20"/>
    <n v="2008"/>
    <x v="53"/>
    <n v="82589791"/>
    <s v="2492000940"/>
  </r>
  <r>
    <d v="2023-07-22T00:00:00"/>
    <x v="58"/>
    <n v="12129990"/>
    <s v="JOSH PUMPKIN SEEDS"/>
    <x v="2"/>
    <x v="5"/>
    <n v="495"/>
    <s v="KGS"/>
    <n v="6.1080808080808078"/>
    <n v="3023.5"/>
    <n v="6.11"/>
    <x v="2"/>
    <x v="2"/>
    <s v="JNPT"/>
    <s v="Sea"/>
    <n v="495"/>
    <s v="KGS"/>
    <n v="2400.75"/>
    <n v="4.8499999999999996"/>
    <s v="GBP"/>
    <s v="Locust beans, seaweeds and other algae, sugar beet and sugarcane, fresh, chilled, frozen or dried, whether or not ground; fruit stones and kernels and other vegetable products (including unroasted chicory roots of the variety Cichorium intybus sativum) of"/>
    <n v="12"/>
    <n v="1212"/>
    <x v="54"/>
    <n v="85026540"/>
    <s v="0302048987"/>
  </r>
  <r>
    <d v="2023-07-25T00:00:00"/>
    <x v="59"/>
    <n v="12060010"/>
    <s v="PUMPKIN SEEDS 10 kg Paper Bag Seeds for bread decoration"/>
    <x v="27"/>
    <x v="27"/>
    <n v="200"/>
    <s v="KGS"/>
    <n v="6.8213499999999998"/>
    <n v="1364.27"/>
    <n v="6.82"/>
    <x v="27"/>
    <x v="18"/>
    <s v="JNPT"/>
    <s v="Sea"/>
    <n v="200"/>
    <s v="KGS"/>
    <n v="1370"/>
    <n v="6.85"/>
    <s v="USD"/>
    <s v="Sunflower seeds, whether or not broken"/>
    <n v="12"/>
    <n v="1206"/>
    <x v="55"/>
    <n v="86129046"/>
    <s v="0312020350"/>
  </r>
  <r>
    <d v="2023-08-03T00:00:00"/>
    <x v="60"/>
    <n v="20081920"/>
    <s v="FRUBITES ROASTED PUMPKIN SEEDS BATCH NO2207236901  MANUFACTURING  DATE 07/23 EXP DATE 07/24"/>
    <x v="36"/>
    <x v="37"/>
    <n v="15"/>
    <s v="KGS"/>
    <n v="4.0233333333333334"/>
    <n v="60.35"/>
    <n v="4.0199999999999996"/>
    <x v="28"/>
    <x v="2"/>
    <s v="Bombay Air"/>
    <s v="Air"/>
    <n v="15"/>
    <s v="KGS"/>
    <n v="72"/>
    <n v="4.8"/>
    <s v="USD"/>
    <s v="Fruit, nuts and other edible parts of plants, otherwise prepared or preserved, whether or not containing added sugar or other sweetening matter or spirit, not elsewhere specified or included"/>
    <n v="20"/>
    <n v="2008"/>
    <x v="56"/>
    <n v="95288882"/>
    <s v="AAICR9096G"/>
  </r>
  <r>
    <d v="2023-08-07T00:00:00"/>
    <x v="61"/>
    <n v="20081920"/>
    <s v="Pumpkin Seed Supp-Avishkar Agro Technology LLP  GSTNO.27ABIFA9440K1Z3  DOCUMENT No-ASIN-2324-0245 dt:08-07-2023"/>
    <x v="23"/>
    <x v="23"/>
    <n v="260"/>
    <s v="KGS"/>
    <n v="6.7020769230769233"/>
    <n v="1742.54"/>
    <n v="6.7"/>
    <x v="1"/>
    <x v="1"/>
    <s v="JNPT"/>
    <s v="Sea"/>
    <n v="260"/>
    <s v="KGS"/>
    <n v="1768"/>
    <n v="6.8"/>
    <s v="USD"/>
    <s v="Fruit, nuts and other edible parts of plants, otherwise prepared or preserved, whether or not containing added sugar or other sweetening matter or spirit, not elsewhere specified or included"/>
    <n v="20"/>
    <n v="2008"/>
    <x v="57"/>
    <n v="95272033"/>
    <s v="0315909102"/>
  </r>
  <r>
    <d v="2023-08-11T00:00:00"/>
    <x v="62"/>
    <n v="20081920"/>
    <s v="Pumpkin Seeds 8 Boxes Nt.Wt. 25.000 Kgs&amp; Gr.Wt. 26.000 Kgs"/>
    <x v="6"/>
    <x v="6"/>
    <n v="200"/>
    <s v="KGS"/>
    <n v="5.9709500000000002"/>
    <n v="1194.19"/>
    <n v="5.97"/>
    <x v="6"/>
    <x v="5"/>
    <s v="JNPT"/>
    <s v="Sea"/>
    <n v="200"/>
    <s v="KGS"/>
    <n v="1220"/>
    <n v="6.1"/>
    <s v="USD"/>
    <s v="Fruit, nuts and other edible parts of plants, otherwise prepared or preserved, whether or not containing added sugar or other sweetening matter or spirit, not elsewhere specified or included"/>
    <n v="20"/>
    <n v="2008"/>
    <x v="58"/>
    <n v="95916959"/>
    <s v="AAXFK3162C"/>
  </r>
  <r>
    <d v="2023-08-25T00:00:00"/>
    <x v="63"/>
    <n v="20081920"/>
    <s v="PUMPKIN SEEDS ROASTED20X150G NGRASPERINV"/>
    <x v="29"/>
    <x v="36"/>
    <n v="144"/>
    <s v="KGS"/>
    <n v="8.0097916666666666"/>
    <n v="1153.4100000000001"/>
    <n v="8.01"/>
    <x v="26"/>
    <x v="21"/>
    <s v="Mundra"/>
    <s v="Sea"/>
    <n v="144"/>
    <s v="KGS"/>
    <n v="1072.8"/>
    <n v="7.45"/>
    <s v="EUR"/>
    <s v="Fruit, nuts and other edible parts of plants, otherwise prepared or preserved, whether or not containing added sugar or other sweetening matter or spirit, not elsewhere specified or included"/>
    <n v="20"/>
    <n v="2008"/>
    <x v="59"/>
    <n v="98096635"/>
    <s v="2492000940"/>
  </r>
  <r>
    <d v="2023-09-01T00:00:00"/>
    <x v="64"/>
    <n v="12060010"/>
    <s v="Pumpkin Seed"/>
    <x v="37"/>
    <x v="38"/>
    <n v="225"/>
    <s v="KGS"/>
    <n v="7.2307111111111118"/>
    <n v="1626.91"/>
    <n v="7.23"/>
    <x v="8"/>
    <x v="7"/>
    <s v="Mundra"/>
    <s v="Sea"/>
    <n v="225"/>
    <s v="KGS"/>
    <n v="1626.75"/>
    <n v="7.23"/>
    <s v="USD"/>
    <s v="Sunflower seeds, whether or not broken"/>
    <n v="12"/>
    <n v="1206"/>
    <x v="60"/>
    <n v="104596569"/>
    <s v="AAICD8583A"/>
  </r>
  <r>
    <d v="2023-09-05T00:00:00"/>
    <x v="65"/>
    <n v="20081920"/>
    <s v="Pumpkin Seed  Supp-Avishkar Agro Technology LLP  GSTNO.27ABIFA9440K1Z3  DOCUMENT No-ASIN-2324-0411  dt: 02-09-2023"/>
    <x v="23"/>
    <x v="23"/>
    <n v="120"/>
    <s v="KGS"/>
    <n v="6.6565833333333329"/>
    <n v="798.79"/>
    <n v="6.66"/>
    <x v="1"/>
    <x v="1"/>
    <s v="JNPT"/>
    <s v="Sea"/>
    <n v="120"/>
    <s v="KGS"/>
    <n v="826.8"/>
    <n v="6.89"/>
    <s v="USD"/>
    <s v="Fruit, nuts and other edible parts of plants, otherwise prepared or preserved, whether or not containing added sugar or other sweetening matter or spirit, not elsewhere specified or included"/>
    <n v="20"/>
    <n v="2008"/>
    <x v="61"/>
    <n v="104230196"/>
    <s v="0315909102"/>
  </r>
  <r>
    <d v="2023-09-05T00:00:00"/>
    <x v="65"/>
    <n v="21069099"/>
    <s v="Pumpkin Seed  USE ONLY FOR EAT"/>
    <x v="37"/>
    <x v="38"/>
    <n v="225"/>
    <s v="KGS"/>
    <n v="7.2307111111111118"/>
    <n v="1626.91"/>
    <n v="7.23"/>
    <x v="8"/>
    <x v="7"/>
    <s v="Mundra"/>
    <s v="Sea"/>
    <n v="225"/>
    <s v="KGS"/>
    <n v="1626.75"/>
    <n v="7.23"/>
    <s v="USD"/>
    <s v="Food preparations, not elsewhere specified or included"/>
    <n v="21"/>
    <n v="2106"/>
    <x v="62"/>
    <n v="103559717"/>
    <s v="AAICD8583A"/>
  </r>
  <r>
    <d v="2023-09-06T00:00:00"/>
    <x v="66"/>
    <n v="7099310"/>
    <s v="PUMPKIN SEEDS"/>
    <x v="25"/>
    <x v="39"/>
    <n v="20"/>
    <s v="KGS"/>
    <n v="5.3650000000000002"/>
    <n v="107.3"/>
    <n v="5.37"/>
    <x v="14"/>
    <x v="12"/>
    <s v="Tuticorin Sea"/>
    <s v="Sea"/>
    <n v="20"/>
    <s v="KGS"/>
    <n v="114"/>
    <n v="5.7"/>
    <s v="USD"/>
    <s v="Other vegetables, fresh or chilled"/>
    <n v="7"/>
    <n v="709"/>
    <x v="63"/>
    <n v="103935742"/>
    <s v="AAYFK7729A"/>
  </r>
  <r>
    <d v="2023-09-13T00:00:00"/>
    <x v="67"/>
    <n v="20089300"/>
    <s v="PUMPKIN SEEDS"/>
    <x v="38"/>
    <x v="40"/>
    <n v="25"/>
    <s v="KGS"/>
    <n v="1.9076"/>
    <n v="47.69"/>
    <n v="1.91"/>
    <x v="12"/>
    <x v="11"/>
    <s v="Chamurchi"/>
    <s v="Road"/>
    <n v="25"/>
    <s v="KGS"/>
    <n v="3750"/>
    <n v="150"/>
    <s v="INR"/>
    <s v="Fruit, nuts and other edible parts of plants, otherwise prepared or preserved, whether or not containing added sugar or other sweetening matter or spirit, not elsewhere specified or included"/>
    <n v="20"/>
    <n v="2008"/>
    <x v="64"/>
    <n v="111543800"/>
    <s v="AJIPP7541A"/>
  </r>
  <r>
    <d v="2023-09-17T00:00:00"/>
    <x v="68"/>
    <n v="20081920"/>
    <s v="PUMPKIN SEED"/>
    <x v="39"/>
    <x v="41"/>
    <n v="1000"/>
    <s v="KGS"/>
    <n v="6.0705600000000004"/>
    <n v="6070.56"/>
    <n v="6.07"/>
    <x v="29"/>
    <x v="22"/>
    <s v="Raxaul"/>
    <s v="Road"/>
    <n v="1000"/>
    <s v="KGS"/>
    <n v="500000"/>
    <n v="500"/>
    <s v="INR"/>
    <s v="Fruit, nuts and other edible parts of plants, otherwise prepared or preserved, whether or not containing added sugar or other sweetening matter or spirit, not elsewhere specified or included"/>
    <n v="20"/>
    <n v="2008"/>
    <x v="65"/>
    <n v="105353220"/>
    <s v="AHJPG9087D"/>
  </r>
  <r>
    <d v="2023-09-21T00:00:00"/>
    <x v="69"/>
    <n v="20081920"/>
    <s v="PUMPKIN SEED ASRT. FOOD STUFFS"/>
    <x v="30"/>
    <x v="42"/>
    <n v="50"/>
    <s v="KGS"/>
    <n v="5.4842000000000004"/>
    <n v="274.20999999999998"/>
    <n v="5.48"/>
    <x v="17"/>
    <x v="15"/>
    <s v="JNPT"/>
    <s v="Sea"/>
    <n v="50"/>
    <s v="KGS"/>
    <n v="281"/>
    <n v="5.62"/>
    <s v="USD"/>
    <s v="Fruit, nuts and other edible parts of plants, otherwise prepared or preserved, whether or not containing added sugar or other sweetening matter or spirit, not elsewhere specified or included"/>
    <n v="20"/>
    <n v="2008"/>
    <x v="66"/>
    <n v="106668904"/>
    <s v="ABVFA9948B"/>
  </r>
  <r>
    <d v="2023-09-30T00:00:00"/>
    <x v="70"/>
    <n v="20081920"/>
    <s v="PUMPKIN SEED"/>
    <x v="39"/>
    <x v="43"/>
    <n v="1000"/>
    <s v="KGS"/>
    <n v="6.06318"/>
    <n v="6063.18"/>
    <n v="6.06"/>
    <x v="30"/>
    <x v="22"/>
    <s v="Berhni"/>
    <s v="Road"/>
    <n v="1000"/>
    <s v="KGS"/>
    <n v="500000"/>
    <n v="500"/>
    <s v="INR"/>
    <s v="Fruit, nuts and other edible parts of plants, otherwise prepared or preserved, whether or not containing added sugar or other sweetening matter or spirit, not elsewhere specified or included"/>
    <n v="20"/>
    <n v="2008"/>
    <x v="67"/>
    <n v="111465557"/>
    <s v="AHJPG9087D"/>
  </r>
  <r>
    <d v="2023-10-04T00:00:00"/>
    <x v="71"/>
    <n v="20081930"/>
    <s v="HP PUMPKIN SEED SALTED 200G 275 01 PCS"/>
    <x v="40"/>
    <x v="44"/>
    <n v="0.2"/>
    <s v="KGS"/>
    <n v="0"/>
    <n v="0"/>
    <n v="0"/>
    <x v="6"/>
    <x v="5"/>
    <s v="JNPT"/>
    <s v="Sea"/>
    <n v="0.2"/>
    <s v="KGS"/>
    <n v="0.1"/>
    <n v="0.5"/>
    <s v="USD"/>
    <s v="Fruit, nuts and other edible parts of plants, otherwise prepared or preserved, whether or not containing added sugar or other sweetening matter or spirit, not elsewhere specified or included"/>
    <n v="20"/>
    <n v="2008"/>
    <x v="68"/>
    <n v="113205020"/>
    <s v="0308081561"/>
  </r>
  <r>
    <d v="2023-10-07T00:00:00"/>
    <x v="72"/>
    <n v="12129990"/>
    <s v="JOSH PUMPKIN SEEDS"/>
    <x v="2"/>
    <x v="5"/>
    <n v="240"/>
    <s v="KGS"/>
    <n v="5.9044166666666662"/>
    <n v="1417.06"/>
    <n v="5.9"/>
    <x v="5"/>
    <x v="2"/>
    <s v="JNPT"/>
    <s v="Sea"/>
    <n v="240"/>
    <s v="KGS"/>
    <n v="1200"/>
    <n v="5"/>
    <s v="GBP"/>
    <s v="Locust beans, seaweeds and other algae, sugar beet and sugarcane, fresh, chilled, frozen or dried, whether or not ground; fruit stones and kernels and other vegetable products (including unroasted chicory roots of the variety Cichorium intybus sativum) of"/>
    <n v="12"/>
    <n v="1212"/>
    <x v="69"/>
    <n v="112513283"/>
    <s v="0302048987"/>
  </r>
  <r>
    <d v="2023-10-11T00:00:00"/>
    <x v="73"/>
    <n v="20081920"/>
    <s v="PUMPKIN SEED"/>
    <x v="39"/>
    <x v="45"/>
    <n v="500"/>
    <s v="KGS"/>
    <n v="6.0558199999999998"/>
    <n v="3027.91"/>
    <n v="6.06"/>
    <x v="29"/>
    <x v="22"/>
    <s v="Raxaul"/>
    <s v="Road"/>
    <n v="500"/>
    <s v="KGS"/>
    <n v="250000"/>
    <n v="500"/>
    <s v="INR"/>
    <s v="Fruit, nuts and other edible parts of plants, otherwise prepared or preserved, whether or not containing added sugar or other sweetening matter or spirit, not elsewhere specified or included"/>
    <n v="20"/>
    <n v="2008"/>
    <x v="70"/>
    <n v="114776643"/>
    <s v="AHJPG9087D"/>
  </r>
  <r>
    <d v="2023-10-12T00:00:00"/>
    <x v="74"/>
    <n v="20081990"/>
    <s v="ROASTED PUMPKIN SEEDS 600 PCS IN 30 BOX"/>
    <x v="41"/>
    <x v="44"/>
    <n v="120"/>
    <s v="KGS"/>
    <n v="8.8818333333333328"/>
    <n v="1065.82"/>
    <n v="8.8800000000000008"/>
    <x v="6"/>
    <x v="5"/>
    <s v="JNPT"/>
    <s v="Sea"/>
    <n v="120"/>
    <s v="KGS"/>
    <n v="1065.5999999999999"/>
    <n v="8.8800000000000008"/>
    <s v="USD"/>
    <s v="Fruit, nuts and other edible parts of plants, otherwise prepared or preserved, whether or not containing added sugar or other sweetening matter or spirit, not elsewhere specified or included"/>
    <n v="20"/>
    <n v="2008"/>
    <x v="71"/>
    <n v="113366412"/>
    <s v="0588031330"/>
  </r>
  <r>
    <d v="2023-10-17T00:00:00"/>
    <x v="75"/>
    <n v="20081920"/>
    <s v="PUMPKIN SEED"/>
    <x v="39"/>
    <x v="41"/>
    <n v="1000"/>
    <s v="KGS"/>
    <n v="6.0558199999999998"/>
    <n v="6055.82"/>
    <n v="6.06"/>
    <x v="29"/>
    <x v="22"/>
    <s v="Raxaul"/>
    <s v="Road"/>
    <n v="1000"/>
    <s v="KGS"/>
    <n v="500000"/>
    <n v="500"/>
    <s v="INR"/>
    <s v="Fruit, nuts and other edible parts of plants, otherwise prepared or preserved, whether or not containing added sugar or other sweetening matter or spirit, not elsewhere specified or included"/>
    <n v="20"/>
    <n v="2008"/>
    <x v="72"/>
    <n v="113405415"/>
    <s v="AHJPG9087D"/>
  </r>
  <r>
    <d v="2023-10-18T00:00:00"/>
    <x v="76"/>
    <n v="20081990"/>
    <s v="PUMPKIN SEEDS ORIGIN INDIA, CROP 2023PACKING 12.5 KG VACUUM X 2 IN 50 MASTER BOX"/>
    <x v="31"/>
    <x v="6"/>
    <n v="1250"/>
    <s v="KGS"/>
    <n v="5.4841519999999999"/>
    <n v="6855.19"/>
    <n v="5484.15"/>
    <x v="31"/>
    <x v="23"/>
    <s v="Mundra"/>
    <s v="Sea"/>
    <n v="1.25"/>
    <s v="MTS"/>
    <n v="7050"/>
    <n v="5640"/>
    <s v="USD"/>
    <s v="Fruit, nuts and other edible parts of plants, otherwise prepared or preserved, whether or not containing added sugar or other sweetening matter or spirit, not elsewhere specified or included"/>
    <n v="20"/>
    <n v="2008"/>
    <x v="73"/>
    <n v="114490323"/>
    <s v="2411000944"/>
  </r>
  <r>
    <d v="2023-10-30T00:00:00"/>
    <x v="77"/>
    <n v="20081920"/>
    <s v="PUMPKIN SEED"/>
    <x v="42"/>
    <x v="46"/>
    <n v="101.75"/>
    <s v="KGS"/>
    <n v="3.8549385749385752"/>
    <n v="392.24"/>
    <n v="3.85"/>
    <x v="25"/>
    <x v="4"/>
    <s v="Madras Sea"/>
    <s v="Sea"/>
    <n v="101.75"/>
    <s v="KGS"/>
    <n v="33432"/>
    <n v="328.57"/>
    <s v="INR"/>
    <s v="Fruit, nuts and other edible parts of plants, otherwise prepared or preserved, whether or not containing added sugar or other sweetening matter or spirit, not elsewhere specified or included"/>
    <n v="20"/>
    <n v="2008"/>
    <x v="74"/>
    <n v="115859393"/>
    <s v="3217507541"/>
  </r>
  <r>
    <d v="2023-11-03T00:00:00"/>
    <x v="78"/>
    <n v="20081990"/>
    <s v="PUMPKIN SEED - 100G"/>
    <x v="43"/>
    <x v="47"/>
    <n v="50"/>
    <s v="KGS"/>
    <n v="7.3738000000000001"/>
    <n v="368.69"/>
    <n v="7.37"/>
    <x v="32"/>
    <x v="24"/>
    <s v="Madras Sea"/>
    <s v="Sea"/>
    <n v="50"/>
    <s v="KGS"/>
    <n v="408"/>
    <n v="8.16"/>
    <s v="USD"/>
    <s v="Fruit, nuts and other edible parts of plants, otherwise prepared or preserved, whether or not containing added sugar or other sweetening matter or spirit, not elsewhere specified or included"/>
    <n v="20"/>
    <n v="2008"/>
    <x v="75"/>
    <n v="120846922"/>
    <s v="0414038959"/>
  </r>
  <r>
    <d v="2023-11-06T00:00:00"/>
    <x v="79"/>
    <n v="12129990"/>
    <s v="JOSH PUMPKIN SEEDS KERNEL"/>
    <x v="2"/>
    <x v="2"/>
    <n v="250"/>
    <s v="KGS"/>
    <n v="6.0073599999999994"/>
    <n v="1501.84"/>
    <n v="6.01"/>
    <x v="5"/>
    <x v="2"/>
    <s v="JNPT"/>
    <s v="Sea"/>
    <n v="250"/>
    <s v="KGS"/>
    <n v="1250"/>
    <n v="5"/>
    <s v="GBP"/>
    <s v="Locust beans, seaweeds and other algae, sugar beet and sugarcane, fresh, chilled, frozen or dried, whether or not ground; fruit stones and kernels and other vegetable products (including unroasted chicory roots of the variety Cichorium intybus sativum) of"/>
    <n v="12"/>
    <n v="1212"/>
    <x v="76"/>
    <n v="121497471"/>
    <s v="0302048987"/>
  </r>
  <r>
    <d v="2023-11-08T00:00:00"/>
    <x v="80"/>
    <n v="13021919"/>
    <s v="Pumpkin Seed Extact 95%"/>
    <x v="44"/>
    <x v="48"/>
    <n v="10"/>
    <s v="KGS"/>
    <n v="13.083"/>
    <n v="130.83000000000001"/>
    <n v="13.08"/>
    <x v="33"/>
    <x v="20"/>
    <s v="Bombay Air"/>
    <s v="Air"/>
    <n v="10"/>
    <s v="KGS"/>
    <n v="155"/>
    <n v="15.5"/>
    <s v="USD"/>
    <s v="Vegetable saps and extracts; pectic substances, pectinates and pectates; agar-agar and other mucilages and thickeners, whether or not modified, derived from vegetable products"/>
    <n v="13"/>
    <n v="1302"/>
    <x v="77"/>
    <n v="121756104"/>
    <s v="AAGFF0768A"/>
  </r>
  <r>
    <d v="2023-11-10T00:00:00"/>
    <x v="81"/>
    <n v="20081920"/>
    <s v="Pumpkin Seed Supplier : Avishkar Agro Technology LLP GST no.27ABIFA9440K1Z3 Invno.ASIN-23-24-0623 dt.25.10.2023"/>
    <x v="23"/>
    <x v="49"/>
    <n v="160"/>
    <s v="KGS"/>
    <n v="6.8885000000000014"/>
    <n v="1102.1600000000001"/>
    <n v="6.89"/>
    <x v="1"/>
    <x v="1"/>
    <s v="JNPT"/>
    <s v="Sea"/>
    <n v="160"/>
    <s v="KGS"/>
    <n v="1115.2"/>
    <n v="6.97"/>
    <s v="USD"/>
    <s v="Fruit, nuts and other edible parts of plants, otherwise prepared or preserved, whether or not containing added sugar or other sweetening matter or spirit, not elsewhere specified or included"/>
    <n v="20"/>
    <n v="2008"/>
    <x v="78"/>
    <n v="121364441"/>
    <s v="0315909102"/>
  </r>
  <r>
    <d v="2023-11-18T00:00:00"/>
    <x v="82"/>
    <n v="10051000"/>
    <s v="PUMPKIN SEED API"/>
    <x v="45"/>
    <x v="50"/>
    <n v="50"/>
    <s v="KGS"/>
    <n v="7.1402000000000001"/>
    <n v="357.01"/>
    <n v="7.14"/>
    <x v="34"/>
    <x v="3"/>
    <s v="Petrapole Road"/>
    <s v="Road"/>
    <n v="50"/>
    <s v="KGS"/>
    <n v="365"/>
    <n v="7.3"/>
    <s v="USD"/>
    <s v="Maize (corn)"/>
    <n v="10"/>
    <n v="1005"/>
    <x v="79"/>
    <n v="122825435"/>
    <s v="CUQPS9067K"/>
  </r>
  <r>
    <d v="2023-11-24T00:00:00"/>
    <x v="83"/>
    <n v="20081920"/>
    <s v="PUMPKIN SEED 25KG 10CTNS &amp;12.5KG 4CTNS"/>
    <x v="46"/>
    <x v="51"/>
    <n v="300"/>
    <s v="KGS"/>
    <n v="5.4131666666666671"/>
    <n v="1623.95"/>
    <n v="5.41"/>
    <x v="0"/>
    <x v="0"/>
    <s v="JNPT"/>
    <s v="Sea"/>
    <n v="300"/>
    <s v="KGS"/>
    <n v="1701"/>
    <n v="5.67"/>
    <s v="USD"/>
    <s v="Fruit, nuts and other edible parts of plants, otherwise prepared or preserved, whether or not containing added sugar or other sweetening matter or spirit, not elsewhere specified or included"/>
    <n v="20"/>
    <n v="2008"/>
    <x v="80"/>
    <n v="123338604"/>
    <s v="0506068501"/>
  </r>
  <r>
    <d v="2023-12-01T00:00:00"/>
    <x v="84"/>
    <n v="20089999"/>
    <s v="PUMPKIN SEED 1- 48 BAGS PKD IN 25.000 KGS NT WT."/>
    <x v="47"/>
    <x v="52"/>
    <n v="1200"/>
    <s v="KGS"/>
    <n v="1.3936833333333329"/>
    <n v="1672.42"/>
    <n v="1.39"/>
    <x v="35"/>
    <x v="25"/>
    <s v="JNPT"/>
    <s v="Sea"/>
    <n v="1200"/>
    <s v="KGS"/>
    <n v="1716"/>
    <n v="1.43"/>
    <s v="USD"/>
    <s v="Fruit, nuts and other edible parts of plants, otherwise prepared or preserved, whether or not containing added sugar or other sweetening matter or spirit, not elsewhere specified or included"/>
    <n v="20"/>
    <n v="2008"/>
    <x v="81"/>
    <n v="129793831"/>
    <s v="2414016116"/>
  </r>
  <r>
    <d v="2023-12-04T00:00:00"/>
    <x v="85"/>
    <n v="12129990"/>
    <s v="JOSH PUMPKIN SEEDS KERNEL"/>
    <x v="2"/>
    <x v="5"/>
    <n v="225"/>
    <s v="KGS"/>
    <n v="6.086444444444445"/>
    <n v="1369.45"/>
    <n v="6.09"/>
    <x v="5"/>
    <x v="2"/>
    <s v="JNPT"/>
    <s v="Sea"/>
    <n v="225"/>
    <s v="KGS"/>
    <n v="1125"/>
    <n v="5"/>
    <s v="GBP"/>
    <s v="Locust beans, seaweeds and other algae, sugar beet and sugarcane, fresh, chilled, frozen or dried, whether or not ground; fruit stones and kernels and other vegetable products (including unroasted chicory roots of the variety Cichorium intybus sativum) of"/>
    <n v="12"/>
    <n v="1212"/>
    <x v="82"/>
    <n v="129281895"/>
    <s v="0302048987"/>
  </r>
  <r>
    <d v="2023-12-18T00:00:00"/>
    <x v="86"/>
    <n v="20081920"/>
    <s v="PUMPKIN SEEDS"/>
    <x v="39"/>
    <x v="43"/>
    <n v="1500"/>
    <s v="KGS"/>
    <n v="6.0448199999999996"/>
    <n v="9067.23"/>
    <n v="6.04"/>
    <x v="30"/>
    <x v="22"/>
    <s v="Berhni"/>
    <s v="Road"/>
    <n v="1500"/>
    <s v="KGS"/>
    <n v="750000"/>
    <n v="500"/>
    <s v="INR"/>
    <s v="Fruit, nuts and other edible parts of plants, otherwise prepared or preserved, whether or not containing added sugar or other sweetening matter or spirit, not elsewhere specified or included"/>
    <n v="20"/>
    <n v="2008"/>
    <x v="83"/>
    <n v="133548133"/>
    <s v="AHJPG9087D"/>
  </r>
  <r>
    <d v="2023-12-18T00:00:00"/>
    <x v="86"/>
    <n v="30049011"/>
    <s v="PUMPKIN SEEDS-PACKED IN BOXES"/>
    <x v="48"/>
    <x v="6"/>
    <n v="250"/>
    <s v="KGS"/>
    <n v="2.61172"/>
    <n v="652.92999999999995"/>
    <n v="2.61"/>
    <x v="36"/>
    <x v="6"/>
    <s v="Mundra"/>
    <s v="Sea"/>
    <n v="250"/>
    <s v="KGS"/>
    <n v="687.5"/>
    <n v="2.75"/>
    <s v="USD"/>
    <s v="Medicaments(excluding goods of heading 3002,3005 or 3006) consisting of mixed or unmixed products for therapeutic or prophylactic uses, put up in measured doses(including those in the form of transdermal administration systems) or in forms or packings for"/>
    <n v="30"/>
    <n v="3004"/>
    <x v="84"/>
    <n v="130465190"/>
    <s v="0300039182"/>
  </r>
  <r>
    <d v="2023-12-23T00:00:00"/>
    <x v="87"/>
    <n v="20081920"/>
    <s v="PUMPKIN SEED"/>
    <x v="39"/>
    <x v="41"/>
    <n v="1000"/>
    <s v="KGS"/>
    <n v="6.0338599999999998"/>
    <n v="6033.86"/>
    <n v="6.03"/>
    <x v="29"/>
    <x v="22"/>
    <s v="Raxaul"/>
    <s v="Road"/>
    <n v="1000"/>
    <s v="KGS"/>
    <n v="500000"/>
    <n v="500"/>
    <s v="INR"/>
    <s v="Fruit, nuts and other edible parts of plants, otherwise prepared or preserved, whether or not containing added sugar or other sweetening matter or spirit, not elsewhere specified or included"/>
    <n v="20"/>
    <n v="2008"/>
    <x v="85"/>
    <n v="131953239"/>
    <s v="AHJPG9087D"/>
  </r>
  <r>
    <d v="2023-12-26T00:00:00"/>
    <x v="88"/>
    <n v="12129990"/>
    <s v="JOSH PUMPKIN SEEDS KERNEL"/>
    <x v="2"/>
    <x v="5"/>
    <n v="200"/>
    <s v="KGS"/>
    <n v="5.6718499999999992"/>
    <n v="1134.3699999999999"/>
    <n v="5.67"/>
    <x v="5"/>
    <x v="2"/>
    <s v="JNPT"/>
    <s v="Sea"/>
    <n v="200"/>
    <s v="KGS"/>
    <n v="962"/>
    <n v="4.8099999999999996"/>
    <s v="GBP"/>
    <s v="Locust beans, seaweeds and other algae, sugar beet and sugarcane, fresh, chilled, frozen or dried, whether or not ground; fruit stones and kernels and other vegetable products (including unroasted chicory roots of the variety Cichorium intybus sativum) of"/>
    <n v="12"/>
    <n v="1212"/>
    <x v="86"/>
    <n v="132002159"/>
    <s v="0302048987"/>
  </r>
  <r>
    <d v="2023-12-29T00:00:00"/>
    <x v="89"/>
    <n v="20081920"/>
    <s v="PUMPKIN SEED"/>
    <x v="39"/>
    <x v="53"/>
    <n v="1000"/>
    <s v="KGS"/>
    <n v="6.0338599999999998"/>
    <n v="6033.86"/>
    <n v="6.03"/>
    <x v="37"/>
    <x v="22"/>
    <s v="Raxaul"/>
    <s v="Road"/>
    <n v="1000"/>
    <s v="KGS"/>
    <n v="500000"/>
    <n v="500"/>
    <s v="INR"/>
    <s v="Fruit, nuts and other edible parts of plants, otherwise prepared or preserved, whether or not containing added sugar or other sweetening matter or spirit, not elsewhere specified or included"/>
    <n v="20"/>
    <n v="2008"/>
    <x v="87"/>
    <n v="132153949"/>
    <s v="AHJPG9087D"/>
  </r>
  <r>
    <d v="2024-01-02T00:00:00"/>
    <x v="90"/>
    <n v="12079990"/>
    <s v="PUMPKIN SEEDS"/>
    <x v="16"/>
    <x v="54"/>
    <n v="9.6"/>
    <s v="KGS"/>
    <n v="7.6083333333333343"/>
    <n v="73.040000000000006"/>
    <n v="7.61"/>
    <x v="15"/>
    <x v="13"/>
    <s v="JNPT"/>
    <s v="Sea"/>
    <n v="9.6"/>
    <s v="KGS"/>
    <n v="76.22"/>
    <n v="7.94"/>
    <s v="USD"/>
    <s v="Other oil seeds and oleaginous fruits, whether or not broken"/>
    <n v="12"/>
    <n v="1207"/>
    <x v="88"/>
    <n v="948234"/>
    <s v="0508085586"/>
  </r>
  <r>
    <d v="2024-01-03T00:00:00"/>
    <x v="91"/>
    <n v="20081920"/>
    <s v="PUMPKIN SEEDS"/>
    <x v="49"/>
    <x v="55"/>
    <n v="100"/>
    <s v="KGS"/>
    <n v="0.95599999999999996"/>
    <n v="95.6"/>
    <n v="0.96"/>
    <x v="38"/>
    <x v="20"/>
    <s v="JNPT"/>
    <s v="Sea"/>
    <n v="100"/>
    <s v="KGS"/>
    <n v="101"/>
    <n v="1.01"/>
    <s v="USD"/>
    <s v="Fruit, nuts and other edible parts of plants, otherwise prepared or preserved, whether or not containing added sugar or other sweetening matter or spirit, not elsewhere specified or included"/>
    <n v="20"/>
    <n v="2008"/>
    <x v="89"/>
    <n v="33982"/>
    <s v="EKYPM4753E"/>
  </r>
  <r>
    <d v="2024-01-09T00:00:00"/>
    <x v="92"/>
    <n v="20081990"/>
    <s v="ROASTED GREEN PUMPKIN SEEDS"/>
    <x v="50"/>
    <x v="56"/>
    <n v="3"/>
    <s v="KGS"/>
    <n v="9.0766666666666662"/>
    <n v="27.23"/>
    <n v="9.08"/>
    <x v="1"/>
    <x v="1"/>
    <s v="Bangalore Air"/>
    <s v="Air"/>
    <n v="3"/>
    <s v="KGS"/>
    <n v="15.51"/>
    <n v="5.17"/>
    <s v="USD"/>
    <s v="Fruit, nuts and other edible parts of plants, otherwise prepared or preserved, whether or not containing added sugar or other sweetening matter or spirit, not elsewhere specified or included"/>
    <n v="20"/>
    <n v="2008"/>
    <x v="90"/>
    <n v="451146"/>
    <s v="0708013589"/>
  </r>
  <r>
    <d v="2024-01-16T00:00:00"/>
    <x v="93"/>
    <n v="20081920"/>
    <s v="DRIED PUMPKIN SEED"/>
    <x v="42"/>
    <x v="46"/>
    <n v="47.75"/>
    <s v="KGS"/>
    <n v="6.2245026178010479"/>
    <n v="297.22000000000003"/>
    <n v="6.22"/>
    <x v="25"/>
    <x v="4"/>
    <s v="Madras Sea"/>
    <s v="Sea"/>
    <n v="47.75"/>
    <s v="KGS"/>
    <n v="25021"/>
    <n v="524"/>
    <s v="INR"/>
    <s v="Fruit, nuts and other edible parts of plants, otherwise prepared or preserved, whether or not containing added sugar or other sweetening matter or spirit, not elsewhere specified or included"/>
    <n v="20"/>
    <n v="2008"/>
    <x v="91"/>
    <n v="47874718"/>
    <s v="3217507541"/>
  </r>
  <r>
    <d v="2024-01-17T00:00:00"/>
    <x v="94"/>
    <n v="20081920"/>
    <s v="ORGANIC PUMPKIN SEEDGENERAL NAMEPUMPKIN SEED"/>
    <x v="4"/>
    <x v="57"/>
    <n v="96"/>
    <s v="KGS"/>
    <n v="8.2126041666666669"/>
    <n v="788.41"/>
    <n v="8.2100000000000009"/>
    <x v="0"/>
    <x v="0"/>
    <s v="Talegaon Icd"/>
    <s v="Sea"/>
    <n v="96"/>
    <s v="KGS"/>
    <n v="814.08"/>
    <n v="8.48"/>
    <s v="USD"/>
    <s v="Fruit, nuts and other edible parts of plants, otherwise prepared or preserved, whether or not containing added sugar or other sweetening matter or spirit, not elsewhere specified or included"/>
    <n v="20"/>
    <n v="2008"/>
    <x v="92"/>
    <n v="54346231"/>
    <s v="3114029868"/>
  </r>
  <r>
    <d v="2024-01-24T00:00:00"/>
    <x v="95"/>
    <n v="20081920"/>
    <s v="Pumpkin Seed Supplier: Avishkar Agro Technology LLP GST:27ABIFA9440K1Z3 Supp Invoive No.ASIN-2324-0991 AND 12.01.2024 "/>
    <x v="23"/>
    <x v="23"/>
    <n v="200"/>
    <s v="KGS"/>
    <n v="6.8268499999999994"/>
    <n v="1365.37"/>
    <n v="6.83"/>
    <x v="1"/>
    <x v="1"/>
    <s v="JNPT"/>
    <s v="Sea"/>
    <n v="200"/>
    <s v="KGS"/>
    <n v="1380"/>
    <n v="6.9"/>
    <s v="USD"/>
    <s v="Fruit, nuts and other edible parts of plants, otherwise prepared or preserved, whether or not containing added sugar or other sweetening matter or spirit, not elsewhere specified or included"/>
    <n v="20"/>
    <n v="2008"/>
    <x v="93"/>
    <n v="3579909"/>
    <s v="0315909102"/>
  </r>
  <r>
    <d v="2024-01-25T00:00:00"/>
    <x v="96"/>
    <n v="20081990"/>
    <s v="PUMPKIN SEEDS"/>
    <x v="51"/>
    <x v="6"/>
    <n v="200"/>
    <s v="KGS"/>
    <n v="3.8521999999999998"/>
    <n v="770.44"/>
    <n v="3.85"/>
    <x v="5"/>
    <x v="2"/>
    <s v="Mundra"/>
    <s v="Sea"/>
    <n v="200"/>
    <s v="KGS"/>
    <n v="624"/>
    <n v="3.12"/>
    <s v="GBP"/>
    <s v="Fruit, nuts and other edible parts of plants, otherwise prepared or preserved, whether or not containing added sugar or other sweetening matter or spirit, not elsewhere specified or included"/>
    <n v="20"/>
    <n v="2008"/>
    <x v="94"/>
    <n v="3847092"/>
    <s v="ANMPA2622F"/>
  </r>
  <r>
    <d v="2024-01-30T00:00:00"/>
    <x v="97"/>
    <n v="20081990"/>
    <s v="PUMPKIN SEEDS"/>
    <x v="52"/>
    <x v="58"/>
    <n v="50"/>
    <s v="KGS"/>
    <n v="5.9777999999999993"/>
    <n v="298.89"/>
    <n v="5.98"/>
    <x v="39"/>
    <x v="26"/>
    <s v="Hyderabad Icd"/>
    <s v="Sea"/>
    <n v="50"/>
    <s v="KGS"/>
    <n v="407"/>
    <n v="8.14"/>
    <s v="USD"/>
    <s v="Fruit, nuts and other edible parts of plants, otherwise prepared or preserved, whether or not containing added sugar or other sweetening matter or spirit, not elsewhere specified or included"/>
    <n v="20"/>
    <n v="2008"/>
    <x v="95"/>
    <n v="21636676"/>
    <s v="0913007374"/>
  </r>
  <r>
    <d v="2024-01-31T00:00:00"/>
    <x v="98"/>
    <n v="20081920"/>
    <s v="PUMPKIN SEEDS"/>
    <x v="53"/>
    <x v="59"/>
    <n v="500"/>
    <s v="KGS"/>
    <n v="1.8445800000000001"/>
    <n v="922.29"/>
    <n v="1.84"/>
    <x v="29"/>
    <x v="22"/>
    <s v="Raxaul"/>
    <s v="Road"/>
    <n v="500"/>
    <s v="KGS"/>
    <n v="77500"/>
    <n v="155"/>
    <s v="INR"/>
    <s v="Fruit, nuts and other edible parts of plants, otherwise prepared or preserved, whether or not containing added sugar or other sweetening matter or spirit, not elsewhere specified or included"/>
    <n v="20"/>
    <n v="2008"/>
    <x v="96"/>
    <n v="3188044"/>
    <s v="ACOPJ7414P"/>
  </r>
  <r>
    <d v="2024-02-06T00:00:00"/>
    <x v="99"/>
    <n v="12129990"/>
    <s v="JOSH PUMPKIN SEEDS KERNEL"/>
    <x v="2"/>
    <x v="5"/>
    <n v="315"/>
    <s v="KGS"/>
    <n v="5.7639682539682546"/>
    <n v="1815.65"/>
    <n v="5.76"/>
    <x v="2"/>
    <x v="2"/>
    <s v="JNPT"/>
    <s v="Sea"/>
    <n v="315"/>
    <s v="KGS"/>
    <n v="1512"/>
    <n v="4.8"/>
    <s v="GBP"/>
    <s v="Locust beans, seaweeds and other algae, sugar beet and sugarcane, fresh, chilled, frozen or dried, whether or not ground; fruit stones and kernels and other vegetable products (including unroasted chicory roots of the variety Cichorium intybus sativum) of"/>
    <n v="12"/>
    <n v="1212"/>
    <x v="97"/>
    <n v="76641698"/>
    <s v="0302048987"/>
  </r>
  <r>
    <d v="2024-03-01T00:00:00"/>
    <x v="100"/>
    <n v="12099990"/>
    <s v="PUMPKIN SEED ASRT. FOOD STUFFS"/>
    <x v="30"/>
    <x v="31"/>
    <n v="25"/>
    <s v="KGS"/>
    <n v="5.5820000000000007"/>
    <n v="139.55000000000001"/>
    <n v="5.58"/>
    <x v="17"/>
    <x v="15"/>
    <s v="JNPT"/>
    <s v="Sea"/>
    <n v="25"/>
    <s v="KGS"/>
    <n v="143"/>
    <n v="5.72"/>
    <s v="USD"/>
    <s v="Seeds, fruit and spores, of a kind used for sowing"/>
    <n v="12"/>
    <n v="1209"/>
    <x v="98"/>
    <n v="103093025"/>
    <s v="ABVFA9948B"/>
  </r>
  <r>
    <d v="2024-03-06T00:00:00"/>
    <x v="101"/>
    <n v="12040090"/>
    <s v="EAT ANYTIME Premium Raw Pumpkin Seeds 250g"/>
    <x v="54"/>
    <x v="60"/>
    <n v="6.25"/>
    <s v="KGS"/>
    <n v="8.9472000000000005"/>
    <n v="55.92"/>
    <n v="8.9499999999999993"/>
    <x v="0"/>
    <x v="0"/>
    <s v="JNPT"/>
    <s v="Sea"/>
    <n v="6.25"/>
    <s v="KGS"/>
    <n v="57.06"/>
    <n v="9.1300000000000008"/>
    <s v="USD"/>
    <s v="Linseed, whether or not broken"/>
    <n v="12"/>
    <n v="1204"/>
    <x v="99"/>
    <n v="103960097"/>
    <s v="AABCW7811R"/>
  </r>
  <r>
    <d v="2024-03-07T00:00:00"/>
    <x v="102"/>
    <n v="20089700"/>
    <s v="EAT ANYTIME Premium  Pumpkin Seeds 250g"/>
    <x v="54"/>
    <x v="60"/>
    <n v="6.25"/>
    <s v="KGS"/>
    <n v="8.8927999999999994"/>
    <n v="55.58"/>
    <n v="8.89"/>
    <x v="0"/>
    <x v="0"/>
    <s v="JNPT"/>
    <s v="Sea"/>
    <n v="6.25"/>
    <s v="KGS"/>
    <n v="57.13"/>
    <n v="9.14"/>
    <s v="USD"/>
    <s v="Fruit, nuts and other edible parts of plants, otherwise prepared or preserved, whether or not containing added sugar or other sweetening matter or spirit, not elsewhere specified or included"/>
    <n v="20"/>
    <n v="2008"/>
    <x v="100"/>
    <n v="103960071"/>
    <s v="AABCW7811R"/>
  </r>
  <r>
    <d v="2024-03-07T00:00:00"/>
    <x v="102"/>
    <n v="20081920"/>
    <s v="PUMPKIN SEED"/>
    <x v="39"/>
    <x v="61"/>
    <n v="500"/>
    <s v="KGS"/>
    <n v="6.0705600000000004"/>
    <n v="3035.28"/>
    <n v="6.07"/>
    <x v="29"/>
    <x v="22"/>
    <s v="Raxaul"/>
    <s v="Road"/>
    <n v="500"/>
    <s v="KGS"/>
    <n v="250000"/>
    <n v="500"/>
    <s v="INR"/>
    <s v="Fruit, nuts and other edible parts of plants, otherwise prepared or preserved, whether or not containing added sugar or other sweetening matter or spirit, not elsewhere specified or included"/>
    <n v="20"/>
    <n v="2008"/>
    <x v="101"/>
    <n v="103186893"/>
    <s v="AHJPG9087D"/>
  </r>
  <r>
    <d v="2024-03-07T00:00:00"/>
    <x v="102"/>
    <n v="20081920"/>
    <s v="PUMPKIN SEEDS - 100G."/>
    <x v="43"/>
    <x v="47"/>
    <n v="50"/>
    <s v="KGS"/>
    <n v="7.6459999999999999"/>
    <n v="382.3"/>
    <n v="7.65"/>
    <x v="32"/>
    <x v="24"/>
    <s v="Madras Sea"/>
    <s v="Sea"/>
    <n v="50"/>
    <s v="KGS"/>
    <n v="408"/>
    <n v="8.16"/>
    <s v="USD"/>
    <s v="Fruit, nuts and other edible parts of plants, otherwise prepared or preserved, whether or not containing added sugar or other sweetening matter or spirit, not elsewhere specified or included"/>
    <n v="20"/>
    <n v="2008"/>
    <x v="102"/>
    <n v="103735614"/>
    <s v="0414038959"/>
  </r>
  <r>
    <d v="2024-03-08T00:00:00"/>
    <x v="103"/>
    <n v="20081920"/>
    <s v="PUMPKIN SEED"/>
    <x v="39"/>
    <x v="62"/>
    <n v="300"/>
    <s v="KGS"/>
    <n v="6.0853666666666664"/>
    <n v="1825.61"/>
    <n v="6.09"/>
    <x v="37"/>
    <x v="22"/>
    <s v="Raxaul"/>
    <s v="Road"/>
    <n v="300"/>
    <s v="KGS"/>
    <n v="150000"/>
    <n v="500"/>
    <s v="INR"/>
    <s v="Fruit, nuts and other edible parts of plants, otherwise prepared or preserved, whether or not containing added sugar or other sweetening matter or spirit, not elsewhere specified or included"/>
    <n v="20"/>
    <n v="2008"/>
    <x v="103"/>
    <n v="103183027"/>
    <s v="AHJPG9087D"/>
  </r>
  <r>
    <d v="2024-03-11T00:00:00"/>
    <x v="104"/>
    <n v="12129990"/>
    <s v="JOSH PUMPKIN SEEDS"/>
    <x v="2"/>
    <x v="5"/>
    <n v="505"/>
    <s v="KGS"/>
    <n v="5.5418415841584157"/>
    <n v="2798.63"/>
    <n v="5.54"/>
    <x v="5"/>
    <x v="2"/>
    <s v="JNPT"/>
    <s v="Sea"/>
    <n v="505"/>
    <s v="KGS"/>
    <n v="2424"/>
    <n v="4.8"/>
    <s v="GBP"/>
    <s v="Locust beans, seaweeds and other algae, sugar beet and sugarcane, fresh, chilled, frozen or dried, whether or not ground; fruit stones and kernels and other vegetable products (including unroasted chicory roots of the variety Cichorium intybus sativum) of"/>
    <n v="12"/>
    <n v="1212"/>
    <x v="104"/>
    <n v="106479594"/>
    <s v="0302048987"/>
  </r>
  <r>
    <d v="2024-03-13T00:00:00"/>
    <x v="105"/>
    <n v="20081940"/>
    <s v="N.A.Y PUMPKIN SEED 200G  OTHER DETAILSAS PER  DOCUMENT  &amp; PACKING LIST"/>
    <x v="7"/>
    <x v="63"/>
    <n v="7"/>
    <s v="KGS"/>
    <n v="5.6757142857142853"/>
    <n v="39.729999999999997"/>
    <n v="5.68"/>
    <x v="40"/>
    <x v="6"/>
    <s v="Mundra"/>
    <s v="Sea"/>
    <n v="7"/>
    <s v="KGS"/>
    <n v="55.09"/>
    <n v="7.87"/>
    <s v="CAD"/>
    <s v="Fruit, nuts and other edible parts of plants, otherwise prepared or preserved, whether or not containing added sugar or other sweetening matter or spirit, not elsewhere specified or included"/>
    <n v="20"/>
    <n v="2008"/>
    <x v="105"/>
    <n v="104678359"/>
    <s v="3003007190"/>
  </r>
  <r>
    <d v="2024-03-20T00:00:00"/>
    <x v="106"/>
    <n v="20081920"/>
    <s v="PUMPKIN SEED"/>
    <x v="55"/>
    <x v="29"/>
    <n v="250"/>
    <s v="KGS"/>
    <n v="1.76708"/>
    <n v="441.77"/>
    <n v="1.77"/>
    <x v="1"/>
    <x v="1"/>
    <s v="Mundra"/>
    <s v="Sea"/>
    <n v="250"/>
    <s v="KGS"/>
    <n v="457.5"/>
    <n v="1.83"/>
    <s v="USD"/>
    <s v="Fruit, nuts and other edible parts of plants, otherwise prepared or preserved, whether or not containing added sugar or other sweetening matter or spirit, not elsewhere specified or included"/>
    <n v="20"/>
    <n v="2008"/>
    <x v="106"/>
    <n v="106270840"/>
    <s v="ATCPV2462Q"/>
  </r>
  <r>
    <d v="2024-03-20T00:00:00"/>
    <x v="106"/>
    <n v="20081990"/>
    <s v="PUMPKIN SEEDS ORIGIN: INDIA, CROP:2024 12.5 KG VACUUM X 200 IN 100MASTER BOX"/>
    <x v="31"/>
    <x v="6"/>
    <n v="2500"/>
    <s v="KGS"/>
    <n v="4.9994519999999998"/>
    <n v="12498.63"/>
    <n v="4999.45"/>
    <x v="31"/>
    <x v="23"/>
    <s v="Mundra"/>
    <s v="Sea"/>
    <n v="2.5"/>
    <s v="MTS"/>
    <n v="13400"/>
    <n v="5360"/>
    <s v="USD"/>
    <s v="Fruit, nuts and other edible parts of plants, otherwise prepared or preserved, whether or not containing added sugar or other sweetening matter or spirit, not elsewhere specified or included"/>
    <n v="20"/>
    <n v="2008"/>
    <x v="107"/>
    <n v="104750901"/>
    <s v="2411000944"/>
  </r>
  <r>
    <d v="2024-03-27T00:00:00"/>
    <x v="107"/>
    <n v="20081920"/>
    <s v="Pumpkin Seed SUPPAvishkar Agro Technology LLP, GST-27ABIFA9440K1Z3 ,INV ASIN-2324-1285 DT 13.03.24,ASIN-2324-1327 DT"/>
    <x v="23"/>
    <x v="23"/>
    <n v="200"/>
    <s v="KGS"/>
    <n v="6.8762499999999998"/>
    <n v="1375.25"/>
    <n v="6.88"/>
    <x v="1"/>
    <x v="1"/>
    <s v="JNPT"/>
    <s v="Sea"/>
    <n v="200"/>
    <s v="KGS"/>
    <n v="1386"/>
    <n v="6.93"/>
    <s v="USD"/>
    <s v="Fruit, nuts and other edible parts of plants, otherwise prepared or preserved, whether or not containing added sugar or other sweetening matter or spirit, not elsewhere specified or included"/>
    <n v="20"/>
    <n v="2008"/>
    <x v="108"/>
    <n v="109209870"/>
    <s v="0315909102"/>
  </r>
  <r>
    <d v="2024-03-30T00:00:00"/>
    <x v="108"/>
    <n v="20081920"/>
    <s v="PUMPKIN SEED"/>
    <x v="39"/>
    <x v="59"/>
    <n v="1000"/>
    <s v="KGS"/>
    <n v="1.71085"/>
    <n v="1710.85"/>
    <n v="1.71"/>
    <x v="29"/>
    <x v="22"/>
    <s v="Raxaul"/>
    <s v="Road"/>
    <n v="1000"/>
    <s v="KGS"/>
    <n v="141000"/>
    <n v="141"/>
    <s v="INR"/>
    <s v="Fruit, nuts and other edible parts of plants, otherwise prepared or preserved, whether or not containing added sugar or other sweetening matter or spirit, not elsewhere specified or included"/>
    <n v="20"/>
    <n v="2008"/>
    <x v="109"/>
    <n v="107880600"/>
    <s v="AHJPG9087D"/>
  </r>
  <r>
    <d v="2024-03-30T00:00:00"/>
    <x v="108"/>
    <n v="12079990"/>
    <s v="PUMPKIN SEEDS"/>
    <x v="16"/>
    <x v="6"/>
    <n v="57.6"/>
    <s v="KGS"/>
    <n v="7.5270833333333336"/>
    <n v="433.56"/>
    <n v="7.53"/>
    <x v="25"/>
    <x v="4"/>
    <s v="JNPT"/>
    <s v="Sea"/>
    <n v="57.6"/>
    <s v="KGS"/>
    <n v="443.52"/>
    <n v="7.7"/>
    <s v="USD"/>
    <s v="Other oil seeds and oleaginous fruits, whether or not broken"/>
    <n v="12"/>
    <n v="1207"/>
    <x v="110"/>
    <n v="108952489"/>
    <s v="0508085586"/>
  </r>
  <r>
    <d v="2024-04-02T00:00:00"/>
    <x v="109"/>
    <n v="20081920"/>
    <s v="DRIED PUMPKIN SEED"/>
    <x v="42"/>
    <x v="46"/>
    <n v="60"/>
    <s v="KGS"/>
    <n v="6.2435"/>
    <n v="374.61"/>
    <n v="6.24"/>
    <x v="25"/>
    <x v="4"/>
    <s v="Madras Sea"/>
    <s v="Sea"/>
    <n v="60"/>
    <s v="KGS"/>
    <n v="31440"/>
    <n v="524"/>
    <s v="INR"/>
    <s v="Fruit, nuts and other edible parts of plants, otherwise prepared or preserved, whether or not containing added sugar or other sweetening matter or spirit, not elsewhere specified or included"/>
    <n v="20"/>
    <n v="2008"/>
    <x v="111"/>
    <n v="306684654"/>
    <s v="3217507541"/>
  </r>
  <r>
    <d v="2024-04-06T00:00:00"/>
    <x v="110"/>
    <n v="20081920"/>
    <s v="PUMPKIN SEED/SUPP AVISHKAR AGRO TECHNOLOGY LLP. GST- 27ABIFA9440K1Z3,INV-ASIN-2324-1364,DT-28-03-2024"/>
    <x v="23"/>
    <x v="23"/>
    <n v="360"/>
    <s v="KGS"/>
    <n v="6.8838333333333326"/>
    <n v="2478.1799999999998"/>
    <n v="6.88"/>
    <x v="1"/>
    <x v="1"/>
    <s v="JNPT"/>
    <s v="Sea"/>
    <n v="360"/>
    <s v="KGS"/>
    <n v="2498.4"/>
    <n v="6.94"/>
    <s v="USD"/>
    <s v="Fruit, nuts and other edible parts of plants, otherwise prepared or preserved, whether or not containing added sugar or other sweetening matter or spirit, not elsewhere specified or included"/>
    <n v="20"/>
    <n v="2008"/>
    <x v="112"/>
    <n v="306740201"/>
    <s v="0315909102"/>
  </r>
  <r>
    <d v="2024-04-06T00:00:00"/>
    <x v="110"/>
    <n v="20081920"/>
    <s v="PUMPKIN SEED/SUPP AVISHKAR AGRO TECHNO"/>
    <x v="23"/>
    <x v="49"/>
    <n v="360"/>
    <s v="KGS"/>
    <n v="6.8802222222222227"/>
    <n v="2476.88"/>
    <n v="6.88"/>
    <x v="1"/>
    <x v="1"/>
    <s v="JNPT"/>
    <s v="Sea"/>
    <n v="360"/>
    <s v="KGS"/>
    <n v="2498.4"/>
    <n v="6.94"/>
    <s v="USD"/>
    <s v="Fruit, nuts and other edible parts of plants, otherwise prepared or preserved, whether or not containing added sugar or other sweetening matter or spirit, not elsewhere specified or included"/>
    <n v="20"/>
    <n v="2008"/>
    <x v="113"/>
    <n v="306740215"/>
    <s v="0315909102"/>
  </r>
  <r>
    <d v="2024-04-17T00:00:00"/>
    <x v="111"/>
    <n v="20081920"/>
    <s v="PUMPKIN SEED"/>
    <x v="39"/>
    <x v="43"/>
    <n v="1500"/>
    <s v="KGS"/>
    <n v="1.812346666666667"/>
    <n v="2718.52"/>
    <n v="1.81"/>
    <x v="30"/>
    <x v="22"/>
    <s v="Berhni"/>
    <s v="Road"/>
    <n v="1500"/>
    <s v="KGS"/>
    <n v="225000"/>
    <n v="150"/>
    <s v="INR"/>
    <s v="Fruit, nuts and other edible parts of plants, otherwise prepared or preserved, whether or not containing added sugar or other sweetening matter or spirit, not elsewhere specified or included"/>
    <n v="20"/>
    <n v="2008"/>
    <x v="114"/>
    <n v="310498208"/>
    <s v="AHJPG9087D"/>
  </r>
  <r>
    <d v="2024-04-18T00:00:00"/>
    <x v="112"/>
    <n v="20081920"/>
    <s v="PUMPKIN SEEDS"/>
    <x v="53"/>
    <x v="59"/>
    <n v="4000"/>
    <s v="KGS"/>
    <n v="1.6915249999999999"/>
    <n v="6766.1"/>
    <n v="1.69"/>
    <x v="29"/>
    <x v="22"/>
    <s v="Raxaul"/>
    <s v="Road"/>
    <n v="4000"/>
    <s v="KGS"/>
    <n v="560000"/>
    <n v="140"/>
    <s v="INR"/>
    <s v="Fruit, nuts and other edible parts of plants, otherwise prepared or preserved, whether or not containing added sugar or other sweetening matter or spirit, not elsewhere specified or included"/>
    <n v="20"/>
    <n v="2008"/>
    <x v="115"/>
    <n v="307950503"/>
    <s v="ACOPJ7414P"/>
  </r>
  <r>
    <d v="2024-04-19T00:00:00"/>
    <x v="113"/>
    <n v="20081920"/>
    <s v="PUMPKIN SEED"/>
    <x v="39"/>
    <x v="64"/>
    <n v="1500"/>
    <s v="KGS"/>
    <n v="1.9308399999999999"/>
    <n v="2896.26"/>
    <n v="1.93"/>
    <x v="29"/>
    <x v="22"/>
    <s v="Raxaul"/>
    <s v="Road"/>
    <n v="1500"/>
    <s v="KGS"/>
    <n v="240000"/>
    <n v="160"/>
    <s v="INR"/>
    <s v="Fruit, nuts and other edible parts of plants, otherwise prepared or preserved, whether or not containing added sugar or other sweetening matter or spirit, not elsewhere specified or included"/>
    <n v="20"/>
    <n v="2008"/>
    <x v="116"/>
    <n v="307958872"/>
    <s v="AHJPG9087D"/>
  </r>
  <r>
    <d v="2024-04-23T00:00:00"/>
    <x v="114"/>
    <n v="20081940"/>
    <s v="N.A.Y. Pumpkin Seed 200g OD AS PER DOCUMENT PL"/>
    <x v="7"/>
    <x v="63"/>
    <n v="7"/>
    <s v="KGS"/>
    <n v="7.7114285714285709"/>
    <n v="53.98"/>
    <n v="7.71"/>
    <x v="40"/>
    <x v="6"/>
    <s v="Mundra"/>
    <s v="Sea"/>
    <n v="7"/>
    <s v="KGS"/>
    <n v="55.09"/>
    <n v="7.87"/>
    <s v="USD"/>
    <s v="Fruit, nuts and other edible parts of plants, otherwise prepared or preserved, whether or not containing added sugar or other sweetening matter or spirit, not elsewhere specified or included"/>
    <n v="20"/>
    <n v="2008"/>
    <x v="117"/>
    <n v="309071433"/>
    <s v="3003007190"/>
  </r>
  <r>
    <d v="2024-04-25T00:00:00"/>
    <x v="115"/>
    <n v="8028090"/>
    <s v="PUMPKIN SEED"/>
    <x v="56"/>
    <x v="65"/>
    <n v="1000"/>
    <s v="KGS"/>
    <n v="1.4481299999999999"/>
    <n v="1448.13"/>
    <n v="1.45"/>
    <x v="37"/>
    <x v="22"/>
    <s v="Raxaul"/>
    <s v="Road"/>
    <n v="1000"/>
    <s v="KGS"/>
    <n v="120000"/>
    <n v="120"/>
    <s v="INR"/>
    <s v="Other nuts, fresh or dried, whether or not shelled or pleaded Almonds:"/>
    <n v="8"/>
    <n v="802"/>
    <x v="118"/>
    <n v="309459208"/>
    <s v="0512084688"/>
  </r>
  <r>
    <d v="2024-04-26T00:00:00"/>
    <x v="116"/>
    <n v="20081920"/>
    <s v="DRIED PUMPKIN  SEEDS  PKD IN 25 KGS PP BAGS"/>
    <x v="1"/>
    <x v="1"/>
    <n v="1500"/>
    <s v="KGS"/>
    <n v="1.39276"/>
    <n v="2089.14"/>
    <n v="1392.76"/>
    <x v="1"/>
    <x v="1"/>
    <s v="Kattupalli"/>
    <s v="Sea"/>
    <n v="1.5"/>
    <s v="MTS"/>
    <n v="2182.5"/>
    <n v="1455"/>
    <s v="USD"/>
    <s v="Fruit, nuts and other edible parts of plants, otherwise prepared or preserved, whether or not containing added sugar or other sweetening matter or spirit, not elsewhere specified or included"/>
    <n v="20"/>
    <n v="2008"/>
    <x v="119"/>
    <n v="309662643"/>
    <s v="AAPFG4059E"/>
  </r>
  <r>
    <d v="2024-04-28T00:00:00"/>
    <x v="117"/>
    <n v="20081990"/>
    <s v="PUMPKIN SEEDS"/>
    <x v="57"/>
    <x v="66"/>
    <n v="200"/>
    <s v="KGS"/>
    <n v="1.1850000000000001"/>
    <n v="237"/>
    <n v="1.19"/>
    <x v="29"/>
    <x v="22"/>
    <s v="Raxaul"/>
    <s v="Road"/>
    <n v="200"/>
    <s v="KGS"/>
    <n v="20000"/>
    <n v="100"/>
    <s v="INR"/>
    <s v="Fruit, nuts and other edible parts of plants, otherwise prepared or preserved, whether or not containing added sugar or other sweetening matter or spirit, not elsewhere specified or included"/>
    <n v="20"/>
    <n v="2008"/>
    <x v="120"/>
    <n v="309459080"/>
    <s v="AAYPL3187H"/>
  </r>
  <r>
    <d v="2024-05-04T00:00:00"/>
    <x v="118"/>
    <n v="20081920"/>
    <s v="PUMPKIN SEEDS"/>
    <x v="39"/>
    <x v="41"/>
    <n v="2000"/>
    <s v="KGS"/>
    <n v="1.703605"/>
    <n v="3407.21"/>
    <n v="1.7"/>
    <x v="29"/>
    <x v="22"/>
    <s v="Raxaul"/>
    <s v="Road"/>
    <n v="2000"/>
    <s v="KGS"/>
    <n v="282000"/>
    <n v="141"/>
    <s v="INR"/>
    <s v="Fruit, nuts and other edible parts of plants, otherwise prepared or preserved, whether or not containing added sugar or other sweetening matter or spirit, not elsewhere specified or included"/>
    <n v="20"/>
    <n v="2008"/>
    <x v="121"/>
    <n v="311562417"/>
    <s v="AHJPG9087D"/>
  </r>
  <r>
    <d v="2024-05-11T00:00:00"/>
    <x v="119"/>
    <n v="20081920"/>
    <s v="PUMPKIN SEED"/>
    <x v="39"/>
    <x v="67"/>
    <n v="4000"/>
    <s v="KGS"/>
    <n v="1.7036074999999999"/>
    <n v="6814.43"/>
    <n v="1.7"/>
    <x v="37"/>
    <x v="22"/>
    <s v="Raxaul"/>
    <s v="Road"/>
    <n v="4000"/>
    <s v="KGS"/>
    <n v="564000"/>
    <n v="141"/>
    <s v="INR"/>
    <s v="Fruit, nuts and other edible parts of plants, otherwise prepared or preserved, whether or not containing added sugar or other sweetening matter or spirit, not elsewhere specified or included"/>
    <n v="20"/>
    <n v="2008"/>
    <x v="122"/>
    <n v="312812790"/>
    <s v="AHJPG9087D"/>
  </r>
  <r>
    <d v="2024-05-13T00:00:00"/>
    <x v="120"/>
    <n v="12079990"/>
    <s v="PUMPKIN SEEDS 25KG"/>
    <x v="58"/>
    <x v="6"/>
    <n v="100"/>
    <s v="KGS"/>
    <n v="4.8947000000000003"/>
    <n v="489.47"/>
    <n v="4894.7"/>
    <x v="41"/>
    <x v="27"/>
    <s v="JNPT"/>
    <s v="Sea"/>
    <n v="0.1"/>
    <s v="MTS"/>
    <n v="508"/>
    <n v="5080"/>
    <s v="USD"/>
    <s v="Other oil seeds and oleaginous fruits, whether or not broken"/>
    <n v="12"/>
    <n v="1207"/>
    <x v="123"/>
    <n v="312988748"/>
    <s v="0388009381"/>
  </r>
  <r>
    <d v="2024-05-15T00:00:00"/>
    <x v="121"/>
    <n v="20081920"/>
    <s v="PUMPKIN SEEDS"/>
    <x v="39"/>
    <x v="68"/>
    <n v="100"/>
    <s v="KGS"/>
    <n v="1.7797000000000001"/>
    <n v="177.97"/>
    <n v="1.78"/>
    <x v="29"/>
    <x v="22"/>
    <s v="Raxaul"/>
    <s v="Road"/>
    <n v="100"/>
    <s v="KGS"/>
    <n v="15000"/>
    <n v="150"/>
    <s v="INR"/>
    <s v="Fruit, nuts and other edible parts of plants, otherwise prepared or preserved, whether or not containing added sugar or other sweetening matter or spirit, not elsewhere specified or included"/>
    <n v="20"/>
    <n v="2008"/>
    <x v="124"/>
    <n v="312811690"/>
    <s v="AHJPG9087D"/>
  </r>
  <r>
    <d v="2024-05-23T00:00:00"/>
    <x v="122"/>
    <n v="20081990"/>
    <s v="PUMPKIN SEEDS"/>
    <x v="59"/>
    <x v="69"/>
    <n v="294"/>
    <s v="KGS"/>
    <n v="6.2716666666666674"/>
    <n v="1843.87"/>
    <n v="6.27"/>
    <x v="25"/>
    <x v="4"/>
    <s v="Madras Sea"/>
    <s v="Sea"/>
    <n v="294"/>
    <s v="KGS"/>
    <n v="2499"/>
    <n v="8.5"/>
    <s v="SGD"/>
    <s v="Fruit, nuts and other edible parts of plants, otherwise prepared or preserved, whether or not containing added sugar or other sweetening matter or spirit, not elsewhere specified or included"/>
    <n v="20"/>
    <n v="2008"/>
    <x v="125"/>
    <n v="315631230"/>
    <s v="ABPFA4294A"/>
  </r>
  <r>
    <d v="2024-05-26T00:00:00"/>
    <x v="123"/>
    <n v="20081920"/>
    <s v="PUMPKIN SEEDS"/>
    <x v="39"/>
    <x v="70"/>
    <n v="50"/>
    <s v="KGS"/>
    <n v="1.6718"/>
    <n v="83.59"/>
    <n v="1.67"/>
    <x v="29"/>
    <x v="22"/>
    <s v="Raxaul"/>
    <s v="Road"/>
    <n v="50"/>
    <s v="KGS"/>
    <n v="7050"/>
    <n v="141"/>
    <s v="INR"/>
    <s v="Fruit, nuts and other edible parts of plants, otherwise prepared or preserved, whether or not containing added sugar or other sweetening matter or spirit, not elsewhere specified or included"/>
    <n v="20"/>
    <n v="2008"/>
    <x v="126"/>
    <n v="314208648"/>
    <s v="AHJPG9087D"/>
  </r>
  <r>
    <d v="2024-06-02T00:00:00"/>
    <x v="124"/>
    <n v="20081920"/>
    <s v="MAGAJ  PUMPKIN SEEDS SHIP STORE SUPPLY FOR VESSEL MV GLUON"/>
    <x v="60"/>
    <x v="71"/>
    <n v="1"/>
    <s v="KGS"/>
    <n v="9.49"/>
    <n v="9.49"/>
    <n v="9.49"/>
    <x v="25"/>
    <x v="4"/>
    <s v="JNPT"/>
    <s v="Sea"/>
    <n v="1"/>
    <s v="KGS"/>
    <n v="800"/>
    <n v="800"/>
    <s v="INR"/>
    <s v="Fruit, nuts and other edible parts of plants, otherwise prepared or preserved, whether or not containing added sugar or other sweetening matter or spirit, not elsewhere specified or included"/>
    <n v="20"/>
    <n v="2008"/>
    <x v="127"/>
    <n v="316672911"/>
    <s v="ABTFA0093P"/>
  </r>
  <r>
    <d v="2024-06-03T00:00:00"/>
    <x v="125"/>
    <n v="20081920"/>
    <s v="PUMPKIN SEEDS"/>
    <x v="55"/>
    <x v="29"/>
    <n v="750"/>
    <s v="KGS"/>
    <n v="0.95199999999999996"/>
    <n v="714"/>
    <n v="0.95"/>
    <x v="1"/>
    <x v="1"/>
    <s v="Ahmedabad Icd"/>
    <s v="Sea"/>
    <n v="750"/>
    <s v="KGS"/>
    <n v="817.5"/>
    <n v="1.0900000000000001"/>
    <s v="USD"/>
    <s v="Fruit, nuts and other edible parts of plants, otherwise prepared or preserved, whether or not containing added sugar or other sweetening matter or spirit, not elsewhere specified or included"/>
    <n v="20"/>
    <n v="2008"/>
    <x v="128"/>
    <n v="316725127"/>
    <s v="ATCPV2462Q"/>
  </r>
  <r>
    <d v="2024-06-03T00:00:00"/>
    <x v="125"/>
    <n v="20081940"/>
    <s v="N.A.Y. Pumpkin Seed 200g OD AS PER DOCUMENT PL"/>
    <x v="7"/>
    <x v="63"/>
    <n v="7"/>
    <s v="KGS"/>
    <n v="7.7114285714285709"/>
    <n v="53.98"/>
    <n v="7.71"/>
    <x v="40"/>
    <x v="6"/>
    <s v="Mundra"/>
    <s v="Sea"/>
    <n v="7"/>
    <s v="KGS"/>
    <n v="55.09"/>
    <n v="7.87"/>
    <s v="USD"/>
    <s v="Fruit, nuts and other edible parts of plants, otherwise prepared or preserved, whether or not containing added sugar or other sweetening matter or spirit, not elsewhere specified or included"/>
    <n v="20"/>
    <n v="2008"/>
    <x v="129"/>
    <n v="316201505"/>
    <s v="3003007190"/>
  </r>
  <r>
    <d v="2024-06-10T00:00:00"/>
    <x v="126"/>
    <n v="20081920"/>
    <s v="PUMPKIN SEED"/>
    <x v="39"/>
    <x v="53"/>
    <n v="1500"/>
    <s v="KGS"/>
    <n v="1.703606666666666"/>
    <n v="2555.41"/>
    <n v="1.7"/>
    <x v="29"/>
    <x v="22"/>
    <s v="Raxaul"/>
    <s v="Road"/>
    <n v="1500"/>
    <s v="KGS"/>
    <n v="211500"/>
    <n v="141"/>
    <s v="INR"/>
    <s v="Fruit, nuts and other edible parts of plants, otherwise prepared or preserved, whether or not containing added sugar or other sweetening matter or spirit, not elsewhere specified or included"/>
    <n v="20"/>
    <n v="2008"/>
    <x v="130"/>
    <n v="316516284"/>
    <s v="AHJPG9087D"/>
  </r>
  <r>
    <d v="2024-06-11T00:00:00"/>
    <x v="127"/>
    <n v="20081920"/>
    <s v="PUMPKIN SEED 10 CTNS 20PKTS X 1KG = 20KG CARTON"/>
    <x v="12"/>
    <x v="6"/>
    <n v="200"/>
    <s v="KGS"/>
    <n v="5.2365999999999993"/>
    <n v="1047.32"/>
    <n v="5.24"/>
    <x v="6"/>
    <x v="5"/>
    <s v="JNPT"/>
    <s v="Sea"/>
    <n v="200"/>
    <s v="KGS"/>
    <n v="1150"/>
    <n v="5.75"/>
    <s v="USD"/>
    <s v="Fruit, nuts and other edible parts of plants, otherwise prepared or preserved, whether or not containing added sugar or other sweetening matter or spirit, not elsewhere specified or included"/>
    <n v="20"/>
    <n v="2008"/>
    <x v="131"/>
    <n v="317757097"/>
    <s v="0388039329"/>
  </r>
  <r>
    <d v="2024-06-11T00:00:00"/>
    <x v="127"/>
    <n v="20081990"/>
    <s v="PUMPKIN SEEDS"/>
    <x v="57"/>
    <x v="66"/>
    <n v="100"/>
    <s v="KGS"/>
    <n v="1.7797000000000001"/>
    <n v="177.97"/>
    <n v="1.78"/>
    <x v="29"/>
    <x v="22"/>
    <s v="Raxaul"/>
    <s v="Road"/>
    <n v="100"/>
    <s v="KGS"/>
    <n v="15000"/>
    <n v="150"/>
    <s v="INR"/>
    <s v="Fruit, nuts and other edible parts of plants, otherwise prepared or preserved, whether or not containing added sugar or other sweetening matter or spirit, not elsewhere specified or included"/>
    <n v="20"/>
    <n v="2008"/>
    <x v="132"/>
    <n v="317795181"/>
    <s v="AAYPL3187H"/>
  </r>
  <r>
    <d v="2024-06-12T00:00:00"/>
    <x v="128"/>
    <n v="12099990"/>
    <s v="PUMPKIN SEEDS ASRT. FOOD STUFFS"/>
    <x v="30"/>
    <x v="31"/>
    <n v="50"/>
    <s v="KGS"/>
    <n v="5.5884"/>
    <n v="279.42"/>
    <n v="5.59"/>
    <x v="17"/>
    <x v="15"/>
    <s v="JNPT"/>
    <s v="Sea"/>
    <n v="50"/>
    <s v="KGS"/>
    <n v="286"/>
    <n v="5.72"/>
    <s v="USD"/>
    <s v="Seeds, fruit and spores, of a kind used for sowing"/>
    <n v="12"/>
    <n v="1209"/>
    <x v="133"/>
    <n v="317731023"/>
    <s v="ABVFA9948B"/>
  </r>
  <r>
    <d v="2024-06-14T00:00:00"/>
    <x v="129"/>
    <n v="8029900"/>
    <s v="PUMPKIN SEED"/>
    <x v="56"/>
    <x v="65"/>
    <n v="500"/>
    <s v="KGS"/>
    <n v="1.4237200000000001"/>
    <n v="711.86"/>
    <n v="1.42"/>
    <x v="37"/>
    <x v="22"/>
    <s v="Raxaul"/>
    <s v="Road"/>
    <n v="500"/>
    <s v="KGS"/>
    <n v="60000"/>
    <n v="120"/>
    <s v="INR"/>
    <s v="Other nuts, fresh or dried, whether or not shelled or pleaded Almonds:"/>
    <n v="8"/>
    <n v="802"/>
    <x v="134"/>
    <n v="317795401"/>
    <s v="0512084688"/>
  </r>
  <r>
    <d v="2024-06-19T00:00:00"/>
    <x v="130"/>
    <n v="20081920"/>
    <s v="GREEN PUMPKIN SEEDS"/>
    <x v="50"/>
    <x v="72"/>
    <n v="175"/>
    <s v="KGS"/>
    <n v="5.4550285714285716"/>
    <n v="954.63"/>
    <n v="5.46"/>
    <x v="1"/>
    <x v="1"/>
    <s v="Madras Sea"/>
    <s v="Sea"/>
    <n v="175"/>
    <s v="KGS"/>
    <n v="994"/>
    <n v="5.68"/>
    <s v="USD"/>
    <s v="Fruit, nuts and other edible parts of plants, otherwise prepared or preserved, whether or not containing added sugar or other sweetening matter or spirit, not elsewhere specified or included"/>
    <n v="20"/>
    <n v="2008"/>
    <x v="135"/>
    <n v="318005309"/>
    <s v="0708013589"/>
  </r>
  <r>
    <d v="2024-06-29T00:00:00"/>
    <x v="131"/>
    <n v="20081920"/>
    <s v="ROSTED PUMPKIN SEED 25KG 20 BAGS"/>
    <x v="46"/>
    <x v="51"/>
    <n v="500"/>
    <s v="KGS"/>
    <n v="5.9692999999999996"/>
    <n v="2984.65"/>
    <n v="5.97"/>
    <x v="0"/>
    <x v="0"/>
    <s v="JNPT"/>
    <s v="Sea"/>
    <n v="500"/>
    <s v="KGS"/>
    <n v="3015"/>
    <n v="6.03"/>
    <s v="USD"/>
    <s v="Fruit, nuts and other edible parts of plants, otherwise prepared or preserved, whether or not containing added sugar or other sweetening matter or spirit, not elsewhere specified or included"/>
    <n v="20"/>
    <n v="2008"/>
    <x v="136"/>
    <n v="319428525"/>
    <s v="0506068501"/>
  </r>
  <r>
    <d v="2024-06-29T00:00:00"/>
    <x v="131"/>
    <n v="20081930"/>
    <s v="PUMPKIN SEEDS ROASTED"/>
    <x v="61"/>
    <x v="73"/>
    <n v="30"/>
    <s v="KGS"/>
    <n v="5.4576666666666664"/>
    <n v="163.72999999999999"/>
    <n v="5.46"/>
    <x v="42"/>
    <x v="11"/>
    <s v="Jaigaon"/>
    <s v="Road"/>
    <n v="30"/>
    <s v="KGS"/>
    <n v="13800"/>
    <n v="460"/>
    <s v="INR"/>
    <s v="Fruit, nuts and other edible parts of plants, otherwise prepared or preserved, whether or not containing added sugar or other sweetening matter or spirit, not elsewhere specified or included"/>
    <n v="20"/>
    <n v="2008"/>
    <x v="137"/>
    <n v="318999372"/>
    <s v="0516914537"/>
  </r>
  <r>
    <d v="2024-06-29T00:00:00"/>
    <x v="131"/>
    <n v="20081930"/>
    <s v="PUMPKIN SEEDS"/>
    <x v="61"/>
    <x v="73"/>
    <n v="25"/>
    <s v="KGS"/>
    <n v="4.7460000000000004"/>
    <n v="118.65"/>
    <n v="4.75"/>
    <x v="42"/>
    <x v="11"/>
    <s v="Jaigaon"/>
    <s v="Road"/>
    <n v="25"/>
    <s v="KGS"/>
    <n v="10000"/>
    <n v="400"/>
    <s v="INR"/>
    <s v="Fruit, nuts and other edible parts of plants, otherwise prepared or preserved, whether or not containing added sugar or other sweetening matter or spirit, not elsewhere specified or included"/>
    <n v="20"/>
    <n v="2008"/>
    <x v="138"/>
    <n v="318999865"/>
    <s v="0516914537"/>
  </r>
  <r>
    <d v="2024-07-01T00:00:00"/>
    <x v="132"/>
    <n v="12129990"/>
    <s v="JOSH PUMPKIN SEEDS KERNEL"/>
    <x v="2"/>
    <x v="5"/>
    <n v="595"/>
    <s v="KGS"/>
    <n v="5.4478655462184884"/>
    <n v="3241.48"/>
    <n v="5.45"/>
    <x v="5"/>
    <x v="2"/>
    <s v="JNPT"/>
    <s v="Sea"/>
    <n v="595"/>
    <s v="KGS"/>
    <n v="2856"/>
    <n v="4.8"/>
    <s v="GBP"/>
    <s v="Locust beans, seaweeds and other algae, sugar beet and sugarcane, fresh, chilled, frozen or dried, whether or not ground; fruit stones and kernels and other vegetable products (including unroasted chicory roots of the variety Cichorium intybus sativum) of"/>
    <n v="12"/>
    <n v="1212"/>
    <x v="139"/>
    <n v="325105471"/>
    <s v="0302048987"/>
  </r>
  <r>
    <d v="2024-07-03T00:00:00"/>
    <x v="133"/>
    <n v="12077010"/>
    <s v="PUMPKIN SEEDS 100GMS X 100"/>
    <x v="62"/>
    <x v="74"/>
    <n v="50"/>
    <s v="KGS"/>
    <n v="7.3403999999999998"/>
    <n v="367.02"/>
    <n v="7.34"/>
    <x v="25"/>
    <x v="4"/>
    <s v="Madras Sea"/>
    <s v="Sea"/>
    <n v="50"/>
    <s v="KGS"/>
    <n v="510"/>
    <n v="10.199999999999999"/>
    <s v="SGD"/>
    <s v="Other oil seeds and oleaginous fruits, whether or not broken"/>
    <n v="12"/>
    <n v="1207"/>
    <x v="140"/>
    <n v="326032640"/>
    <s v="AAJCN4713H"/>
  </r>
  <r>
    <d v="2024-07-04T00:00:00"/>
    <x v="134"/>
    <n v="20081930"/>
    <s v="PUMPKIN SEEDS"/>
    <x v="61"/>
    <x v="73"/>
    <n v="25"/>
    <s v="KGS"/>
    <n v="4.7460000000000004"/>
    <n v="118.65"/>
    <n v="4.75"/>
    <x v="42"/>
    <x v="11"/>
    <s v="Jaigaon"/>
    <s v="Road"/>
    <n v="25"/>
    <s v="KGS"/>
    <n v="10000"/>
    <n v="400"/>
    <s v="INR"/>
    <s v="Fruit, nuts and other edible parts of plants, otherwise prepared or preserved, whether or not containing added sugar or other sweetening matter or spirit, not elsewhere specified or included"/>
    <n v="20"/>
    <n v="2008"/>
    <x v="141"/>
    <n v="325640866"/>
    <s v="0516914537"/>
  </r>
  <r>
    <d v="2024-07-04T00:00:00"/>
    <x v="134"/>
    <n v="20081930"/>
    <s v="PUMPKIN SEEDS ROASTED"/>
    <x v="61"/>
    <x v="73"/>
    <n v="30"/>
    <s v="KGS"/>
    <n v="5.4576666666666664"/>
    <n v="163.72999999999999"/>
    <n v="5.46"/>
    <x v="42"/>
    <x v="11"/>
    <s v="Jaigaon"/>
    <s v="Road"/>
    <n v="30"/>
    <s v="KGS"/>
    <n v="13800"/>
    <n v="460"/>
    <s v="INR"/>
    <s v="Fruit, nuts and other edible parts of plants, otherwise prepared or preserved, whether or not containing added sugar or other sweetening matter or spirit, not elsewhere specified or included"/>
    <n v="20"/>
    <n v="2008"/>
    <x v="142"/>
    <n v="325645731"/>
    <s v="0516914537"/>
  </r>
  <r>
    <d v="2024-07-06T00:00:00"/>
    <x v="135"/>
    <n v="20081920"/>
    <s v="PUMPKIN SEEDS KERNELS"/>
    <x v="63"/>
    <x v="75"/>
    <n v="1000"/>
    <s v="KGS"/>
    <n v="4.6516999999999999"/>
    <n v="4651.7"/>
    <n v="4.6500000000000004"/>
    <x v="43"/>
    <x v="22"/>
    <s v="Sonauli"/>
    <s v="Road"/>
    <n v="1000"/>
    <s v="KGS"/>
    <n v="385000"/>
    <n v="385"/>
    <s v="INR"/>
    <s v="Fruit, nuts and other edible parts of plants, otherwise prepared or preserved, whether or not containing added sugar or other sweetening matter or spirit, not elsewhere specified or included"/>
    <n v="20"/>
    <n v="2008"/>
    <x v="143"/>
    <n v="334387293"/>
    <s v="AAYFR3897E"/>
  </r>
  <r>
    <d v="2024-07-07T00:00:00"/>
    <x v="136"/>
    <n v="20081920"/>
    <s v="PUMPKIN SEED"/>
    <x v="39"/>
    <x v="76"/>
    <n v="1000"/>
    <s v="KGS"/>
    <n v="1.7036100000000001"/>
    <n v="1703.61"/>
    <n v="1.7"/>
    <x v="29"/>
    <x v="22"/>
    <s v="Raxaul"/>
    <s v="Road"/>
    <n v="1000"/>
    <s v="KGS"/>
    <n v="141000"/>
    <n v="141"/>
    <s v="INR"/>
    <s v="Fruit, nuts and other edible parts of plants, otherwise prepared or preserved, whether or not containing added sugar or other sweetening matter or spirit, not elsewhere specified or included"/>
    <n v="20"/>
    <n v="2008"/>
    <x v="144"/>
    <n v="326047604"/>
    <s v="AHJPG9087D"/>
  </r>
  <r>
    <d v="2024-07-10T00:00:00"/>
    <x v="137"/>
    <n v="20081920"/>
    <s v="PUMPKIN SEED 4 CTNS 25 KGS / CARTON"/>
    <x v="12"/>
    <x v="6"/>
    <n v="100"/>
    <s v="KGS"/>
    <n v="4.6247999999999996"/>
    <n v="462.48"/>
    <n v="4.62"/>
    <x v="11"/>
    <x v="10"/>
    <s v="JNPT"/>
    <s v="Sea"/>
    <n v="100"/>
    <s v="KGS"/>
    <n v="520"/>
    <n v="5.2"/>
    <s v="USD"/>
    <s v="Fruit, nuts and other edible parts of plants, otherwise prepared or preserved, whether or not containing added sugar or other sweetening matter or spirit, not elsewhere specified or included"/>
    <n v="20"/>
    <n v="2008"/>
    <x v="145"/>
    <n v="326079373"/>
    <s v="0388039329"/>
  </r>
  <r>
    <d v="2024-07-16T00:00:00"/>
    <x v="138"/>
    <n v="20081920"/>
    <s v="PUMPKIN SEED 20 Cartons 20 PKTS x 1 KG/ CTN"/>
    <x v="12"/>
    <x v="6"/>
    <n v="400"/>
    <s v="KGS"/>
    <n v="5.23"/>
    <n v="2092"/>
    <n v="5.23"/>
    <x v="6"/>
    <x v="5"/>
    <s v="JNPT"/>
    <s v="Sea"/>
    <n v="400"/>
    <s v="KGS"/>
    <n v="2300"/>
    <n v="5.75"/>
    <s v="USD"/>
    <s v="Fruit, nuts and other edible parts of plants, otherwise prepared or preserved, whether or not containing added sugar or other sweetening matter or spirit, not elsewhere specified or included"/>
    <n v="20"/>
    <n v="2008"/>
    <x v="146"/>
    <n v="327464979"/>
    <s v="0388039329"/>
  </r>
  <r>
    <d v="2024-07-18T00:00:00"/>
    <x v="139"/>
    <n v="12079990"/>
    <s v="PUMPKIN SEEDS"/>
    <x v="16"/>
    <x v="6"/>
    <n v="67.2"/>
    <s v="KGS"/>
    <n v="7.4953869047619044"/>
    <n v="503.69"/>
    <n v="7.5"/>
    <x v="25"/>
    <x v="4"/>
    <s v="JNPT"/>
    <s v="Sea"/>
    <n v="67.2"/>
    <s v="KGS"/>
    <n v="515.41999999999996"/>
    <n v="7.67"/>
    <s v="USD"/>
    <s v="Other oil seeds and oleaginous fruits, whether or not broken"/>
    <n v="12"/>
    <n v="1207"/>
    <x v="147"/>
    <n v="326379272"/>
    <s v="0508085586"/>
  </r>
  <r>
    <d v="2024-07-19T00:00:00"/>
    <x v="140"/>
    <n v="20081920"/>
    <s v="PUMPKIN SEED"/>
    <x v="39"/>
    <x v="77"/>
    <n v="1000"/>
    <s v="KGS"/>
    <n v="1.7036100000000001"/>
    <n v="1703.61"/>
    <n v="1.7"/>
    <x v="30"/>
    <x v="22"/>
    <s v="Berhni"/>
    <s v="Road"/>
    <n v="1000"/>
    <s v="KGS"/>
    <n v="141000"/>
    <n v="141"/>
    <s v="INR"/>
    <s v="Fruit, nuts and other edible parts of plants, otherwise prepared or preserved, whether or not containing added sugar or other sweetening matter or spirit, not elsewhere specified or included"/>
    <n v="20"/>
    <n v="2008"/>
    <x v="148"/>
    <n v="334414011"/>
    <s v="AHJPG9087D"/>
  </r>
  <r>
    <d v="2024-07-19T00:00:00"/>
    <x v="140"/>
    <n v="20081920"/>
    <s v="PUMPKIN SEED"/>
    <x v="39"/>
    <x v="78"/>
    <n v="1000"/>
    <s v="KGS"/>
    <n v="1.7036100000000001"/>
    <n v="1703.61"/>
    <n v="1.7"/>
    <x v="29"/>
    <x v="22"/>
    <s v="Raxaul"/>
    <s v="Road"/>
    <n v="1000"/>
    <s v="KGS"/>
    <n v="141000"/>
    <n v="141"/>
    <s v="INR"/>
    <s v="Fruit, nuts and other edible parts of plants, otherwise prepared or preserved, whether or not containing added sugar or other sweetening matter or spirit, not elsewhere specified or included"/>
    <n v="20"/>
    <n v="2008"/>
    <x v="149"/>
    <n v="326887918"/>
    <s v="AHJPG9087D"/>
  </r>
  <r>
    <d v="2024-07-27T00:00:00"/>
    <x v="141"/>
    <n v="20081920"/>
    <s v="PUMPKIN SEED"/>
    <x v="39"/>
    <x v="41"/>
    <n v="500"/>
    <s v="KGS"/>
    <n v="1.6728799999999999"/>
    <n v="836.44"/>
    <n v="1.67"/>
    <x v="29"/>
    <x v="22"/>
    <s v="Raxaul"/>
    <s v="Road"/>
    <n v="500"/>
    <s v="KGS"/>
    <n v="70500"/>
    <n v="141"/>
    <s v="INR"/>
    <s v="Fruit, nuts and other edible parts of plants, otherwise prepared or preserved, whether or not containing added sugar or other sweetening matter or spirit, not elsewhere specified or included"/>
    <n v="20"/>
    <n v="2008"/>
    <x v="150"/>
    <n v="329020937"/>
    <s v="AHJPG9087D"/>
  </r>
  <r>
    <d v="2024-07-27T00:00:00"/>
    <x v="141"/>
    <n v="20081990"/>
    <s v="PUMPKIN SEEDS"/>
    <x v="57"/>
    <x v="66"/>
    <n v="100"/>
    <s v="KGS"/>
    <n v="1.4237"/>
    <n v="142.37"/>
    <n v="1.42"/>
    <x v="29"/>
    <x v="22"/>
    <s v="Raxaul"/>
    <s v="Road"/>
    <n v="100"/>
    <s v="KGS"/>
    <n v="12000"/>
    <n v="120"/>
    <s v="INR"/>
    <s v="Fruit, nuts and other edible parts of plants, otherwise prepared or preserved, whether or not containing added sugar or other sweetening matter or spirit, not elsewhere specified or included"/>
    <n v="20"/>
    <n v="2008"/>
    <x v="151"/>
    <n v="328994233"/>
    <s v="AAYPL3187H"/>
  </r>
  <r>
    <d v="2024-07-29T00:00:00"/>
    <x v="142"/>
    <n v="20081990"/>
    <s v="PUMPKIN SEED - 100G."/>
    <x v="43"/>
    <x v="47"/>
    <n v="100"/>
    <s v="KGS"/>
    <n v="7.6515999999999993"/>
    <n v="765.16"/>
    <n v="7.65"/>
    <x v="32"/>
    <x v="24"/>
    <s v="Madras Sea"/>
    <s v="Sea"/>
    <n v="100"/>
    <s v="KGS"/>
    <n v="849"/>
    <n v="8.49"/>
    <s v="USD"/>
    <s v="Fruit, nuts and other edible parts of plants, otherwise prepared or preserved, whether or not containing added sugar or other sweetening matter or spirit, not elsewhere specified or included"/>
    <n v="20"/>
    <n v="2008"/>
    <x v="152"/>
    <n v="328810412"/>
    <s v="0414038959"/>
  </r>
  <r>
    <d v="2024-08-01T00:00:00"/>
    <x v="143"/>
    <n v="12099990"/>
    <s v="PUMPKIN SEED FOR HUMAN CONSUMPTION EDIBLE GRADE"/>
    <x v="4"/>
    <x v="79"/>
    <n v="72"/>
    <s v="KGS"/>
    <n v="8.33"/>
    <n v="599.76"/>
    <n v="8.33"/>
    <x v="17"/>
    <x v="15"/>
    <s v="Mundra"/>
    <s v="Sea"/>
    <n v="72"/>
    <s v="KGS"/>
    <n v="612"/>
    <n v="8.5"/>
    <s v="USD"/>
    <s v="Seeds, fruit and spores, of a kind used for sowing"/>
    <n v="12"/>
    <n v="1209"/>
    <x v="153"/>
    <n v="335170630"/>
    <s v="3114029868"/>
  </r>
  <r>
    <d v="2024-08-07T00:00:00"/>
    <x v="144"/>
    <n v="12099990"/>
    <s v="PUMPKIN SEED FOR HUMAN CONSUMPTION EDIBLE GRADE"/>
    <x v="4"/>
    <x v="79"/>
    <n v="72"/>
    <s v="KGS"/>
    <n v="8.2831944444444439"/>
    <n v="596.39"/>
    <n v="8.2799999999999994"/>
    <x v="17"/>
    <x v="15"/>
    <s v="Mundra"/>
    <s v="Sea"/>
    <n v="72"/>
    <s v="KGS"/>
    <n v="612"/>
    <n v="8.5"/>
    <s v="USD"/>
    <s v="Seeds, fruit and spores, of a kind used for sowing"/>
    <n v="12"/>
    <n v="1209"/>
    <x v="154"/>
    <n v="335170575"/>
    <s v="3114029868"/>
  </r>
  <r>
    <d v="2024-08-09T00:00:00"/>
    <x v="145"/>
    <n v="20081920"/>
    <s v="DRIED PUMPKIN SEEDS  PKD IN CTN BOXES"/>
    <x v="1"/>
    <x v="1"/>
    <n v="2000"/>
    <s v="KGS"/>
    <n v="2.0573600000000001"/>
    <n v="4114.72"/>
    <n v="2057.36"/>
    <x v="1"/>
    <x v="1"/>
    <s v="Kattupalli"/>
    <s v="Sea"/>
    <n v="2"/>
    <s v="MTS"/>
    <n v="4200"/>
    <n v="2100"/>
    <s v="USD"/>
    <s v="Fruit, nuts and other edible parts of plants, otherwise prepared or preserved, whether or not containing added sugar or other sweetening matter or spirit, not elsewhere specified or included"/>
    <n v="20"/>
    <n v="2008"/>
    <x v="155"/>
    <n v="335854262"/>
    <s v="AAPFG4059E"/>
  </r>
  <r>
    <d v="2024-08-10T00:00:00"/>
    <x v="146"/>
    <n v="20081920"/>
    <s v="PUMPKIN SEED"/>
    <x v="23"/>
    <x v="23"/>
    <n v="140"/>
    <s v="KGS"/>
    <n v="7.1995714285714287"/>
    <n v="1007.94"/>
    <n v="7.2"/>
    <x v="1"/>
    <x v="1"/>
    <s v="JNPT"/>
    <s v="Sea"/>
    <n v="140"/>
    <s v="KGS"/>
    <n v="1022"/>
    <n v="7.3"/>
    <s v="USD"/>
    <s v="Fruit, nuts and other edible parts of plants, otherwise prepared or preserved, whether or not containing added sugar or other sweetening matter or spirit, not elsewhere specified or included"/>
    <n v="20"/>
    <n v="2008"/>
    <x v="156"/>
    <n v="335783495"/>
    <s v="0315909102"/>
  </r>
  <r>
    <d v="2024-08-16T00:00:00"/>
    <x v="147"/>
    <n v="20081920"/>
    <s v="PUMPKIN SEEDS"/>
    <x v="39"/>
    <x v="80"/>
    <n v="2500"/>
    <s v="KGS"/>
    <n v="1.69336"/>
    <n v="4233.3999999999996"/>
    <n v="1.69"/>
    <x v="37"/>
    <x v="22"/>
    <s v="Raxaul"/>
    <s v="Road"/>
    <n v="2500"/>
    <s v="KGS"/>
    <n v="352500"/>
    <n v="141"/>
    <s v="INR"/>
    <s v="Fruit, nuts and other edible parts of plants, otherwise prepared or preserved, whether or not containing added sugar or other sweetening matter or spirit, not elsewhere specified or included"/>
    <n v="20"/>
    <n v="2008"/>
    <x v="157"/>
    <n v="336802500"/>
    <s v="AHJPG9087D"/>
  </r>
  <r>
    <d v="2024-08-16T00:00:00"/>
    <x v="147"/>
    <n v="20081920"/>
    <s v="PROCESSED PUMPKIN SEEDS"/>
    <x v="64"/>
    <x v="81"/>
    <n v="30"/>
    <s v="KGS"/>
    <n v="12.087666666666671"/>
    <n v="362.63"/>
    <n v="12.09"/>
    <x v="24"/>
    <x v="20"/>
    <s v="Tuticorin Sea"/>
    <s v="Sea"/>
    <n v="30"/>
    <s v="KGS"/>
    <n v="384"/>
    <n v="12.8"/>
    <s v="USD"/>
    <s v="Fruit, nuts and other edible parts of plants, otherwise prepared or preserved, whether or not containing added sugar or other sweetening matter or spirit, not elsewhere specified or included"/>
    <n v="20"/>
    <n v="2008"/>
    <x v="158"/>
    <n v="336990184"/>
    <s v="ADZFS4510P"/>
  </r>
  <r>
    <d v="2024-08-16T00:00:00"/>
    <x v="147"/>
    <n v="20081920"/>
    <s v="PROCESSED PUMPKIN SEEDS"/>
    <x v="64"/>
    <x v="81"/>
    <n v="30"/>
    <s v="KGS"/>
    <n v="12.08433333333333"/>
    <n v="362.53"/>
    <n v="12.08"/>
    <x v="24"/>
    <x v="20"/>
    <s v="Tuticorin Sea"/>
    <s v="Sea"/>
    <n v="30"/>
    <s v="KGS"/>
    <n v="384"/>
    <n v="12.8"/>
    <s v="USD"/>
    <s v="Fruit, nuts and other edible parts of plants, otherwise prepared or preserved, whether or not containing added sugar or other sweetening matter or spirit, not elsewhere specified or included"/>
    <n v="20"/>
    <n v="2008"/>
    <x v="159"/>
    <n v="336989785"/>
    <s v="ADZFS4510P"/>
  </r>
  <r>
    <d v="2024-08-16T00:00:00"/>
    <x v="147"/>
    <n v="20081990"/>
    <s v="PUMPKIN SEEDS K"/>
    <x v="56"/>
    <x v="65"/>
    <n v="1250"/>
    <s v="KGS"/>
    <n v="1.585272"/>
    <n v="1981.59"/>
    <n v="1.59"/>
    <x v="37"/>
    <x v="22"/>
    <s v="Raxaul"/>
    <s v="Road"/>
    <n v="1250"/>
    <s v="KGS"/>
    <n v="165000"/>
    <n v="132"/>
    <s v="INR"/>
    <s v="Fruit, nuts and other edible parts of plants, otherwise prepared or preserved, whether or not containing added sugar or other sweetening matter or spirit, not elsewhere specified or included"/>
    <n v="20"/>
    <n v="2008"/>
    <x v="160"/>
    <n v="336804519"/>
    <s v="0512084688"/>
  </r>
  <r>
    <d v="2024-08-18T00:00:00"/>
    <x v="148"/>
    <n v="20081920"/>
    <s v="PUMPKIN SEEDS"/>
    <x v="39"/>
    <x v="64"/>
    <n v="1000"/>
    <s v="KGS"/>
    <n v="1.69336"/>
    <n v="1693.36"/>
    <n v="1.69"/>
    <x v="29"/>
    <x v="22"/>
    <s v="Raxaul"/>
    <s v="Road"/>
    <n v="1000"/>
    <s v="KGS"/>
    <n v="141000"/>
    <n v="141"/>
    <s v="INR"/>
    <s v="Fruit, nuts and other edible parts of plants, otherwise prepared or preserved, whether or not containing added sugar or other sweetening matter or spirit, not elsewhere specified or included"/>
    <n v="20"/>
    <n v="2008"/>
    <x v="161"/>
    <n v="336826191"/>
    <s v="AHJPG9087D"/>
  </r>
  <r>
    <d v="2024-08-20T00:00:00"/>
    <x v="149"/>
    <n v="12129990"/>
    <s v="PUMPKIN SEEDS"/>
    <x v="65"/>
    <x v="6"/>
    <n v="50"/>
    <s v="KGS"/>
    <n v="5.4252000000000002"/>
    <n v="271.26"/>
    <n v="5.43"/>
    <x v="44"/>
    <x v="28"/>
    <s v="JNPT"/>
    <s v="Sea"/>
    <n v="50"/>
    <s v="KGS"/>
    <n v="280"/>
    <n v="5.6"/>
    <s v="USD"/>
    <s v="Locust beans, seaweeds and other algae, sugar beet and sugarcane, fresh, chilled, frozen or dried, whether or not ground; fruit stones and kernels and other vegetable products (including unroasted chicory roots of the variety Cichorium intybus sativum) of"/>
    <n v="12"/>
    <n v="1212"/>
    <x v="162"/>
    <n v="336542853"/>
    <s v="0388006081"/>
  </r>
  <r>
    <d v="2024-08-29T00:00:00"/>
    <x v="150"/>
    <n v="12079990"/>
    <s v="PUMPKIN SEEDS"/>
    <x v="66"/>
    <x v="82"/>
    <n v="95"/>
    <s v="KGS"/>
    <n v="2.9482105263157892"/>
    <n v="280.08"/>
    <n v="2.95"/>
    <x v="45"/>
    <x v="22"/>
    <s v="Panitanki Road"/>
    <s v="Road"/>
    <n v="95"/>
    <s v="KGS"/>
    <n v="23750"/>
    <n v="250"/>
    <s v="INR"/>
    <s v="Other oil seeds and oleaginous fruits, whether or not broken"/>
    <n v="12"/>
    <n v="1207"/>
    <x v="163"/>
    <n v="339413708"/>
    <s v="ACQPJ7787H"/>
  </r>
  <r>
    <d v="2024-08-29T00:00:00"/>
    <x v="150"/>
    <n v="12077010"/>
    <s v="PUMPKIN SEEDS 100GMS X 100"/>
    <x v="62"/>
    <x v="74"/>
    <n v="100"/>
    <s v="KGS"/>
    <n v="7.5310000000000006"/>
    <n v="753.1"/>
    <n v="7.53"/>
    <x v="25"/>
    <x v="4"/>
    <s v="Madras Sea"/>
    <s v="Sea"/>
    <n v="100"/>
    <s v="KGS"/>
    <n v="1020"/>
    <n v="10.199999999999999"/>
    <s v="SGD"/>
    <s v="Other oil seeds and oleaginous fruits, whether or not broken"/>
    <n v="12"/>
    <n v="1207"/>
    <x v="164"/>
    <n v="337629796"/>
    <s v="AAJCN4713H"/>
  </r>
  <r>
    <d v="2024-09-01T00:00:00"/>
    <x v="151"/>
    <n v="20081920"/>
    <s v="PUMPKIN SEED"/>
    <x v="39"/>
    <x v="41"/>
    <n v="500"/>
    <s v="KGS"/>
    <n v="1.66282"/>
    <n v="831.41"/>
    <n v="1.66"/>
    <x v="29"/>
    <x v="22"/>
    <s v="Raxaul"/>
    <s v="Road"/>
    <n v="500"/>
    <s v="KGS"/>
    <n v="70500"/>
    <n v="141"/>
    <s v="INR"/>
    <s v="Fruit, nuts and other edible parts of plants, otherwise prepared or preserved, whether or not containing added sugar or other sweetening matter or spirit, not elsewhere specified or included"/>
    <n v="20"/>
    <n v="2008"/>
    <x v="165"/>
    <n v="341454460"/>
    <s v="AHJPG9087D"/>
  </r>
  <r>
    <d v="2024-09-01T00:00:00"/>
    <x v="151"/>
    <n v="20081920"/>
    <s v="PUMPKIN SEEDS"/>
    <x v="39"/>
    <x v="83"/>
    <n v="1000"/>
    <s v="KGS"/>
    <n v="1.69336"/>
    <n v="1693.36"/>
    <n v="1.69"/>
    <x v="37"/>
    <x v="22"/>
    <s v="Raxaul"/>
    <s v="Road"/>
    <n v="1000"/>
    <s v="KGS"/>
    <n v="141000"/>
    <n v="141"/>
    <s v="INR"/>
    <s v="Fruit, nuts and other edible parts of plants, otherwise prepared or preserved, whether or not containing added sugar or other sweetening matter or spirit, not elsewhere specified or included"/>
    <n v="20"/>
    <n v="2008"/>
    <x v="166"/>
    <n v="341222929"/>
    <s v="AHJPG9087D"/>
  </r>
  <r>
    <d v="2024-09-03T00:00:00"/>
    <x v="152"/>
    <n v="20081990"/>
    <s v="Pumpkin Seeds"/>
    <x v="67"/>
    <x v="84"/>
    <n v="11.7"/>
    <s v="KGS"/>
    <n v="16.146153846153851"/>
    <n v="188.91"/>
    <n v="16.149999999999999"/>
    <x v="46"/>
    <x v="29"/>
    <s v="Tuticorin Sea"/>
    <s v="Sea"/>
    <n v="11.7"/>
    <s v="KGS"/>
    <n v="203.46299999999999"/>
    <n v="17.39"/>
    <s v="USD"/>
    <s v="Fruit, nuts and other edible parts of plants, otherwise prepared or preserved, whether or not containing added sugar or other sweetening matter or spirit, not elsewhere specified or included"/>
    <n v="20"/>
    <n v="2008"/>
    <x v="167"/>
    <n v="340414639"/>
    <s v="2888000369"/>
  </r>
  <r>
    <d v="2024-09-05T00:00:00"/>
    <x v="153"/>
    <n v="20081920"/>
    <s v="PUMPKIN SEEDS"/>
    <x v="68"/>
    <x v="85"/>
    <n v="2000"/>
    <s v="KGS"/>
    <n v="5.0200250000000004"/>
    <n v="10040.049999999999"/>
    <n v="5.0199999999999996"/>
    <x v="43"/>
    <x v="22"/>
    <s v="Sonauli"/>
    <s v="Road"/>
    <n v="2000"/>
    <s v="KGS"/>
    <n v="836000"/>
    <n v="418"/>
    <s v="INR"/>
    <s v="Fruit, nuts and other edible parts of plants, otherwise prepared or preserved, whether or not containing added sugar or other sweetening matter or spirit, not elsewhere specified or included"/>
    <n v="20"/>
    <n v="2008"/>
    <x v="168"/>
    <n v="344653674"/>
    <s v="0509073905"/>
  </r>
  <r>
    <d v="2024-09-06T00:00:00"/>
    <x v="154"/>
    <n v="20081920"/>
    <s v="PUMPKIN SEED"/>
    <x v="39"/>
    <x v="86"/>
    <n v="1000"/>
    <s v="KGS"/>
    <n v="1.69234"/>
    <n v="1692.34"/>
    <n v="1.69"/>
    <x v="37"/>
    <x v="22"/>
    <s v="Raxaul"/>
    <s v="Road"/>
    <n v="1000"/>
    <s v="KGS"/>
    <n v="141000"/>
    <n v="141"/>
    <s v="INR"/>
    <s v="Fruit, nuts and other edible parts of plants, otherwise prepared or preserved, whether or not containing added sugar or other sweetening matter or spirit, not elsewhere specified or included"/>
    <n v="20"/>
    <n v="2008"/>
    <x v="169"/>
    <n v="341400006"/>
    <s v="AHJPG9087D"/>
  </r>
  <r>
    <d v="2024-09-07T00:00:00"/>
    <x v="155"/>
    <n v="20081920"/>
    <s v="PUMPKIN SEED"/>
    <x v="39"/>
    <x v="87"/>
    <n v="1000"/>
    <s v="KGS"/>
    <n v="1.69234"/>
    <n v="1692.34"/>
    <n v="1.69"/>
    <x v="37"/>
    <x v="22"/>
    <s v="Raxaul"/>
    <s v="Road"/>
    <n v="1000"/>
    <s v="KGS"/>
    <n v="141000"/>
    <n v="141"/>
    <s v="INR"/>
    <s v="Fruit, nuts and other edible parts of plants, otherwise prepared or preserved, whether or not containing added sugar or other sweetening matter or spirit, not elsewhere specified or included"/>
    <n v="20"/>
    <n v="2008"/>
    <x v="170"/>
    <n v="341163896"/>
    <s v="AHJPG9087D"/>
  </r>
  <r>
    <d v="2024-09-17T00:00:00"/>
    <x v="156"/>
    <n v="12099990"/>
    <s v="PUMPKIN SEED ASRT. FOOD STUFFS"/>
    <x v="30"/>
    <x v="42"/>
    <n v="50"/>
    <s v="KGS"/>
    <n v="5.6594000000000007"/>
    <n v="282.97000000000003"/>
    <n v="5.66"/>
    <x v="17"/>
    <x v="15"/>
    <s v="JNPT"/>
    <s v="Sea"/>
    <n v="50"/>
    <s v="KGS"/>
    <n v="289.5"/>
    <n v="5.79"/>
    <s v="USD"/>
    <s v="Seeds, fruit and spores, of a kind used for sowing"/>
    <n v="12"/>
    <n v="1209"/>
    <x v="171"/>
    <n v="342172474"/>
    <s v="ABVFA9948B"/>
  </r>
  <r>
    <d v="2024-09-17T00:00:00"/>
    <x v="156"/>
    <n v="20081920"/>
    <s v="PUMPKIN SEEDS"/>
    <x v="39"/>
    <x v="80"/>
    <n v="2500"/>
    <s v="KGS"/>
    <n v="1.69234"/>
    <n v="4230.8500000000004"/>
    <n v="1.69"/>
    <x v="37"/>
    <x v="22"/>
    <s v="Raxaul"/>
    <s v="Road"/>
    <n v="2500"/>
    <s v="KGS"/>
    <n v="352500"/>
    <n v="141"/>
    <s v="INR"/>
    <s v="Fruit, nuts and other edible parts of plants, otherwise prepared or preserved, whether or not containing added sugar or other sweetening matter or spirit, not elsewhere specified or included"/>
    <n v="20"/>
    <n v="2008"/>
    <x v="172"/>
    <n v="341280702"/>
    <s v="AHJPG9087D"/>
  </r>
  <r>
    <d v="2024-09-18T00:00:00"/>
    <x v="157"/>
    <n v="20081920"/>
    <s v="PUMPKIN SEED"/>
    <x v="39"/>
    <x v="88"/>
    <n v="100"/>
    <s v="KGS"/>
    <n v="1.6617999999999999"/>
    <n v="166.18"/>
    <n v="1.66"/>
    <x v="29"/>
    <x v="22"/>
    <s v="Raxaul"/>
    <s v="Road"/>
    <n v="100"/>
    <s v="KGS"/>
    <n v="14100"/>
    <n v="141"/>
    <s v="INR"/>
    <s v="Fruit, nuts and other edible parts of plants, otherwise prepared or preserved, whether or not containing added sugar or other sweetening matter or spirit, not elsewhere specified or included"/>
    <n v="20"/>
    <n v="2008"/>
    <x v="173"/>
    <n v="341265347"/>
    <s v="AHJPG9087D"/>
  </r>
  <r>
    <d v="2024-09-18T00:00:00"/>
    <x v="157"/>
    <n v="20081920"/>
    <s v="PUMPKIN SEED"/>
    <x v="39"/>
    <x v="45"/>
    <n v="500"/>
    <s v="KGS"/>
    <n v="1.6618200000000001"/>
    <n v="830.91"/>
    <n v="1.66"/>
    <x v="29"/>
    <x v="22"/>
    <s v="Raxaul"/>
    <s v="Road"/>
    <n v="500"/>
    <s v="KGS"/>
    <n v="70500"/>
    <n v="141"/>
    <s v="INR"/>
    <s v="Fruit, nuts and other edible parts of plants, otherwise prepared or preserved, whether or not containing added sugar or other sweetening matter or spirit, not elsewhere specified or included"/>
    <n v="20"/>
    <n v="2008"/>
    <x v="174"/>
    <n v="341251428"/>
    <s v="AHJPG9087D"/>
  </r>
  <r>
    <d v="2024-09-18T00:00:00"/>
    <x v="157"/>
    <n v="20081990"/>
    <s v="PUMPKIN SEED"/>
    <x v="69"/>
    <x v="89"/>
    <n v="1000"/>
    <s v="KGS"/>
    <n v="1.5603100000000001"/>
    <n v="1560.31"/>
    <n v="1.56"/>
    <x v="29"/>
    <x v="22"/>
    <s v="Raxaul"/>
    <s v="Road"/>
    <n v="1000"/>
    <s v="KGS"/>
    <n v="130000"/>
    <n v="130"/>
    <s v="INR"/>
    <s v="Fruit, nuts and other edible parts of plants, otherwise prepared or preserved, whether or not containing added sugar or other sweetening matter or spirit, not elsewhere specified or included"/>
    <n v="20"/>
    <n v="2008"/>
    <x v="175"/>
    <n v="341207650"/>
    <s v="2116904102"/>
  </r>
  <r>
    <d v="2024-09-20T00:00:00"/>
    <x v="158"/>
    <n v="20081920"/>
    <s v="PUMPKIN SEED"/>
    <x v="39"/>
    <x v="90"/>
    <n v="1000"/>
    <s v="KGS"/>
    <n v="1.6974400000000001"/>
    <n v="1697.44"/>
    <n v="1.7"/>
    <x v="30"/>
    <x v="22"/>
    <s v="Berhni"/>
    <s v="Road"/>
    <n v="1000"/>
    <s v="KGS"/>
    <n v="141000"/>
    <n v="141"/>
    <s v="INR"/>
    <s v="Fruit, nuts and other edible parts of plants, otherwise prepared or preserved, whether or not containing added sugar or other sweetening matter or spirit, not elsewhere specified or included"/>
    <n v="20"/>
    <n v="2008"/>
    <x v="176"/>
    <n v="344662494"/>
    <s v="AHJPG9087D"/>
  </r>
  <r>
    <d v="2024-09-23T00:00:00"/>
    <x v="159"/>
    <n v="20081990"/>
    <s v="Pumpkin Seeds Darkgreen 300g"/>
    <x v="70"/>
    <x v="91"/>
    <n v="15"/>
    <s v="KGS"/>
    <n v="6.7159999999999993"/>
    <n v="100.74"/>
    <n v="6.72"/>
    <x v="5"/>
    <x v="2"/>
    <s v="Bangalore Icd"/>
    <s v="Sea"/>
    <n v="15"/>
    <s v="KGS"/>
    <n v="82.5"/>
    <n v="5.5"/>
    <s v="GBP"/>
    <s v="Fruit, nuts and other edible parts of plants, otherwise prepared or preserved, whether or not containing added sugar or other sweetening matter or spirit, not elsewhere specified or included"/>
    <n v="20"/>
    <n v="2008"/>
    <x v="177"/>
    <n v="343068129"/>
    <s v="AAOFD7012R"/>
  </r>
  <r>
    <d v="2024-09-23T00:00:00"/>
    <x v="159"/>
    <n v="20081990"/>
    <s v="Pumpkin Seeds Darkgreen 700g"/>
    <x v="70"/>
    <x v="91"/>
    <n v="35"/>
    <s v="KGS"/>
    <n v="6.3671428571428574"/>
    <n v="222.85"/>
    <n v="6.37"/>
    <x v="5"/>
    <x v="2"/>
    <s v="Bangalore Icd"/>
    <s v="Sea"/>
    <n v="35"/>
    <s v="KGS"/>
    <n v="182.35"/>
    <n v="5.21"/>
    <s v="GBP"/>
    <s v="Fruit, nuts and other edible parts of plants, otherwise prepared or preserved, whether or not containing added sugar or other sweetening matter or spirit, not elsewhere specified or included"/>
    <n v="20"/>
    <n v="2008"/>
    <x v="178"/>
    <n v="343068130"/>
    <s v="AAOFD7012R"/>
  </r>
  <r>
    <d v="2024-09-25T00:00:00"/>
    <x v="160"/>
    <n v="20081990"/>
    <s v="PUMPKIN SEED 100 GRMS"/>
    <x v="71"/>
    <x v="92"/>
    <n v="20"/>
    <s v="KGS"/>
    <n v="7.3879999999999999"/>
    <n v="147.76"/>
    <n v="7.39"/>
    <x v="25"/>
    <x v="4"/>
    <s v="Madras Sea"/>
    <s v="Sea"/>
    <n v="20"/>
    <s v="KGS"/>
    <n v="192"/>
    <n v="9.6"/>
    <s v="SGD"/>
    <s v="Fruit, nuts and other edible parts of plants, otherwise prepared or preserved, whether or not containing added sugar or other sweetening matter or spirit, not elsewhere specified or included"/>
    <n v="20"/>
    <n v="2008"/>
    <x v="179"/>
    <n v="343419433"/>
    <s v="AAKCG5460D"/>
  </r>
  <r>
    <d v="2024-09-26T00:00:00"/>
    <x v="161"/>
    <n v="20081990"/>
    <s v="PUMPKIN SEEDS"/>
    <x v="56"/>
    <x v="65"/>
    <n v="1500"/>
    <s v="KGS"/>
    <n v="1.589093333333333"/>
    <n v="2383.64"/>
    <n v="1.59"/>
    <x v="37"/>
    <x v="22"/>
    <s v="Raxaul"/>
    <s v="Road"/>
    <n v="1500"/>
    <s v="KGS"/>
    <n v="198000"/>
    <n v="132"/>
    <s v="INR"/>
    <s v="Fruit, nuts and other edible parts of plants, otherwise prepared or preserved, whether or not containing added sugar or other sweetening matter or spirit, not elsewhere specified or included"/>
    <n v="20"/>
    <n v="2008"/>
    <x v="180"/>
    <n v="343629840"/>
    <s v="0512084688"/>
  </r>
  <r>
    <d v="2024-09-30T00:00:00"/>
    <x v="162"/>
    <n v="20081920"/>
    <s v="PUMPKIN SEED"/>
    <x v="39"/>
    <x v="70"/>
    <n v="150"/>
    <s v="KGS"/>
    <n v="1.6668666666666669"/>
    <n v="250.03"/>
    <n v="1.67"/>
    <x v="29"/>
    <x v="22"/>
    <s v="Raxaul"/>
    <s v="Road"/>
    <n v="150"/>
    <s v="KGS"/>
    <n v="21150"/>
    <n v="141"/>
    <s v="INR"/>
    <s v="Fruit, nuts and other edible parts of plants, otherwise prepared or preserved, whether or not containing added sugar or other sweetening matter or spirit, not elsewhere specified or included"/>
    <n v="20"/>
    <n v="2008"/>
    <x v="181"/>
    <n v="343629769"/>
    <s v="AHJPG9087D"/>
  </r>
  <r>
    <d v="2024-09-30T00:00:00"/>
    <x v="162"/>
    <n v="20081990"/>
    <s v="PUMPKIN SEED"/>
    <x v="57"/>
    <x v="66"/>
    <n v="300"/>
    <s v="KGS"/>
    <n v="1.7732000000000001"/>
    <n v="531.96"/>
    <n v="1.77"/>
    <x v="29"/>
    <x v="22"/>
    <s v="Raxaul"/>
    <s v="Road"/>
    <n v="300"/>
    <s v="KGS"/>
    <n v="45000"/>
    <n v="150"/>
    <s v="INR"/>
    <s v="Fruit, nuts and other edible parts of plants, otherwise prepared or preserved, whether or not containing added sugar or other sweetening matter or spirit, not elsewhere specified or included"/>
    <n v="20"/>
    <n v="2008"/>
    <x v="182"/>
    <n v="343629577"/>
    <s v="AAYPL3187H"/>
  </r>
  <r>
    <d v="2024-10-04T00:00:00"/>
    <x v="163"/>
    <n v="20081920"/>
    <s v="PUMPKIN SEED"/>
    <x v="39"/>
    <x v="76"/>
    <n v="1000"/>
    <s v="KGS"/>
    <n v="1.69336"/>
    <n v="1693.36"/>
    <n v="1.69"/>
    <x v="37"/>
    <x v="22"/>
    <s v="Raxaul"/>
    <s v="Road"/>
    <n v="1000"/>
    <s v="KGS"/>
    <n v="141000"/>
    <n v="141"/>
    <s v="INR"/>
    <s v="Fruit, nuts and other edible parts of plants, otherwise prepared or preserved, whether or not containing added sugar or other sweetening matter or spirit, not elsewhere specified or included"/>
    <n v="20"/>
    <n v="2008"/>
    <x v="183"/>
    <n v="345557412"/>
    <s v="AHJPG9087D"/>
  </r>
  <r>
    <d v="2024-10-07T00:00:00"/>
    <x v="164"/>
    <n v="20081920"/>
    <s v="PUMPKIN SEED"/>
    <x v="39"/>
    <x v="93"/>
    <n v="500"/>
    <s v="KGS"/>
    <n v="1.66282"/>
    <n v="831.41"/>
    <n v="1.66"/>
    <x v="37"/>
    <x v="22"/>
    <s v="Raxaul"/>
    <s v="Road"/>
    <n v="500"/>
    <s v="KGS"/>
    <n v="70500"/>
    <n v="141"/>
    <s v="INR"/>
    <s v="Fruit, nuts and other edible parts of plants, otherwise prepared or preserved, whether or not containing added sugar or other sweetening matter or spirit, not elsewhere specified or included"/>
    <n v="20"/>
    <n v="2008"/>
    <x v="184"/>
    <n v="345592174"/>
    <s v="AHJPG9087D"/>
  </r>
  <r>
    <d v="2024-10-07T00:00:00"/>
    <x v="164"/>
    <n v="20081920"/>
    <s v="PUMPKIN SEED"/>
    <x v="39"/>
    <x v="94"/>
    <n v="1000"/>
    <s v="KGS"/>
    <n v="1.69336"/>
    <n v="1693.36"/>
    <n v="1.69"/>
    <x v="37"/>
    <x v="22"/>
    <s v="Raxaul"/>
    <s v="Road"/>
    <n v="1000"/>
    <s v="KGS"/>
    <n v="141000"/>
    <n v="141"/>
    <s v="INR"/>
    <s v="Fruit, nuts and other edible parts of plants, otherwise prepared or preserved, whether or not containing added sugar or other sweetening matter or spirit, not elsewhere specified or included"/>
    <n v="20"/>
    <n v="2008"/>
    <x v="185"/>
    <n v="345622191"/>
    <s v="AHJPG9087D"/>
  </r>
  <r>
    <d v="2024-10-18T00:00:00"/>
    <x v="165"/>
    <n v="20081920"/>
    <s v="PUMPKIN SEEDS"/>
    <x v="39"/>
    <x v="67"/>
    <n v="3275"/>
    <s v="KGS"/>
    <n v="1.6913221374045799"/>
    <n v="5539.08"/>
    <n v="1.69"/>
    <x v="37"/>
    <x v="22"/>
    <s v="Raxaul"/>
    <s v="Road"/>
    <n v="3275"/>
    <s v="KGS"/>
    <n v="461775"/>
    <n v="141"/>
    <s v="INR"/>
    <s v="Fruit, nuts and other edible parts of plants, otherwise prepared or preserved, whether or not containing added sugar or other sweetening matter or spirit, not elsewhere specified or included"/>
    <n v="20"/>
    <n v="2008"/>
    <x v="186"/>
    <n v="346876428"/>
    <s v="AHJPG9087D"/>
  </r>
  <r>
    <d v="2024-10-18T00:00:00"/>
    <x v="165"/>
    <n v="20081920"/>
    <s v="PUMPKIN SEEDS"/>
    <x v="39"/>
    <x v="95"/>
    <n v="500"/>
    <s v="KGS"/>
    <n v="1.66082"/>
    <n v="830.41"/>
    <n v="1.66"/>
    <x v="37"/>
    <x v="22"/>
    <s v="Raxaul"/>
    <s v="Road"/>
    <n v="500"/>
    <s v="KGS"/>
    <n v="70500"/>
    <n v="141"/>
    <s v="INR"/>
    <s v="Fruit, nuts and other edible parts of plants, otherwise prepared or preserved, whether or not containing added sugar or other sweetening matter or spirit, not elsewhere specified or included"/>
    <n v="20"/>
    <n v="2008"/>
    <x v="187"/>
    <n v="346967037"/>
    <s v="AHJPG9087D"/>
  </r>
  <r>
    <d v="2024-10-19T00:00:00"/>
    <x v="166"/>
    <n v="12079990"/>
    <s v="PUMPKIN SEED 25KG"/>
    <x v="58"/>
    <x v="6"/>
    <n v="1000"/>
    <s v="KGS"/>
    <n v="5.0739599999999996"/>
    <n v="5073.96"/>
    <n v="5073.96"/>
    <x v="47"/>
    <x v="27"/>
    <s v="JNPT"/>
    <s v="Sea"/>
    <n v="1"/>
    <s v="MTS"/>
    <n v="5200"/>
    <n v="5200"/>
    <s v="USD"/>
    <s v="Other oil seeds and oleaginous fruits, whether or not broken"/>
    <n v="12"/>
    <n v="1207"/>
    <x v="188"/>
    <n v="346838832"/>
    <s v="0388009381"/>
  </r>
  <r>
    <d v="2024-10-22T00:00:00"/>
    <x v="167"/>
    <n v="20081920"/>
    <s v="PUMPKIN SEED"/>
    <x v="39"/>
    <x v="96"/>
    <n v="200"/>
    <s v="KGS"/>
    <n v="1.6608000000000001"/>
    <n v="332.16"/>
    <n v="1.66"/>
    <x v="29"/>
    <x v="22"/>
    <s v="Raxaul"/>
    <s v="Road"/>
    <n v="200"/>
    <s v="KGS"/>
    <n v="28200"/>
    <n v="141"/>
    <s v="INR"/>
    <s v="Fruit, nuts and other edible parts of plants, otherwise prepared or preserved, whether or not containing added sugar or other sweetening matter or spirit, not elsewhere specified or included"/>
    <n v="20"/>
    <n v="2008"/>
    <x v="189"/>
    <n v="349416106"/>
    <s v="AHJPG9087D"/>
  </r>
  <r>
    <d v="2024-10-22T00:00:00"/>
    <x v="167"/>
    <n v="20081920"/>
    <s v="PUMPKIN SEED"/>
    <x v="39"/>
    <x v="97"/>
    <n v="1000"/>
    <s v="KGS"/>
    <n v="1.6913199999999999"/>
    <n v="1691.32"/>
    <n v="1.69"/>
    <x v="37"/>
    <x v="22"/>
    <s v="Raxaul"/>
    <s v="Road"/>
    <n v="1000"/>
    <s v="KGS"/>
    <n v="141000"/>
    <n v="141"/>
    <s v="INR"/>
    <s v="Fruit, nuts and other edible parts of plants, otherwise prepared or preserved, whether or not containing added sugar or other sweetening matter or spirit, not elsewhere specified or included"/>
    <n v="20"/>
    <n v="2008"/>
    <x v="190"/>
    <n v="349493144"/>
    <s v="AHJPG9087D"/>
  </r>
  <r>
    <d v="2024-10-23T00:00:00"/>
    <x v="168"/>
    <n v="20081920"/>
    <s v="PUMPKIN SEED"/>
    <x v="39"/>
    <x v="98"/>
    <n v="2000"/>
    <s v="KGS"/>
    <n v="1.6913199999999999"/>
    <n v="3382.64"/>
    <n v="1.69"/>
    <x v="37"/>
    <x v="22"/>
    <s v="Raxaul"/>
    <s v="Road"/>
    <n v="2000"/>
    <s v="KGS"/>
    <n v="282000"/>
    <n v="141"/>
    <s v="INR"/>
    <s v="Fruit, nuts and other edible parts of plants, otherwise prepared or preserved, whether or not containing added sugar or other sweetening matter or spirit, not elsewhere specified or included"/>
    <n v="20"/>
    <n v="2008"/>
    <x v="191"/>
    <n v="349434313"/>
    <s v="AHJPG9087D"/>
  </r>
  <r>
    <d v="2024-11-09T00:00:00"/>
    <x v="169"/>
    <n v="20081990"/>
    <s v="Organic Pumpkin Seeds 250 Gms ALL OTHERDETAILS AS PER INVPKG"/>
    <x v="72"/>
    <x v="6"/>
    <n v="600"/>
    <s v="KGS"/>
    <n v="8.8755000000000006"/>
    <n v="5325.3"/>
    <n v="8.8800000000000008"/>
    <x v="48"/>
    <x v="30"/>
    <s v="Mundra"/>
    <s v="Sea"/>
    <n v="600"/>
    <s v="KGS"/>
    <n v="5040"/>
    <n v="8.4"/>
    <s v="USD"/>
    <s v="Fruit, nuts and other edible parts of plants, otherwise prepared or preserved, whether or not containing added sugar or other sweetening matter or spirit, not elsewhere specified or included"/>
    <n v="20"/>
    <n v="2008"/>
    <x v="192"/>
    <n v="351206061"/>
    <s v="AAECN6727C"/>
  </r>
  <r>
    <d v="2024-11-16T00:00:00"/>
    <x v="170"/>
    <n v="20081920"/>
    <s v="PUMPKIN SEED  50 CTNS    20PKTS X 1KG =20KG CARTON"/>
    <x v="12"/>
    <x v="6"/>
    <n v="1000"/>
    <s v="KGS"/>
    <n v="5.17584"/>
    <n v="5175.84"/>
    <n v="5.18"/>
    <x v="6"/>
    <x v="5"/>
    <s v="JNPT"/>
    <s v="Sea"/>
    <n v="1000"/>
    <s v="KGS"/>
    <n v="5600"/>
    <n v="5.6"/>
    <s v="USD"/>
    <s v="Fruit, nuts and other edible parts of plants, otherwise prepared or preserved, whether or not containing added sugar or other sweetening matter or spirit, not elsewhere specified or included"/>
    <n v="20"/>
    <n v="2008"/>
    <x v="193"/>
    <n v="352287465"/>
    <s v="0388039329"/>
  </r>
  <r>
    <d v="2024-11-17T00:00:00"/>
    <x v="171"/>
    <n v="20081920"/>
    <s v="PUMPKIN SEEDS"/>
    <x v="39"/>
    <x v="94"/>
    <n v="2000"/>
    <s v="KGS"/>
    <n v="1.6862550000000001"/>
    <n v="3372.51"/>
    <n v="1.69"/>
    <x v="37"/>
    <x v="22"/>
    <s v="Raxaul"/>
    <s v="Road"/>
    <n v="2000"/>
    <s v="KGS"/>
    <n v="282000"/>
    <n v="141"/>
    <s v="INR"/>
    <s v="Fruit, nuts and other edible parts of plants, otherwise prepared or preserved, whether or not containing added sugar or other sweetening matter or spirit, not elsewhere specified or included"/>
    <n v="20"/>
    <n v="2008"/>
    <x v="194"/>
    <n v="352499227"/>
    <s v="AHJPG9087D"/>
  </r>
  <r>
    <d v="2024-11-17T00:00:00"/>
    <x v="171"/>
    <n v="20081920"/>
    <s v="PUMPKIN SEEDS"/>
    <x v="39"/>
    <x v="93"/>
    <n v="1500"/>
    <s v="KGS"/>
    <n v="1.6862533333333329"/>
    <n v="2529.38"/>
    <n v="1.69"/>
    <x v="37"/>
    <x v="22"/>
    <s v="Raxaul"/>
    <s v="Road"/>
    <n v="1500"/>
    <s v="KGS"/>
    <n v="211500"/>
    <n v="141"/>
    <s v="INR"/>
    <s v="Fruit, nuts and other edible parts of plants, otherwise prepared or preserved, whether or not containing added sugar or other sweetening matter or spirit, not elsewhere specified or included"/>
    <n v="20"/>
    <n v="2008"/>
    <x v="195"/>
    <n v="352476370"/>
    <s v="AHJPG9087D"/>
  </r>
  <r>
    <d v="2024-11-22T00:00:00"/>
    <x v="172"/>
    <n v="20081920"/>
    <s v="GREEN PUMPKIN SEEDS"/>
    <x v="50"/>
    <x v="56"/>
    <n v="420"/>
    <s v="KGS"/>
    <n v="5.3616190476190484"/>
    <n v="2251.88"/>
    <n v="5.36"/>
    <x v="1"/>
    <x v="1"/>
    <s v="Madras Sea"/>
    <s v="Sea"/>
    <n v="420"/>
    <s v="KGS"/>
    <n v="2284.8000000000002"/>
    <n v="5.44"/>
    <s v="USD"/>
    <s v="Fruit, nuts and other edible parts of plants, otherwise prepared or preserved, whether or not containing added sugar or other sweetening matter or spirit, not elsewhere specified or included"/>
    <n v="20"/>
    <n v="2008"/>
    <x v="196"/>
    <n v="352858787"/>
    <s v="0708013589"/>
  </r>
  <r>
    <d v="2024-11-25T00:00:00"/>
    <x v="173"/>
    <n v="20081920"/>
    <s v="PUMPKIN SEED"/>
    <x v="39"/>
    <x v="90"/>
    <n v="1500"/>
    <s v="KGS"/>
    <n v="1.6832266666666671"/>
    <n v="2524.84"/>
    <n v="1.68"/>
    <x v="30"/>
    <x v="22"/>
    <s v="Berhni"/>
    <s v="Road"/>
    <n v="1500"/>
    <s v="KGS"/>
    <n v="211500"/>
    <n v="141"/>
    <s v="INR"/>
    <s v="Fruit, nuts and other edible parts of plants, otherwise prepared or preserved, whether or not containing added sugar or other sweetening matter or spirit, not elsewhere specified or included"/>
    <n v="20"/>
    <n v="2008"/>
    <x v="197"/>
    <n v="354625238"/>
    <s v="AHJPG9087D"/>
  </r>
  <r>
    <d v="2024-11-25T00:00:00"/>
    <x v="173"/>
    <n v="20081920"/>
    <s v="PUMPKIN SEEDS"/>
    <x v="56"/>
    <x v="65"/>
    <n v="1500"/>
    <s v="KGS"/>
    <n v="1.575786666666666"/>
    <n v="2363.6799999999998"/>
    <n v="1.58"/>
    <x v="37"/>
    <x v="22"/>
    <s v="Raxaul"/>
    <s v="Road"/>
    <n v="1500"/>
    <s v="KGS"/>
    <n v="198000"/>
    <n v="132"/>
    <s v="INR"/>
    <s v="Fruit, nuts and other edible parts of plants, otherwise prepared or preserved, whether or not containing added sugar or other sweetening matter or spirit, not elsewhere specified or included"/>
    <n v="20"/>
    <n v="2008"/>
    <x v="198"/>
    <n v="353989413"/>
    <s v="0512084688"/>
  </r>
  <r>
    <d v="2024-11-25T00:00:00"/>
    <x v="173"/>
    <n v="20081920"/>
    <s v="PUMPKIN SEED"/>
    <x v="39"/>
    <x v="99"/>
    <n v="3000"/>
    <s v="KGS"/>
    <n v="1.68323"/>
    <n v="5049.6899999999996"/>
    <n v="1.68"/>
    <x v="37"/>
    <x v="22"/>
    <s v="Raxaul"/>
    <s v="Road"/>
    <n v="3000"/>
    <s v="KGS"/>
    <n v="423000"/>
    <n v="141"/>
    <s v="INR"/>
    <s v="Fruit, nuts and other edible parts of plants, otherwise prepared or preserved, whether or not containing added sugar or other sweetening matter or spirit, not elsewhere specified or included"/>
    <n v="20"/>
    <n v="2008"/>
    <x v="199"/>
    <n v="353883253"/>
    <s v="AHJPG9087D"/>
  </r>
  <r>
    <d v="2024-11-25T00:00:00"/>
    <x v="173"/>
    <n v="20081920"/>
    <s v="PUMPKIN SEED"/>
    <x v="39"/>
    <x v="100"/>
    <n v="500"/>
    <s v="KGS"/>
    <n v="1.65286"/>
    <n v="826.43"/>
    <n v="1.65"/>
    <x v="29"/>
    <x v="22"/>
    <s v="Raxaul"/>
    <s v="Road"/>
    <n v="500"/>
    <s v="KGS"/>
    <n v="70500"/>
    <n v="141"/>
    <s v="INR"/>
    <s v="Fruit, nuts and other edible parts of plants, otherwise prepared or preserved, whether or not containing added sugar or other sweetening matter or spirit, not elsewhere specified or included"/>
    <n v="20"/>
    <n v="2008"/>
    <x v="200"/>
    <n v="353883163"/>
    <s v="AHJPG9087D"/>
  </r>
  <r>
    <d v="2024-11-28T00:00:00"/>
    <x v="174"/>
    <n v="20081920"/>
    <s v="PUMPKIN SEED 30KG*1"/>
    <x v="73"/>
    <x v="101"/>
    <n v="30"/>
    <s v="KGS"/>
    <n v="5.2706666666666671"/>
    <n v="158.12"/>
    <n v="5.27"/>
    <x v="14"/>
    <x v="12"/>
    <s v="Tuticorin Sea"/>
    <s v="Sea"/>
    <n v="30"/>
    <s v="KGS"/>
    <n v="165"/>
    <n v="5.5"/>
    <s v="USD"/>
    <s v="Fruit, nuts and other edible parts of plants, otherwise prepared or preserved, whether or not containing added sugar or other sweetening matter or spirit, not elsewhere specified or included"/>
    <n v="20"/>
    <n v="2008"/>
    <x v="201"/>
    <n v="353417866"/>
    <s v="BQNPK2744P"/>
  </r>
  <r>
    <d v="2024-12-04T00:00:00"/>
    <x v="175"/>
    <n v="12099990"/>
    <s v="PUMPKIN SEEDS ASRT. FOOD STUFFS"/>
    <x v="30"/>
    <x v="42"/>
    <n v="75"/>
    <s v="KGS"/>
    <n v="4.3538666666666668"/>
    <n v="326.54000000000002"/>
    <n v="4.3499999999999996"/>
    <x v="17"/>
    <x v="15"/>
    <s v="JNPT"/>
    <s v="Sea"/>
    <n v="75"/>
    <s v="KGS"/>
    <n v="334.5"/>
    <n v="4.46"/>
    <s v="USD"/>
    <s v="Seeds, fruit and spores, of a kind used for sowing"/>
    <n v="12"/>
    <n v="1209"/>
    <x v="202"/>
    <n v="356000683"/>
    <s v="ABVFA9948B"/>
  </r>
  <r>
    <d v="2024-12-05T00:00:00"/>
    <x v="176"/>
    <n v="20081920"/>
    <s v="PUMPKIN SEEDS KERNELS"/>
    <x v="63"/>
    <x v="102"/>
    <n v="2000"/>
    <s v="KGS"/>
    <n v="4.5960550000000007"/>
    <n v="9192.11"/>
    <n v="4.5999999999999996"/>
    <x v="43"/>
    <x v="22"/>
    <s v="Sonauli"/>
    <s v="Road"/>
    <n v="2000"/>
    <s v="KGS"/>
    <n v="770000"/>
    <n v="385"/>
    <s v="INR"/>
    <s v="Fruit, nuts and other edible parts of plants, otherwise prepared or preserved, whether or not containing added sugar or other sweetening matter or spirit, not elsewhere specified or included"/>
    <n v="20"/>
    <n v="2008"/>
    <x v="203"/>
    <n v="359720259"/>
    <s v="AAYFR3897E"/>
  </r>
  <r>
    <d v="2024-12-09T00:00:00"/>
    <x v="177"/>
    <n v="20081920"/>
    <s v="PUMPKIN HEALTHY SEEDS 250G X 50 PCS"/>
    <x v="74"/>
    <x v="6"/>
    <n v="25"/>
    <s v="KGS"/>
    <n v="7.0724"/>
    <n v="176.81"/>
    <n v="7.07"/>
    <x v="49"/>
    <x v="14"/>
    <s v="Pali Icd"/>
    <s v="Sea"/>
    <n v="25"/>
    <s v="KGS"/>
    <n v="181"/>
    <n v="7.24"/>
    <s v="USD"/>
    <s v="Fruit, nuts and other edible parts of plants, otherwise prepared or preserved, whether or not containing added sugar or other sweetening matter or spirit, not elsewhere specified or included"/>
    <n v="20"/>
    <n v="2008"/>
    <x v="204"/>
    <n v="359497146"/>
    <s v="0514055375"/>
  </r>
  <r>
    <d v="2024-12-11T00:00:00"/>
    <x v="178"/>
    <n v="20081990"/>
    <s v="PUMPKIN SEEDS ORIGIN: INDIA, CROP:202412.5 KG VACUUM X 2 IN 180 MASTER BOX"/>
    <x v="31"/>
    <x v="6"/>
    <n v="4500"/>
    <s v="KGS"/>
    <n v="4.735164444444445"/>
    <n v="21308.240000000002"/>
    <n v="4735.16"/>
    <x v="31"/>
    <x v="23"/>
    <s v="Mundra"/>
    <s v="Sea"/>
    <n v="4.5"/>
    <s v="MTS"/>
    <n v="22342.5"/>
    <n v="4965"/>
    <s v="USD"/>
    <s v="Fruit, nuts and other edible parts of plants, otherwise prepared or preserved, whether or not containing added sugar or other sweetening matter or spirit, not elsewhere specified or included"/>
    <n v="20"/>
    <n v="2008"/>
    <x v="205"/>
    <n v="356707800"/>
    <s v="2411000944"/>
  </r>
  <r>
    <d v="2024-12-12T00:00:00"/>
    <x v="179"/>
    <n v="12079990"/>
    <s v="PUMPKIN SEEDS"/>
    <x v="66"/>
    <x v="82"/>
    <n v="50"/>
    <s v="KGS"/>
    <n v="2.9201999999999999"/>
    <n v="146.01"/>
    <n v="2.92"/>
    <x v="45"/>
    <x v="22"/>
    <s v="Panitanki Road"/>
    <s v="Road"/>
    <n v="50"/>
    <s v="KGS"/>
    <n v="149"/>
    <n v="2.98"/>
    <s v="USD"/>
    <s v="Other oil seeds and oleaginous fruits, whether or not broken"/>
    <n v="12"/>
    <n v="1207"/>
    <x v="206"/>
    <n v="359693068"/>
    <s v="ACQPJ7787H"/>
  </r>
  <r>
    <d v="2024-12-13T00:00:00"/>
    <x v="180"/>
    <n v="20081920"/>
    <s v="PUMPKIN SEED"/>
    <x v="39"/>
    <x v="80"/>
    <n v="1000"/>
    <s v="KGS"/>
    <n v="1.6772100000000001"/>
    <n v="1677.21"/>
    <n v="1.68"/>
    <x v="37"/>
    <x v="22"/>
    <s v="Raxaul"/>
    <s v="Road"/>
    <n v="1000"/>
    <s v="KGS"/>
    <n v="141000"/>
    <n v="141"/>
    <s v="INR"/>
    <s v="Fruit, nuts and other edible parts of plants, otherwise prepared or preserved, whether or not containing added sugar or other sweetening matter or spirit, not elsewhere specified or included"/>
    <n v="20"/>
    <n v="2008"/>
    <x v="207"/>
    <n v="356558972"/>
    <s v="AHJPG9087D"/>
  </r>
  <r>
    <d v="2024-12-13T00:00:00"/>
    <x v="180"/>
    <n v="20081920"/>
    <s v="PUMPKIN SEEDS"/>
    <x v="39"/>
    <x v="41"/>
    <n v="500"/>
    <s v="KGS"/>
    <n v="1.64696"/>
    <n v="823.48"/>
    <n v="1.65"/>
    <x v="37"/>
    <x v="22"/>
    <s v="Raxaul"/>
    <s v="Road"/>
    <n v="500"/>
    <s v="KGS"/>
    <n v="70500"/>
    <n v="141"/>
    <s v="INR"/>
    <s v="Fruit, nuts and other edible parts of plants, otherwise prepared or preserved, whether or not containing added sugar or other sweetening matter or spirit, not elsewhere specified or included"/>
    <n v="20"/>
    <n v="2008"/>
    <x v="208"/>
    <n v="356634725"/>
    <s v="AHJPG9087D"/>
  </r>
  <r>
    <d v="2024-12-17T00:00:00"/>
    <x v="181"/>
    <n v="12060090"/>
    <s v="PUMPKINE SEED"/>
    <x v="25"/>
    <x v="103"/>
    <n v="10"/>
    <s v="KGS"/>
    <n v="4.6549999999999994"/>
    <n v="46.55"/>
    <n v="4.66"/>
    <x v="14"/>
    <x v="12"/>
    <s v="Tuticorin Sea"/>
    <s v="Sea"/>
    <n v="10"/>
    <s v="KGS"/>
    <n v="47.5"/>
    <n v="4.75"/>
    <s v="USD"/>
    <s v="Sunflower seeds, whether or not broken"/>
    <n v="12"/>
    <n v="1206"/>
    <x v="209"/>
    <n v="357447696"/>
    <s v="AAYFK7729A"/>
  </r>
  <r>
    <d v="2024-12-17T00:00:00"/>
    <x v="181"/>
    <n v="20081920"/>
    <s v="PUMPKIN SEEDS 200GM X 50 PCS"/>
    <x v="74"/>
    <x v="6"/>
    <n v="10"/>
    <s v="KGS"/>
    <n v="4.4240000000000004"/>
    <n v="44.24"/>
    <n v="4.42"/>
    <x v="39"/>
    <x v="26"/>
    <s v="Pali Icd"/>
    <s v="Sea"/>
    <n v="10"/>
    <s v="KGS"/>
    <n v="45.1"/>
    <n v="4.51"/>
    <s v="USD"/>
    <s v="Fruit, nuts and other edible parts of plants, otherwise prepared or preserved, whether or not containing added sugar or other sweetening matter or spirit, not elsewhere specified or included"/>
    <n v="20"/>
    <n v="2008"/>
    <x v="210"/>
    <n v="359545490"/>
    <s v="0514055375"/>
  </r>
  <r>
    <d v="2024-12-23T00:00:00"/>
    <x v="182"/>
    <n v="20081920"/>
    <s v="PUMPKIN SEED  50 CTNS 20PKTS X 1KG = 20KG CARTON"/>
    <x v="12"/>
    <x v="6"/>
    <n v="1000"/>
    <s v="KGS"/>
    <n v="4.9632100000000001"/>
    <n v="4963.21"/>
    <n v="4.96"/>
    <x v="6"/>
    <x v="5"/>
    <s v="JNPT"/>
    <s v="Sea"/>
    <n v="1000"/>
    <s v="KGS"/>
    <n v="5500"/>
    <n v="5.5"/>
    <s v="USD"/>
    <s v="Fruit, nuts and other edible parts of plants, otherwise prepared or preserved, whether or not containing added sugar or other sweetening matter or spirit, not elsewhere specified or included"/>
    <n v="20"/>
    <n v="2008"/>
    <x v="211"/>
    <n v="358055214"/>
    <s v="0388039329"/>
  </r>
  <r>
    <d v="2024-12-23T00:00:00"/>
    <x v="182"/>
    <n v="20081920"/>
    <s v="PUMPKIN SEED  50 CTNS 20PKTS X 1KG = 20KG CARTON"/>
    <x v="12"/>
    <x v="6"/>
    <n v="1000"/>
    <s v="KGS"/>
    <n v="4.9632100000000001"/>
    <n v="4963.21"/>
    <n v="4.96"/>
    <x v="6"/>
    <x v="5"/>
    <s v="JNPT"/>
    <s v="Sea"/>
    <n v="1000"/>
    <s v="KGS"/>
    <n v="4970"/>
    <n v="4.97"/>
    <s v="USD"/>
    <s v="Fruit, nuts and other edible parts of plants, otherwise prepared or preserved, whether or not containing added sugar or other sweetening matter or spirit, not elsewhere specified or included"/>
    <n v="20"/>
    <n v="2008"/>
    <x v="212"/>
    <n v="358055117"/>
    <s v="0388039329"/>
  </r>
  <r>
    <d v="2024-12-24T00:00:00"/>
    <x v="183"/>
    <n v="20081920"/>
    <s v="PUMPKIN SEED"/>
    <x v="39"/>
    <x v="68"/>
    <n v="100"/>
    <s v="KGS"/>
    <n v="1.6400999999999999"/>
    <n v="164.01"/>
    <n v="1.64"/>
    <x v="29"/>
    <x v="22"/>
    <s v="Raxaul"/>
    <s v="Road"/>
    <n v="100"/>
    <s v="KGS"/>
    <n v="14100"/>
    <n v="141"/>
    <s v="INR"/>
    <s v="Fruit, nuts and other edible parts of plants, otherwise prepared or preserved, whether or not containing added sugar or other sweetening matter or spirit, not elsewhere specified or included"/>
    <n v="20"/>
    <n v="2008"/>
    <x v="213"/>
    <n v="358222935"/>
    <s v="AHJPG9087D"/>
  </r>
  <r>
    <d v="2024-12-27T00:00:00"/>
    <x v="184"/>
    <n v="12060090"/>
    <s v="PUMPKIN SEEDS"/>
    <x v="75"/>
    <x v="104"/>
    <n v="5"/>
    <s v="KGS"/>
    <n v="11.05"/>
    <n v="55.25"/>
    <n v="11.05"/>
    <x v="12"/>
    <x v="11"/>
    <s v="Chamurchi"/>
    <s v="Road"/>
    <n v="5"/>
    <s v="KGS"/>
    <n v="4750"/>
    <n v="950"/>
    <s v="INR"/>
    <s v="Sunflower seeds, whether or not broken"/>
    <n v="12"/>
    <n v="1206"/>
    <x v="214"/>
    <n v="359385990"/>
    <s v="AFTPD7480D"/>
  </r>
  <r>
    <d v="2024-12-28T00:00:00"/>
    <x v="185"/>
    <n v="20081920"/>
    <s v="PUMPKIN SEED"/>
    <x v="39"/>
    <x v="96"/>
    <n v="250"/>
    <s v="KGS"/>
    <n v="1.64012"/>
    <n v="410.03"/>
    <n v="1.64"/>
    <x v="29"/>
    <x v="22"/>
    <s v="Raxaul"/>
    <s v="Road"/>
    <n v="250"/>
    <s v="KGS"/>
    <n v="35250"/>
    <n v="141"/>
    <s v="INR"/>
    <s v="Fruit, nuts and other edible parts of plants, otherwise prepared or preserved, whether or not containing added sugar or other sweetening matter or spirit, not elsewhere specified or included"/>
    <n v="20"/>
    <n v="2008"/>
    <x v="215"/>
    <n v="358243823"/>
    <s v="AHJPG9087D"/>
  </r>
  <r>
    <d v="2024-12-28T00:00:00"/>
    <x v="185"/>
    <n v="20081920"/>
    <s v="PUMPKIN SEED"/>
    <x v="39"/>
    <x v="105"/>
    <n v="1000"/>
    <s v="KGS"/>
    <n v="1.6702399999999999"/>
    <n v="1670.24"/>
    <n v="1.67"/>
    <x v="29"/>
    <x v="22"/>
    <s v="Raxaul"/>
    <s v="Road"/>
    <n v="1000"/>
    <s v="KGS"/>
    <n v="141000"/>
    <n v="141"/>
    <s v="INR"/>
    <s v="Fruit, nuts and other edible parts of plants, otherwise prepared or preserved, whether or not containing added sugar or other sweetening matter or spirit, not elsewhere specified or included"/>
    <n v="20"/>
    <n v="2008"/>
    <x v="216"/>
    <n v="358971289"/>
    <s v="AHJPG9087D"/>
  </r>
  <r>
    <d v="2024-12-31T00:00:00"/>
    <x v="186"/>
    <n v="20081990"/>
    <s v="PUMPKIN SEEDS ORIGIN: INDIA, CROP:2024 12.5 KG VACUUM X 2 IN 120 MASTER BOXES"/>
    <x v="31"/>
    <x v="6"/>
    <n v="3000"/>
    <s v="KGS"/>
    <n v="4.0277666666666656"/>
    <n v="12083.3"/>
    <n v="4027.77"/>
    <x v="50"/>
    <x v="31"/>
    <s v="Mundra"/>
    <s v="Sea"/>
    <n v="3"/>
    <s v="MTS"/>
    <n v="12915"/>
    <n v="4305"/>
    <s v="USD"/>
    <s v="Fruit, nuts and other edible parts of plants, otherwise prepared or preserved, whether or not containing added sugar or other sweetening matter or spirit, not elsewhere specified or included"/>
    <n v="20"/>
    <n v="2008"/>
    <x v="217"/>
    <n v="358292004"/>
    <s v="2411000944"/>
  </r>
  <r>
    <d v="2025-01-03T00:00:00"/>
    <x v="187"/>
    <n v="20081920"/>
    <s v="PUMPKIN SEEDS DTLS.AS PER INV."/>
    <x v="76"/>
    <x v="106"/>
    <n v="20"/>
    <s v="KGS"/>
    <n v="10.61954664310954"/>
    <n v="212.39093286219079"/>
    <n v="10.62"/>
    <x v="25"/>
    <x v="4"/>
    <s v="Calcutta Sea"/>
    <s v="Sea"/>
    <n v="20"/>
    <s v="KGS"/>
    <n v="216.72"/>
    <n v="10.836"/>
    <s v="USD"/>
    <s v=" FRUIT, NUTS AND OTHER EDIBLE PARTS OF PLANTS, OTHERWISE PREPARED OR PRESERVED, WHETHER OR NOT CONTAINING ADDED SUGAR OR OTHER SWEETENING MATTER OR SPIRIT, NOT ELSEWHERE SPECIFIED OR INCLUDED,  including mixtures:, Other roasted nuts and seeds"/>
    <n v="20"/>
    <n v="2008"/>
    <x v="218"/>
    <n v="706011"/>
    <s v="FDAPP4557D"/>
  </r>
  <r>
    <d v="2025-01-07T00:00:00"/>
    <x v="188"/>
    <n v="20081920"/>
    <s v="PUMPKIN SEED"/>
    <x v="39"/>
    <x v="107"/>
    <n v="500"/>
    <s v="KGS"/>
    <n v="1.6275599999999999"/>
    <n v="813.78"/>
    <n v="1.63"/>
    <x v="37"/>
    <x v="22"/>
    <s v="Raxaul"/>
    <s v="Road"/>
    <n v="500"/>
    <s v="KGS"/>
    <n v="70500"/>
    <n v="141"/>
    <s v="INR"/>
    <s v=" FRUIT, NUTS AND OTHER EDIBLE PARTS OF PLANTS, OTHERWISE PREPARED OR PRESERVED, WHETHER OR NOT CONTAINING ADDED SUGAR OR OTHER SWEETENING MATTER OR SPIRIT, NOT ELSEWHERE SPECIFIED OR INCLUDED,  including mixtures:, Other roasted nuts and seeds"/>
    <n v="20"/>
    <n v="2008"/>
    <x v="219"/>
    <n v="547345"/>
    <s v="AHJPG9087D"/>
  </r>
  <r>
    <d v="2025-01-11T00:00:00"/>
    <x v="189"/>
    <n v="20081920"/>
    <s v="PUMPKIN SEEDS-40 X 200GM OTHER DETAILED AS PER INV. AND PACKING LIST"/>
    <x v="77"/>
    <x v="108"/>
    <n v="48"/>
    <s v="KGS"/>
    <n v="6.430625"/>
    <n v="308.67"/>
    <n v="6.43"/>
    <x v="51"/>
    <x v="24"/>
    <s v="Mundra"/>
    <s v="Sea"/>
    <n v="48"/>
    <s v="KGS"/>
    <n v="312"/>
    <n v="6.5"/>
    <s v="USD"/>
    <s v=" FRUIT, NUTS AND OTHER EDIBLE PARTS OF PLANTS, OTHERWISE PREPARED OR PRESERVED, WHETHER OR NOT CONTAINING ADDED SUGAR OR OTHER SWEETENING MATTER OR SPIRIT, NOT ELSEWHERE SPECIFIED OR INCLUDED,  including mixtures:, Other roasted nuts and seeds"/>
    <n v="20"/>
    <n v="2008"/>
    <x v="220"/>
    <n v="1820205"/>
    <s v="AWVPV4063H"/>
  </r>
  <r>
    <d v="2025-01-13T00:00:00"/>
    <x v="190"/>
    <n v="20081920"/>
    <s v="PUMPKIN SEED"/>
    <x v="39"/>
    <x v="98"/>
    <n v="2250"/>
    <s v="KGS"/>
    <n v="1.6574577777777779"/>
    <n v="3729.28"/>
    <n v="1.66"/>
    <x v="37"/>
    <x v="22"/>
    <s v="Raxaul"/>
    <s v="Road"/>
    <n v="2250"/>
    <s v="KGS"/>
    <n v="317250"/>
    <n v="141"/>
    <s v="INR"/>
    <s v=" FRUIT, NUTS AND OTHER EDIBLE PARTS OF PLANTS, OTHERWISE PREPARED OR PRESERVED, WHETHER OR NOT CONTAINING ADDED SUGAR OR OTHER SWEETENING MATTER OR SPIRIT, NOT ELSEWHERE SPECIFIED OR INCLUDED,  including mixtures:, Other roasted nuts and seeds"/>
    <n v="20"/>
    <n v="2008"/>
    <x v="221"/>
    <n v="1423472"/>
    <s v="AHJPG9087D"/>
  </r>
  <r>
    <d v="2025-01-17T00:00:00"/>
    <x v="191"/>
    <n v="20081930"/>
    <s v="CD PUMPKIN SEED BALL 15x275g"/>
    <x v="78"/>
    <x v="109"/>
    <n v="103.125"/>
    <s v="KGS"/>
    <n v="0.23757575757575761"/>
    <n v="24.5"/>
    <n v="0.24"/>
    <x v="16"/>
    <x v="8"/>
    <s v="Cochin Sea"/>
    <s v="Sea"/>
    <n v="103.125"/>
    <s v="KGS"/>
    <n v="24.75"/>
    <n v="0.24"/>
    <s v="USD"/>
    <s v=" FRUIT, NUTS AND OTHER EDIBLE PARTS OF PLANTS, OTHERWISE PREPARED OR PRESERVED, WHETHER OR NOT CONTAINING ADDED SUGAR OR OTHER SWEETENING MATTER OR SPIRIT, NOT ELSEWHERE SPECIFIED OR INCLUDED,  including mixtures:, Other nuts, otherwise prepared or preser"/>
    <n v="20"/>
    <n v="2008"/>
    <x v="222"/>
    <n v="2092151"/>
    <s v="1003000860"/>
  </r>
  <r>
    <d v="2025-01-17T00:00:00"/>
    <x v="191"/>
    <n v="20081930"/>
    <s v="CD PUMPKIN SEED BALL 15x275g"/>
    <x v="78"/>
    <x v="109"/>
    <n v="103.125"/>
    <s v="KGS"/>
    <n v="0.23756351713859911"/>
    <n v="24.498737704918032"/>
    <n v="0.24"/>
    <x v="16"/>
    <x v="8"/>
    <s v="Cochin Sea"/>
    <s v="Sea"/>
    <n v="103.125"/>
    <s v="KGS"/>
    <n v="24.956"/>
    <n v="0.24199999999999999"/>
    <s v="USD"/>
    <s v=" FRUIT, NUTS AND OTHER EDIBLE PARTS OF PLANTS, OTHERWISE PREPARED OR PRESERVED, WHETHER OR NOT CONTAINING ADDED SUGAR OR OTHER SWEETENING MATTER OR SPIRIT, NOT ELSEWHERE SPECIFIED OR INCLUDED,  including mixtures:, Other nuts, otherwise prepared or preser"/>
    <n v="20"/>
    <n v="2008"/>
    <x v="223"/>
    <n v="2092122"/>
    <s v="1003000860"/>
  </r>
  <r>
    <d v="2025-01-22T00:00:00"/>
    <x v="192"/>
    <n v="12129990"/>
    <s v="JOSH PUMPKIN SEEDS KERNEL"/>
    <x v="2"/>
    <x v="5"/>
    <n v="260"/>
    <s v="KGS"/>
    <n v="4.5496923076923084"/>
    <n v="1182.92"/>
    <n v="4.55"/>
    <x v="5"/>
    <x v="2"/>
    <s v="JNPT"/>
    <s v="Sea"/>
    <n v="260"/>
    <s v="KGS"/>
    <n v="1014"/>
    <n v="3.9"/>
    <s v="GBP"/>
    <s v=" LOCUST BEANS, SEAWEEDS AND OTHER ALGAE, SUGAR BEET AND SUGARCANE, FRESH, CHILLED, FROZEN OR DRIED, WHETHER OR NOT GROUND; FRUIT STONES AND KERNELS AND OTHER VEGETABLE PRODUCTS (INCLUDING UNROASTED CHICORY ROOTS OF THE VARIETY CICHORIUM INTYBUS SATIVUM) O"/>
    <n v="12"/>
    <n v="1212"/>
    <x v="224"/>
    <n v="3753174"/>
    <s v="0302048987"/>
  </r>
  <r>
    <d v="2025-01-23T00:00:00"/>
    <x v="193"/>
    <n v="12079990"/>
    <s v="PUMPKIN SEEDS"/>
    <x v="16"/>
    <x v="6"/>
    <n v="48"/>
    <s v="KGS"/>
    <n v="6.6854166666666659"/>
    <n v="320.89999999999998"/>
    <n v="6.69"/>
    <x v="25"/>
    <x v="4"/>
    <s v="JNPT"/>
    <s v="Sea"/>
    <n v="48"/>
    <s v="KGS"/>
    <n v="328.8"/>
    <n v="6.85"/>
    <s v="USD"/>
    <s v=" OTHER OIL SEEDS AND OLEAGINOUS FRUITS, WHETHER OR NOT BROKEN,  Other:, Other"/>
    <n v="12"/>
    <n v="1207"/>
    <x v="225"/>
    <n v="3373451"/>
    <s v="0508085586"/>
  </r>
  <r>
    <d v="2025-01-27T00:00:00"/>
    <x v="194"/>
    <n v="20081920"/>
    <s v="PUMPKIN SEED"/>
    <x v="39"/>
    <x v="110"/>
    <n v="3000"/>
    <s v="KGS"/>
    <n v="1.647753333333333"/>
    <n v="4943.26"/>
    <n v="1.65"/>
    <x v="29"/>
    <x v="22"/>
    <s v="Raxaul"/>
    <s v="Road"/>
    <n v="3000"/>
    <s v="KGS"/>
    <n v="423000"/>
    <n v="141"/>
    <s v="INR"/>
    <s v=" FRUIT, NUTS AND OTHER EDIBLE PARTS OF PLANTS, OTHERWISE PREPARED OR PRESERVED, WHETHER OR NOT CONTAINING ADDED SUGAR OR OTHER SWEETENING MATTER OR SPIRIT, NOT ELSEWHERE SPECIFIED OR INCLUDED,  including mixtures:, Other roasted nuts and seeds"/>
    <n v="20"/>
    <n v="2008"/>
    <x v="226"/>
    <n v="3247253"/>
    <s v="AHJPG9087D"/>
  </r>
  <r>
    <d v="2025-01-27T00:00:00"/>
    <x v="194"/>
    <n v="12079990"/>
    <s v="PUMPKIN SEEDS"/>
    <x v="34"/>
    <x v="111"/>
    <n v="12.5"/>
    <s v="KGS"/>
    <n v="7.4088000000000003"/>
    <n v="92.61"/>
    <n v="7.41"/>
    <x v="0"/>
    <x v="0"/>
    <s v="Tuticorin Icd"/>
    <s v="Sea"/>
    <n v="12.5"/>
    <s v="KGS"/>
    <n v="94.5"/>
    <n v="7.56"/>
    <s v="USD"/>
    <s v=" OTHER OIL SEEDS AND OLEAGINOUS FRUITS, WHETHER OR NOT BROKEN,  Other:, Other"/>
    <n v="12"/>
    <n v="1207"/>
    <x v="227"/>
    <n v="4753040"/>
    <s v="EERPS8173B"/>
  </r>
  <r>
    <d v="2025-01-30T00:00:00"/>
    <x v="195"/>
    <n v="20081920"/>
    <s v="PUMPKIN SEEDS"/>
    <x v="53"/>
    <x v="98"/>
    <n v="2500"/>
    <s v="KGS"/>
    <n v="1.4023399999999999"/>
    <n v="3505.85"/>
    <n v="1.4"/>
    <x v="37"/>
    <x v="22"/>
    <s v="Raxaul"/>
    <s v="Road"/>
    <n v="2500"/>
    <s v="KGS"/>
    <n v="300000"/>
    <n v="120"/>
    <s v="INR"/>
    <s v=" FRUIT, NUTS AND OTHER EDIBLE PARTS OF PLANTS, OTHERWISE PREPARED OR PRESERVED, WHETHER OR NOT CONTAINING ADDED SUGAR OR OTHER SWEETENING MATTER OR SPIRIT, NOT ELSEWHERE SPECIFIED OR INCLUDED,  including mixtures:, Other roasted nuts and seeds"/>
    <n v="20"/>
    <n v="2008"/>
    <x v="228"/>
    <n v="3232390"/>
    <s v="ACOPJ7414P"/>
  </r>
  <r>
    <d v="2025-01-31T00:00:00"/>
    <x v="196"/>
    <n v="20081920"/>
    <s v="PUMPKIN SEEDS"/>
    <x v="39"/>
    <x v="67"/>
    <n v="6750"/>
    <s v="KGS"/>
    <n v="1.6477511111111109"/>
    <n v="11122.32"/>
    <n v="1.65"/>
    <x v="37"/>
    <x v="22"/>
    <s v="Raxaul"/>
    <s v="Road"/>
    <n v="6750"/>
    <s v="KGS"/>
    <n v="951750"/>
    <n v="141"/>
    <s v="INR"/>
    <s v=" FRUIT, NUTS AND OTHER EDIBLE PARTS OF PLANTS, OTHERWISE PREPARED OR PRESERVED, WHETHER OR NOT CONTAINING ADDED SUGAR OR OTHER SWEETENING MATTER OR SPIRIT, NOT ELSEWHERE SPECIFIED OR INCLUDED,  including mixtures:, Other roasted nuts and seeds"/>
    <n v="20"/>
    <n v="2008"/>
    <x v="229"/>
    <n v="3225609"/>
    <s v="AHJPG9087D"/>
  </r>
  <r>
    <d v="2025-02-01T00:00:00"/>
    <x v="197"/>
    <n v="12129990"/>
    <s v="PUMPKIN SEED"/>
    <x v="79"/>
    <x v="112"/>
    <n v="60"/>
    <s v="KGS"/>
    <n v="4.8019999999999996"/>
    <n v="288.12"/>
    <n v="4.8"/>
    <x v="14"/>
    <x v="12"/>
    <s v="Tuticorin Sea"/>
    <s v="Sea"/>
    <n v="60"/>
    <s v="KGS"/>
    <n v="294"/>
    <n v="4.9000000000000004"/>
    <s v="USD"/>
    <s v=" LOCUST BEANS, SEAWEEDS AND OTHER ALGAE, SUGAR BEET AND SUGARCANE, FRESH, CHILLED, FROZEN OR DRIED, WHETHER OR NOT GROUND; FRUIT STONES AND KERNELS AND OTHER VEGETABLE PRODUCTS (INCLUDING UNROASTED CHICORY ROOTS OF THE VARIETY CICHORIUM INTYBUS SATIVUM) O"/>
    <n v="12"/>
    <n v="1212"/>
    <x v="230"/>
    <n v="5927613"/>
    <s v="AADCF8309F"/>
  </r>
  <r>
    <d v="2025-02-01T00:00:00"/>
    <x v="197"/>
    <n v="12099990"/>
    <s v="PUMPKIN SEEDS ASRT. FOOD STUFFS"/>
    <x v="30"/>
    <x v="42"/>
    <n v="100"/>
    <s v="KGS"/>
    <n v="5.6582000000000008"/>
    <n v="565.82000000000005"/>
    <n v="5.66"/>
    <x v="17"/>
    <x v="15"/>
    <s v="JNPT"/>
    <s v="Sea"/>
    <n v="100"/>
    <s v="KGS"/>
    <n v="579"/>
    <n v="5.79"/>
    <s v="USD"/>
    <s v=" SEEDS, FRUIT AND SPORES, OF A KIND USED FOR SOWING,  Other:, Other"/>
    <n v="12"/>
    <n v="1209"/>
    <x v="231"/>
    <n v="5955149"/>
    <s v="ABVFA9948B"/>
  </r>
  <r>
    <d v="2025-02-03T00:00:00"/>
    <x v="198"/>
    <n v="20081920"/>
    <s v="PUMPKIN SEEDS PACKAGING: 10X300G R  AS PER DOCUMENT "/>
    <x v="29"/>
    <x v="30"/>
    <n v="90"/>
    <s v="KGS"/>
    <n v="8.9603333333333328"/>
    <n v="806.43"/>
    <n v="8.9600000000000009"/>
    <x v="52"/>
    <x v="19"/>
    <s v="Mundra"/>
    <s v="Sea"/>
    <n v="90"/>
    <s v="KGS"/>
    <n v="844.2"/>
    <n v="9.3800000000000008"/>
    <s v="USD"/>
    <s v=" FRUIT, NUTS AND OTHER EDIBLE PARTS OF PLANTS, OTHERWISE PREPARED OR PRESERVED, WHETHER OR NOT CONTAINING ADDED SUGAR OR OTHER SWEETENING MATTER OR SPIRIT, NOT ELSEWHERE SPECIFIED OR INCLUDED,  including mixtures:, Other roasted nuts and seeds"/>
    <n v="20"/>
    <n v="2008"/>
    <x v="232"/>
    <n v="6018098"/>
    <s v="2492000940"/>
  </r>
  <r>
    <d v="2025-02-03T00:00:00"/>
    <x v="198"/>
    <n v="20081920"/>
    <s v="PUMPKIN SEEDS PACKAGING: 20X100G R  AS PER DOCUMENT "/>
    <x v="29"/>
    <x v="30"/>
    <n v="60"/>
    <s v="KGS"/>
    <n v="7.9258333333333333"/>
    <n v="475.55"/>
    <n v="7.93"/>
    <x v="52"/>
    <x v="19"/>
    <s v="Mundra"/>
    <s v="Sea"/>
    <n v="60"/>
    <s v="KGS"/>
    <n v="498"/>
    <n v="8.3000000000000007"/>
    <s v="USD"/>
    <s v=" FRUIT, NUTS AND OTHER EDIBLE PARTS OF PLANTS, OTHERWISE PREPARED OR PRESERVED, WHETHER OR NOT CONTAINING ADDED SUGAR OR OTHER SWEETENING MATTER OR SPIRIT, NOT ELSEWHERE SPECIFIED OR INCLUDED,  including mixtures:, Other roasted nuts and seeds"/>
    <n v="20"/>
    <n v="2008"/>
    <x v="233"/>
    <n v="6018129"/>
    <s v="2492000940"/>
  </r>
  <r>
    <d v="2025-02-05T00:00:00"/>
    <x v="199"/>
    <n v="20081920"/>
    <s v="PUMPKIN SEED"/>
    <x v="39"/>
    <x v="76"/>
    <n v="1000"/>
    <s v="KGS"/>
    <n v="1.64775"/>
    <n v="1647.75"/>
    <n v="1.65"/>
    <x v="37"/>
    <x v="22"/>
    <s v="Raxaul"/>
    <s v="Road"/>
    <n v="1000"/>
    <s v="KGS"/>
    <n v="141000"/>
    <n v="141"/>
    <s v="INR"/>
    <s v=" FRUIT, NUTS AND OTHER EDIBLE PARTS OF PLANTS, OTHERWISE PREPARED OR PRESERVED, WHETHER OR NOT CONTAINING ADDED SUGAR OR OTHER SWEETENING MATTER OR SPIRIT, NOT ELSEWHERE SPECIFIED OR INCLUDED,  including mixtures:, Other roasted nuts and seeds"/>
    <n v="20"/>
    <n v="2008"/>
    <x v="234"/>
    <n v="5992726"/>
    <s v="AHJPG9087D"/>
  </r>
  <r>
    <d v="2025-02-08T00:00:00"/>
    <x v="200"/>
    <n v="20081920"/>
    <s v="PUMPKIN SEEDS"/>
    <x v="80"/>
    <x v="113"/>
    <n v="100"/>
    <s v="KGS"/>
    <n v="4.3762999999999996"/>
    <n v="437.63"/>
    <n v="4.38"/>
    <x v="14"/>
    <x v="12"/>
    <s v="Tuticorin Sea"/>
    <s v="Sea"/>
    <n v="100"/>
    <s v="KGS"/>
    <n v="460"/>
    <n v="4.5999999999999996"/>
    <s v="USD"/>
    <s v=" FRUIT, NUTS AND OTHER EDIBLE PARTS OF PLANTS, OTHERWISE PREPARED OR PRESERVED, WHETHER OR NOT CONTAINING ADDED SUGAR OR OTHER SWEETENING MATTER OR SPIRIT, NOT ELSEWHERE SPECIFIED OR INCLUDED,  including mixtures:, Other roasted nuts and seeds"/>
    <n v="20"/>
    <n v="2008"/>
    <x v="235"/>
    <n v="5912866"/>
    <s v="FPAPM2103E"/>
  </r>
  <r>
    <d v="2025-02-09T00:00:00"/>
    <x v="201"/>
    <n v="20081920"/>
    <s v="PUMPKIN SEED"/>
    <x v="39"/>
    <x v="114"/>
    <n v="1250"/>
    <s v="KGS"/>
    <n v="1.623048"/>
    <n v="2028.81"/>
    <n v="1.62"/>
    <x v="30"/>
    <x v="22"/>
    <s v="Berhni"/>
    <s v="Road"/>
    <n v="1250"/>
    <s v="KGS"/>
    <n v="2037.5"/>
    <n v="1.63"/>
    <s v="USD"/>
    <s v=" FRUIT, NUTS AND OTHER EDIBLE PARTS OF PLANTS, OTHERWISE PREPARED OR PRESERVED, WHETHER OR NOT CONTAINING ADDED SUGAR OR OTHER SWEETENING MATTER OR SPIRIT, NOT ELSEWHERE SPECIFIED OR INCLUDED,  including mixtures:, Other roasted nuts and seeds"/>
    <n v="20"/>
    <n v="2008"/>
    <x v="236"/>
    <n v="9110894"/>
    <s v="AHJPG9087D"/>
  </r>
  <r>
    <d v="2025-02-09T00:00:00"/>
    <x v="201"/>
    <n v="20081920"/>
    <s v="PUMPKIN SEED"/>
    <x v="39"/>
    <x v="114"/>
    <n v="1250"/>
    <s v="KGS"/>
    <n v="1.623048"/>
    <n v="2028.81"/>
    <n v="1.62"/>
    <x v="30"/>
    <x v="22"/>
    <s v="Berhni"/>
    <s v="Road"/>
    <n v="1250"/>
    <s v="KGS"/>
    <n v="176250"/>
    <n v="141"/>
    <s v="INR"/>
    <s v=" FRUIT, NUTS AND OTHER EDIBLE PARTS OF PLANTS, OTHERWISE PREPARED OR PRESERVED, WHETHER OR NOT CONTAINING ADDED SUGAR OR OTHER SWEETENING MATTER OR SPIRIT, NOT ELSEWHERE SPECIFIED OR INCLUDED,  including mixtures:, Other roasted nuts and seeds"/>
    <n v="20"/>
    <n v="2008"/>
    <x v="237"/>
    <n v="9701656"/>
    <s v="AHJPG9087D"/>
  </r>
  <r>
    <d v="2025-02-10T00:00:00"/>
    <x v="202"/>
    <n v="20081920"/>
    <s v="DRIED PUMPKIN SEEDS PKD IN 12.5 KGS PP COVER X 2 PKD IN CTN BOXES"/>
    <x v="1"/>
    <x v="1"/>
    <n v="1000"/>
    <s v="KGS"/>
    <n v="2.0439400000000001"/>
    <n v="2043.94"/>
    <n v="2043.94"/>
    <x v="1"/>
    <x v="1"/>
    <s v="Kattupalli"/>
    <s v="Sea"/>
    <n v="1"/>
    <s v="MTS"/>
    <n v="2100"/>
    <n v="2100"/>
    <s v="USD"/>
    <s v=" FRUIT, NUTS AND OTHER EDIBLE PARTS OF PLANTS, OTHERWISE PREPARED OR PRESERVED, WHETHER OR NOT CONTAINING ADDED SUGAR OR OTHER SWEETENING MATTER OR SPIRIT, NOT ELSEWHERE SPECIFIED OR INCLUDED,  including mixtures:, Other roasted nuts and seeds"/>
    <n v="20"/>
    <n v="2008"/>
    <x v="238"/>
    <n v="6189454"/>
    <s v="AAPFG4059E"/>
  </r>
  <r>
    <d v="2025-02-11T00:00:00"/>
    <x v="203"/>
    <n v="20081920"/>
    <s v="PUMPKIN SEEDS 60 CTN PKGN: CTN BAGS OF 25 KGS"/>
    <x v="81"/>
    <x v="115"/>
    <n v="1500"/>
    <s v="KGS"/>
    <n v="2.2621933333333328"/>
    <n v="3393.29"/>
    <n v="2262.19"/>
    <x v="53"/>
    <x v="5"/>
    <s v="JNPT"/>
    <s v="Sea"/>
    <n v="1.5"/>
    <s v="MTS"/>
    <n v="3697.5"/>
    <n v="2465"/>
    <s v="USD"/>
    <s v=" FRUIT, NUTS AND OTHER EDIBLE PARTS OF PLANTS, OTHERWISE PREPARED OR PRESERVED, WHETHER OR NOT CONTAINING ADDED SUGAR OR OTHER SWEETENING MATTER OR SPIRIT, NOT ELSEWHERE SPECIFIED OR INCLUDED,  including mixtures:, Other roasted nuts and seeds"/>
    <n v="20"/>
    <n v="2008"/>
    <x v="239"/>
    <n v="8004808"/>
    <s v="0306022354"/>
  </r>
  <r>
    <d v="2025-02-13T00:00:00"/>
    <x v="204"/>
    <n v="12079990"/>
    <s v="PUMPKIN SEEDS"/>
    <x v="34"/>
    <x v="33"/>
    <n v="25"/>
    <s v="KGS"/>
    <n v="9.0128000000000004"/>
    <n v="225.32"/>
    <n v="9.01"/>
    <x v="15"/>
    <x v="13"/>
    <s v="Tuticorin Sea"/>
    <s v="Sea"/>
    <n v="25"/>
    <s v="KGS"/>
    <n v="230"/>
    <n v="9.1999999999999993"/>
    <s v="USD"/>
    <s v=" OTHER OIL SEEDS AND OLEAGINOUS FRUITS, WHETHER OR NOT BROKEN,  Other:, Other"/>
    <n v="12"/>
    <n v="1207"/>
    <x v="240"/>
    <n v="7280459"/>
    <s v="EERPS8173B"/>
  </r>
  <r>
    <d v="2025-02-15T00:00:00"/>
    <x v="205"/>
    <n v="20081920"/>
    <s v="PUMPKIN HEALTHY SEEDS 250G X 12 PCS"/>
    <x v="74"/>
    <x v="6"/>
    <n v="9"/>
    <s v="KGS"/>
    <n v="22.921111111111109"/>
    <n v="206.29"/>
    <n v="22.92"/>
    <x v="49"/>
    <x v="14"/>
    <s v="Pali Icd"/>
    <s v="Sea"/>
    <n v="9"/>
    <s v="KGS"/>
    <n v="211.23"/>
    <n v="23.47"/>
    <s v="USD"/>
    <s v=" FRUIT, NUTS AND OTHER EDIBLE PARTS OF PLANTS, OTHERWISE PREPARED OR PRESERVED, WHETHER OR NOT CONTAINING ADDED SUGAR OR OTHER SWEETENING MATTER OR SPIRIT, NOT ELSEWHERE SPECIFIED OR INCLUDED,  including mixtures:, Other roasted nuts and seeds"/>
    <n v="20"/>
    <n v="2008"/>
    <x v="241"/>
    <n v="9365509"/>
    <s v="0514055375"/>
  </r>
  <r>
    <d v="2025-02-18T00:00:00"/>
    <x v="206"/>
    <n v="20081920"/>
    <s v="PUMPKIN SEED"/>
    <x v="39"/>
    <x v="94"/>
    <n v="1500"/>
    <s v="KGS"/>
    <n v="1.623046666666667"/>
    <n v="2434.5700000000002"/>
    <n v="1.62"/>
    <x v="37"/>
    <x v="22"/>
    <s v="Raxaul"/>
    <s v="Road"/>
    <n v="1500"/>
    <s v="KGS"/>
    <n v="211500"/>
    <n v="141"/>
    <s v="INR"/>
    <s v=" FRUIT, NUTS AND OTHER EDIBLE PARTS OF PLANTS, OTHERWISE PREPARED OR PRESERVED, WHETHER OR NOT CONTAINING ADDED SUGAR OR OTHER SWEETENING MATTER OR SPIRIT, NOT ELSEWHERE SPECIFIED OR INCLUDED,  including mixtures:, Other roasted nuts and seeds"/>
    <n v="20"/>
    <n v="2008"/>
    <x v="242"/>
    <n v="7979134"/>
    <s v="AHJPG9087D"/>
  </r>
  <r>
    <d v="2025-02-18T00:00:00"/>
    <x v="206"/>
    <n v="20081990"/>
    <s v="PUMPKIN SEEDS"/>
    <x v="82"/>
    <x v="6"/>
    <n v="1500"/>
    <s v="KGS"/>
    <n v="3.4158666666666671"/>
    <n v="5123.8"/>
    <n v="3.42"/>
    <x v="54"/>
    <x v="32"/>
    <s v="JNPT"/>
    <s v="Sea"/>
    <n v="1500"/>
    <s v="KGS"/>
    <n v="5235"/>
    <n v="3.49"/>
    <s v="USD"/>
    <s v=" FRUIT, NUTS AND OTHER EDIBLE PARTS OF PLANTS, OTHERWISE PREPARED OR PRESERVED, WHETHER OR NOT CONTAINING ADDED SUGAR OR OTHER SWEETENING MATTER OR SPIRIT, NOT ELSEWHERE SPECIFIED OR INCLUDED,  Other, including mixtures:, Other"/>
    <n v="20"/>
    <n v="2008"/>
    <x v="243"/>
    <n v="6990471"/>
    <s v="0314090282"/>
  </r>
  <r>
    <d v="2025-02-18T00:00:00"/>
    <x v="206"/>
    <n v="20081920"/>
    <s v="PUMPKIN SEEDS"/>
    <x v="39"/>
    <x v="93"/>
    <n v="1500"/>
    <s v="KGS"/>
    <n v="1.623046666666667"/>
    <n v="2434.5700000000002"/>
    <n v="1.62"/>
    <x v="37"/>
    <x v="22"/>
    <s v="Raxaul"/>
    <s v="Road"/>
    <n v="1500"/>
    <s v="KGS"/>
    <n v="211500"/>
    <n v="141"/>
    <s v="INR"/>
    <s v=" FRUIT, NUTS AND OTHER EDIBLE PARTS OF PLANTS, OTHERWISE PREPARED OR PRESERVED, WHETHER OR NOT CONTAINING ADDED SUGAR OR OTHER SWEETENING MATTER OR SPIRIT, NOT ELSEWHERE SPECIFIED OR INCLUDED,  including mixtures:, Other roasted nuts and seeds"/>
    <n v="20"/>
    <n v="2008"/>
    <x v="244"/>
    <n v="7900469"/>
    <s v="AHJPG9087D"/>
  </r>
  <r>
    <d v="2025-02-19T00:00:00"/>
    <x v="207"/>
    <n v="20081920"/>
    <s v="PUMPKIN SEED"/>
    <x v="39"/>
    <x v="116"/>
    <n v="500"/>
    <s v="KGS"/>
    <n v="1.59378"/>
    <n v="796.89"/>
    <n v="1.59"/>
    <x v="29"/>
    <x v="22"/>
    <s v="Raxaul"/>
    <s v="Road"/>
    <n v="500"/>
    <s v="KGS"/>
    <n v="70500"/>
    <n v="141"/>
    <s v="INR"/>
    <s v=" FRUIT, NUTS AND OTHER EDIBLE PARTS OF PLANTS, OTHERWISE PREPARED OR PRESERVED, WHETHER OR NOT CONTAINING ADDED SUGAR OR OTHER SWEETENING MATTER OR SPIRIT, NOT ELSEWHERE SPECIFIED OR INCLUDED,  including mixtures:, Other roasted nuts and seeds"/>
    <n v="20"/>
    <n v="2008"/>
    <x v="245"/>
    <n v="7275410"/>
    <s v="AHJPG9087D"/>
  </r>
  <r>
    <d v="2025-02-19T00:00:00"/>
    <x v="207"/>
    <n v="20081990"/>
    <s v="PUMPKIN SEED KERNELS"/>
    <x v="83"/>
    <x v="99"/>
    <n v="2000"/>
    <s v="KGS"/>
    <n v="1.3813150000000001"/>
    <n v="2762.63"/>
    <n v="1.38"/>
    <x v="37"/>
    <x v="22"/>
    <s v="Raxaul"/>
    <s v="Road"/>
    <n v="2000"/>
    <s v="KGS"/>
    <n v="240000"/>
    <n v="120"/>
    <s v="INR"/>
    <s v=" FRUIT, NUTS AND OTHER EDIBLE PARTS OF PLANTS, OTHERWISE PREPARED OR PRESERVED, WHETHER OR NOT CONTAINING ADDED SUGAR OR OTHER SWEETENING MATTER OR SPIRIT, NOT ELSEWHERE SPECIFIED OR INCLUDED,  Other, including mixtures:, Other"/>
    <n v="20"/>
    <n v="2008"/>
    <x v="246"/>
    <n v="7454246"/>
    <s v="0509008615"/>
  </r>
  <r>
    <d v="2025-02-22T00:00:00"/>
    <x v="208"/>
    <n v="12129990"/>
    <s v="JOSH PUMPKIN SEEDS"/>
    <x v="2"/>
    <x v="5"/>
    <n v="198"/>
    <s v="KGS"/>
    <n v="4.5070202020202021"/>
    <n v="892.39"/>
    <n v="4.51"/>
    <x v="5"/>
    <x v="2"/>
    <s v="JNPT"/>
    <s v="Sea"/>
    <n v="198"/>
    <s v="KGS"/>
    <n v="772.2"/>
    <n v="3.9"/>
    <s v="GBP"/>
    <s v=" LOCUST BEANS, SEAWEEDS AND OTHER ALGAE, SUGAR BEET AND SUGARCANE, FRESH, CHILLED, FROZEN OR DRIED, WHETHER OR NOT GROUND; FRUIT STONES AND KERNELS AND OTHER VEGETABLE PRODUCTS (INCLUDING UNROASTED CHICORY ROOTS OF THE VARIETY CICHORIUM INTYBUS SATIVUM) O"/>
    <n v="12"/>
    <n v="1212"/>
    <x v="247"/>
    <n v="7509727"/>
    <s v="0302048987"/>
  </r>
  <r>
    <d v="2025-02-22T00:00:00"/>
    <x v="208"/>
    <n v="20081920"/>
    <s v="PUMPKIN SEEDS"/>
    <x v="55"/>
    <x v="29"/>
    <n v="1000"/>
    <s v="KGS"/>
    <n v="1.1245799999999999"/>
    <n v="1124.58"/>
    <n v="1.1200000000000001"/>
    <x v="1"/>
    <x v="1"/>
    <s v="Ahmedabad Icd"/>
    <s v="Sea"/>
    <n v="1000"/>
    <s v="KGS"/>
    <n v="1160"/>
    <n v="1.1599999999999999"/>
    <s v="USD"/>
    <s v=" FRUIT, NUTS AND OTHER EDIBLE PARTS OF PLANTS, OTHERWISE PREPARED OR PRESERVED, WHETHER OR NOT CONTAINING ADDED SUGAR OR OTHER SWEETENING MATTER OR SPIRIT, NOT ELSEWHERE SPECIFIED OR INCLUDED,  including mixtures:, Other roasted nuts and seeds"/>
    <n v="20"/>
    <n v="2008"/>
    <x v="248"/>
    <n v="7045257"/>
    <s v="ATCPV2462Q"/>
  </r>
  <r>
    <d v="2025-02-23T00:00:00"/>
    <x v="209"/>
    <n v="20081920"/>
    <s v="PUMPKIN SEED"/>
    <x v="39"/>
    <x v="117"/>
    <n v="500"/>
    <s v="KGS"/>
    <n v="1.6057999999999999"/>
    <n v="802.9"/>
    <n v="1.61"/>
    <x v="29"/>
    <x v="22"/>
    <s v="Raxaul"/>
    <s v="Road"/>
    <n v="500"/>
    <s v="KGS"/>
    <n v="70500"/>
    <n v="141"/>
    <s v="INR"/>
    <s v=" FRUIT, NUTS AND OTHER EDIBLE PARTS OF PLANTS, OTHERWISE PREPARED OR PRESERVED, WHETHER OR NOT CONTAINING ADDED SUGAR OR OTHER SWEETENING MATTER OR SPIRIT, NOT ELSEWHERE SPECIFIED OR INCLUDED,  including mixtures:, Other roasted nuts and seeds"/>
    <n v="20"/>
    <n v="2008"/>
    <x v="249"/>
    <n v="6700681"/>
    <s v="AHJPG9087D"/>
  </r>
  <r>
    <d v="2025-02-25T00:00:00"/>
    <x v="210"/>
    <n v="20081990"/>
    <s v="PUMPKIN SEED 8 CTN 25 KGS / CTN"/>
    <x v="12"/>
    <x v="6"/>
    <n v="200"/>
    <s v="KGS"/>
    <n v="3.9426000000000001"/>
    <n v="788.52"/>
    <n v="3.94"/>
    <x v="11"/>
    <x v="10"/>
    <s v="JNPT"/>
    <s v="Sea"/>
    <n v="200"/>
    <s v="KGS"/>
    <n v="804"/>
    <n v="4.0199999999999996"/>
    <s v="USD"/>
    <s v=" FRUIT, NUTS AND OTHER EDIBLE PARTS OF PLANTS, OTHERWISE PREPARED OR PRESERVED, WHETHER OR NOT CONTAINING ADDED SUGAR OR OTHER SWEETENING MATTER OR SPIRIT, NOT ELSEWHERE SPECIFIED OR INCLUDED,  Other, including mixtures:, Other"/>
    <n v="20"/>
    <n v="2008"/>
    <x v="250"/>
    <n v="8220379"/>
    <s v="0388039329"/>
  </r>
  <r>
    <d v="2025-02-25T00:00:00"/>
    <x v="210"/>
    <n v="20081990"/>
    <s v="PUMPKIN SEED 8 CTN 25 KGS / CTN"/>
    <x v="12"/>
    <x v="6"/>
    <n v="200"/>
    <s v="KGS"/>
    <n v="3.9426000000000001"/>
    <n v="788.52"/>
    <n v="3.94"/>
    <x v="11"/>
    <x v="10"/>
    <s v="JNPT"/>
    <s v="Sea"/>
    <n v="200"/>
    <s v="KGS"/>
    <n v="840"/>
    <n v="4.2"/>
    <s v="USD"/>
    <s v=" FRUIT, NUTS AND OTHER EDIBLE PARTS OF PLANTS, OTHERWISE PREPARED OR PRESERVED, WHETHER OR NOT CONTAINING ADDED SUGAR OR OTHER SWEETENING MATTER OR SPIRIT, NOT ELSEWHERE SPECIFIED OR INCLUDED,  Other, including mixtures:, Other"/>
    <n v="20"/>
    <n v="2008"/>
    <x v="251"/>
    <n v="8475658"/>
    <s v="0388039329"/>
  </r>
  <r>
    <d v="2025-02-27T00:00:00"/>
    <x v="211"/>
    <n v="20081990"/>
    <s v="PUMPKIN SEEDS"/>
    <x v="39"/>
    <x v="94"/>
    <n v="2500"/>
    <s v="KGS"/>
    <n v="1.6353040000000001"/>
    <n v="4088.26"/>
    <n v="1.64"/>
    <x v="37"/>
    <x v="22"/>
    <s v="Raxaul"/>
    <s v="Road"/>
    <n v="2500"/>
    <s v="KGS"/>
    <n v="352500"/>
    <n v="141"/>
    <s v="INR"/>
    <s v=" FRUIT, NUTS AND OTHER EDIBLE PARTS OF PLANTS, OTHERWISE PREPARED OR PRESERVED, WHETHER OR NOT CONTAINING ADDED SUGAR OR OTHER SWEETENING MATTER OR SPIRIT, NOT ELSEWHERE SPECIFIED OR INCLUDED,  Other, including mixtures:, Other"/>
    <n v="20"/>
    <n v="2008"/>
    <x v="252"/>
    <n v="8871611"/>
    <s v="AHJPG9087D"/>
  </r>
  <r>
    <d v="2025-02-27T00:00:00"/>
    <x v="211"/>
    <n v="20081920"/>
    <s v="PUMPKIN SEED"/>
    <x v="39"/>
    <x v="107"/>
    <n v="1500"/>
    <s v="KGS"/>
    <n v="1.6353066666666669"/>
    <n v="2452.96"/>
    <n v="1.64"/>
    <x v="37"/>
    <x v="22"/>
    <s v="Raxaul"/>
    <s v="Road"/>
    <n v="1500"/>
    <s v="KGS"/>
    <n v="211500"/>
    <n v="141"/>
    <s v="INR"/>
    <s v=" FRUIT, NUTS AND OTHER EDIBLE PARTS OF PLANTS, OTHERWISE PREPARED OR PRESERVED, WHETHER OR NOT CONTAINING ADDED SUGAR OR OTHER SWEETENING MATTER OR SPIRIT, NOT ELSEWHERE SPECIFIED OR INCLUDED,  including mixtures:, Other roasted nuts and seeds"/>
    <n v="20"/>
    <n v="2008"/>
    <x v="253"/>
    <n v="8656495"/>
    <s v="AHJPG9087D"/>
  </r>
  <r>
    <d v="2025-03-01T00:00:00"/>
    <x v="212"/>
    <n v="12019000"/>
    <s v="Pumpkin Seeds Dark green 100g"/>
    <x v="84"/>
    <x v="118"/>
    <n v="30"/>
    <s v="KGS"/>
    <n v="7.5006666666666666"/>
    <n v="225.02"/>
    <n v="7.5"/>
    <x v="55"/>
    <x v="17"/>
    <s v="Bangalore Icd"/>
    <s v="Sea"/>
    <n v="30"/>
    <s v="KGS"/>
    <n v="378"/>
    <n v="12.6"/>
    <s v="AUD"/>
    <s v=" SOYA BEANS, WHETHER OR NOT BROKEN, Other"/>
    <n v="12"/>
    <n v="1201"/>
    <x v="254"/>
    <n v="10049293"/>
    <s v="AADCU4537C"/>
  </r>
  <r>
    <d v="2025-03-01T00:00:00"/>
    <x v="212"/>
    <n v="20081920"/>
    <s v="PUMPKIN SEED"/>
    <x v="85"/>
    <x v="119"/>
    <n v="1000"/>
    <s v="KGS"/>
    <n v="1.63531"/>
    <n v="1635.31"/>
    <n v="1.64"/>
    <x v="29"/>
    <x v="22"/>
    <s v="Raxaul"/>
    <s v="Road"/>
    <n v="1000"/>
    <s v="KGS"/>
    <n v="141000"/>
    <n v="141"/>
    <s v="INR"/>
    <s v=" FRUIT, NUTS AND OTHER EDIBLE PARTS OF PLANTS, OTHERWISE PREPARED OR PRESERVED, WHETHER OR NOT CONTAINING ADDED SUGAR OR OTHER SWEETENING MATTER OR SPIRIT, NOT ELSEWHERE SPECIFIED OR INCLUDED,  including mixtures:, Other roasted nuts and seeds"/>
    <n v="20"/>
    <n v="2008"/>
    <x v="255"/>
    <n v="11299812"/>
    <s v="1112001620"/>
  </r>
  <r>
    <d v="2025-03-01T00:00:00"/>
    <x v="212"/>
    <n v="12019000"/>
    <s v="Pumpkin Seeds Dark green 100g"/>
    <x v="84"/>
    <x v="118"/>
    <n v="30"/>
    <s v="KGS"/>
    <n v="7.5006666666666666"/>
    <n v="225.02"/>
    <n v="7.5"/>
    <x v="55"/>
    <x v="17"/>
    <s v="Bangalore Icd"/>
    <s v="Sea"/>
    <n v="30"/>
    <s v="KGS"/>
    <n v="229.5"/>
    <n v="7.65"/>
    <s v="USD"/>
    <s v=" SOYA BEANS, WHETHER OR NOT BROKEN, Other"/>
    <n v="12"/>
    <n v="1201"/>
    <x v="256"/>
    <n v="10653434"/>
    <s v="AADCU4537C"/>
  </r>
  <r>
    <d v="2025-03-01T00:00:00"/>
    <x v="212"/>
    <n v="20081920"/>
    <s v="PUMPKIN SEEDS"/>
    <x v="85"/>
    <x v="76"/>
    <n v="1000"/>
    <s v="KGS"/>
    <n v="1.63531"/>
    <n v="1635.31"/>
    <n v="1.64"/>
    <x v="29"/>
    <x v="22"/>
    <s v="Raxaul"/>
    <s v="Road"/>
    <n v="1000"/>
    <s v="KGS"/>
    <n v="141000"/>
    <n v="141"/>
    <s v="INR"/>
    <s v=" FRUIT, NUTS AND OTHER EDIBLE PARTS OF PLANTS, OTHERWISE PREPARED OR PRESERVED, WHETHER OR NOT CONTAINING ADDED SUGAR OR OTHER SWEETENING MATTER OR SPIRIT, NOT ELSEWHERE SPECIFIED OR INCLUDED,  including mixtures:, Other roasted nuts and seeds"/>
    <n v="20"/>
    <n v="2008"/>
    <x v="257"/>
    <n v="11100462"/>
    <s v="1112001620"/>
  </r>
  <r>
    <d v="2025-03-02T00:00:00"/>
    <x v="213"/>
    <n v="7099310"/>
    <s v="PUMPKIN SEED"/>
    <x v="85"/>
    <x v="120"/>
    <n v="1200"/>
    <s v="KGS"/>
    <n v="3.6533416666666669"/>
    <n v="4384.01"/>
    <n v="3.65"/>
    <x v="37"/>
    <x v="22"/>
    <s v="Raxaul"/>
    <s v="Road"/>
    <n v="1200"/>
    <s v="KGS"/>
    <n v="378000"/>
    <n v="315"/>
    <s v="INR"/>
    <s v=" OTHER VEGETABLES, FRESH OR CHILLED,  Pumpkins, squash and gourds (Cucurbita spp.):, Pumpkins"/>
    <n v="7"/>
    <n v="709"/>
    <x v="258"/>
    <n v="10973385"/>
    <s v="1112001620"/>
  </r>
  <r>
    <d v="2025-03-04T00:00:00"/>
    <x v="214"/>
    <n v="20081920"/>
    <s v="PUMPKIN SEED"/>
    <x v="83"/>
    <x v="121"/>
    <n v="2000"/>
    <s v="KGS"/>
    <n v="1.635305"/>
    <n v="3270.61"/>
    <n v="1.64"/>
    <x v="37"/>
    <x v="22"/>
    <s v="Raxaul"/>
    <s v="Road"/>
    <n v="2000"/>
    <s v="KGS"/>
    <n v="282000"/>
    <n v="141"/>
    <s v="INR"/>
    <s v=" FRUIT, NUTS AND OTHER EDIBLE PARTS OF PLANTS, OTHERWISE PREPARED OR PRESERVED, WHETHER OR NOT CONTAINING ADDED SUGAR OR OTHER SWEETENING MATTER OR SPIRIT, NOT ELSEWHERE SPECIFIED OR INCLUDED,  including mixtures:, Other roasted nuts and seeds"/>
    <n v="20"/>
    <n v="2008"/>
    <x v="259"/>
    <n v="10044267"/>
    <s v="0509008615"/>
  </r>
  <r>
    <d v="2025-03-04T00:00:00"/>
    <x v="214"/>
    <n v="20081990"/>
    <s v="PUMPKIN SEED - 100G."/>
    <x v="43"/>
    <x v="47"/>
    <n v="150"/>
    <s v="KGS"/>
    <n v="6.2477999999999998"/>
    <n v="937.17"/>
    <n v="6.25"/>
    <x v="56"/>
    <x v="24"/>
    <s v="Madras Sea"/>
    <s v="Sea"/>
    <n v="150"/>
    <s v="KGS"/>
    <n v="957"/>
    <n v="6.38"/>
    <s v="USD"/>
    <s v=" FRUIT, NUTS AND OTHER EDIBLE PARTS OF PLANTS, OTHERWISE PREPARED OR PRESERVED, WHETHER OR NOT CONTAINING ADDED SUGAR OR OTHER SWEETENING MATTER OR SPIRIT, NOT ELSEWHERE SPECIFIED OR INCLUDED,  Other, including mixtures:, Other"/>
    <n v="20"/>
    <n v="2008"/>
    <x v="260"/>
    <n v="11286198"/>
    <s v="0414038959"/>
  </r>
  <r>
    <d v="2025-03-04T00:00:00"/>
    <x v="214"/>
    <n v="20081990"/>
    <s v="PUMPKIN SEEDS"/>
    <x v="57"/>
    <x v="66"/>
    <n v="200"/>
    <s v="KGS"/>
    <n v="1.7082999999999999"/>
    <n v="341.66"/>
    <n v="1.71"/>
    <x v="29"/>
    <x v="22"/>
    <s v="Raxaul"/>
    <s v="Road"/>
    <n v="200"/>
    <s v="KGS"/>
    <n v="30000"/>
    <n v="150"/>
    <s v="INR"/>
    <s v=" FRUIT, NUTS AND OTHER EDIBLE PARTS OF PLANTS, OTHERWISE PREPARED OR PRESERVED, WHETHER OR NOT CONTAINING ADDED SUGAR OR OTHER SWEETENING MATTER OR SPIRIT, NOT ELSEWHERE SPECIFIED OR INCLUDED,  Other, including mixtures:, Other"/>
    <n v="20"/>
    <n v="2008"/>
    <x v="261"/>
    <n v="10387617"/>
    <s v="AAYPL3187H"/>
  </r>
  <r>
    <d v="2025-03-05T00:00:00"/>
    <x v="215"/>
    <n v="20081920"/>
    <s v="PUMPKIN SEEDS"/>
    <x v="69"/>
    <x v="89"/>
    <n v="1000"/>
    <s v="KGS"/>
    <n v="1.73969"/>
    <n v="1739.69"/>
    <n v="1.74"/>
    <x v="29"/>
    <x v="22"/>
    <s v="Raxaul"/>
    <s v="Road"/>
    <n v="1000"/>
    <s v="KGS"/>
    <n v="150000"/>
    <n v="150"/>
    <s v="INR"/>
    <s v=" FRUIT, NUTS AND OTHER EDIBLE PARTS OF PLANTS, OTHERWISE PREPARED OR PRESERVED, WHETHER OR NOT CONTAINING ADDED SUGAR OR OTHER SWEETENING MATTER OR SPIRIT, NOT ELSEWHERE SPECIFIED OR INCLUDED,  including mixtures:, Other roasted nuts and seeds"/>
    <n v="20"/>
    <n v="2008"/>
    <x v="262"/>
    <n v="11343448"/>
    <s v="2116904102"/>
  </r>
  <r>
    <d v="2025-03-05T00:00:00"/>
    <x v="215"/>
    <n v="20081990"/>
    <s v="PUMPKIN SEEDS 500G TIRYANC JAR OTHERDETAILS AS PER INV. AND PACKING LIST"/>
    <x v="86"/>
    <x v="122"/>
    <n v="100"/>
    <s v="KGS"/>
    <n v="8.9375999999999998"/>
    <n v="893.76"/>
    <n v="8.94"/>
    <x v="8"/>
    <x v="7"/>
    <s v="Barhi Icd"/>
    <s v="Sea"/>
    <n v="100"/>
    <s v="KGS"/>
    <n v="912"/>
    <n v="9.1199999999999992"/>
    <s v="USD"/>
    <s v=" FRUIT, NUTS AND OTHER EDIBLE PARTS OF PLANTS, OTHERWISE PREPARED OR PRESERVED, WHETHER OR NOT CONTAINING ADDED SUGAR OR OTHER SWEETENING MATTER OR SPIRIT, NOT ELSEWHERE SPECIFIED OR INCLUDED,  Other, including mixtures:, Other"/>
    <n v="20"/>
    <n v="2008"/>
    <x v="263"/>
    <n v="15137704"/>
    <s v="AJKPB0411D"/>
  </r>
  <r>
    <d v="2025-03-05T00:00:00"/>
    <x v="215"/>
    <n v="20081920"/>
    <s v="PUMPKIN SEED"/>
    <x v="83"/>
    <x v="99"/>
    <n v="3000"/>
    <s v="KGS"/>
    <n v="1.39175"/>
    <n v="4175.25"/>
    <n v="1.39"/>
    <x v="37"/>
    <x v="22"/>
    <s v="Raxaul"/>
    <s v="Road"/>
    <n v="3000"/>
    <s v="KGS"/>
    <n v="360000"/>
    <n v="120"/>
    <s v="INR"/>
    <s v=" FRUIT, NUTS AND OTHER EDIBLE PARTS OF PLANTS, OTHERWISE PREPARED OR PRESERVED, WHETHER OR NOT CONTAINING ADDED SUGAR OR OTHER SWEETENING MATTER OR SPIRIT, NOT ELSEWHERE SPECIFIED OR INCLUDED,  including mixtures:, Other roasted nuts and seeds"/>
    <n v="20"/>
    <n v="2008"/>
    <x v="264"/>
    <n v="10068448"/>
    <s v="0509008615"/>
  </r>
  <r>
    <d v="2025-03-06T00:00:00"/>
    <x v="216"/>
    <n v="20089999"/>
    <s v="PUMPKIN SEEDS"/>
    <x v="37"/>
    <x v="123"/>
    <n v="105"/>
    <s v="KGS"/>
    <n v="7.6403809523809523"/>
    <n v="802.24"/>
    <n v="7.64"/>
    <x v="8"/>
    <x v="7"/>
    <s v="Jaipur Icdkanakpura"/>
    <s v="Sea"/>
    <n v="105"/>
    <s v="KGS"/>
    <n v="892.5"/>
    <n v="8.5"/>
    <s v="USD"/>
    <s v=" FRUIT, NUTS AND OTHER EDIBLE PARTS OF PLANTS, OTHERWISE PREPARED OR PRESERVED, WHETHER OR NOT CONTAINING ADDED SUGAR OR OTHER SWEETENING MATTER OR SPIRIT, NOT ELSEWHERE SPECIFIED OR INCLUDED,  Other:, Other"/>
    <n v="20"/>
    <n v="2008"/>
    <x v="265"/>
    <n v="15601179"/>
    <s v="AAICD8583A"/>
  </r>
  <r>
    <d v="2025-03-06T00:00:00"/>
    <x v="216"/>
    <n v="20081990"/>
    <s v="PUMPKIN SEED"/>
    <x v="79"/>
    <x v="112"/>
    <n v="100"/>
    <s v="KGS"/>
    <n v="4.8451000000000004"/>
    <n v="484.51"/>
    <n v="4.8499999999999996"/>
    <x v="14"/>
    <x v="12"/>
    <s v="Tuticorin Sea"/>
    <s v="Sea"/>
    <n v="100"/>
    <s v="KGS"/>
    <n v="525"/>
    <n v="5.25"/>
    <s v="USD"/>
    <s v=" FRUIT, NUTS AND OTHER EDIBLE PARTS OF PLANTS, OTHERWISE PREPARED OR PRESERVED, WHETHER OR NOT CONTAINING ADDED SUGAR OR OTHER SWEETENING MATTER OR SPIRIT, NOT ELSEWHERE SPECIFIED OR INCLUDED,  Other, including mixtures:, Other"/>
    <n v="20"/>
    <n v="2008"/>
    <x v="266"/>
    <n v="11150469"/>
    <s v="AADCF8309F"/>
  </r>
  <r>
    <d v="2025-03-06T00:00:00"/>
    <x v="216"/>
    <n v="20081990"/>
    <s v="PUMPKIN SEED - 100G."/>
    <x v="43"/>
    <x v="47"/>
    <n v="150"/>
    <s v="KGS"/>
    <n v="6.2477999999999998"/>
    <n v="937.17"/>
    <n v="6.25"/>
    <x v="56"/>
    <x v="24"/>
    <s v="Madras Sea"/>
    <s v="Sea"/>
    <n v="150"/>
    <s v="KGS"/>
    <n v="1011"/>
    <n v="6.74"/>
    <s v="USD"/>
    <s v=" FRUIT, NUTS AND OTHER EDIBLE PARTS OF PLANTS, OTHERWISE PREPARED OR PRESERVED, WHETHER OR NOT CONTAINING ADDED SUGAR OR OTHER SWEETENING MATTER OR SPIRIT, NOT ELSEWHERE SPECIFIED OR INCLUDED,  Other, including mixtures:, Other"/>
    <n v="20"/>
    <n v="2008"/>
    <x v="267"/>
    <n v="9996569"/>
    <s v="0414038959"/>
  </r>
  <r>
    <d v="2025-03-07T00:00:00"/>
    <x v="217"/>
    <n v="20081920"/>
    <s v="PUMPKIN SEED"/>
    <x v="39"/>
    <x v="83"/>
    <n v="2175"/>
    <s v="KGS"/>
    <n v="1.6343540229885061"/>
    <n v="3554.72"/>
    <n v="1.63"/>
    <x v="37"/>
    <x v="22"/>
    <s v="Raxaul"/>
    <s v="Road"/>
    <n v="2175"/>
    <s v="KGS"/>
    <n v="306675"/>
    <n v="141"/>
    <s v="INR"/>
    <s v=" FRUIT, NUTS AND OTHER EDIBLE PARTS OF PLANTS, OTHERWISE PREPARED OR PRESERVED, WHETHER OR NOT CONTAINING ADDED SUGAR OR OTHER SWEETENING MATTER OR SPIRIT, NOT ELSEWHERE SPECIFIED OR INCLUDED,  including mixtures:, Other roasted nuts and seeds"/>
    <n v="20"/>
    <n v="2008"/>
    <x v="268"/>
    <n v="11078838"/>
    <s v="AHJPG9087D"/>
  </r>
  <r>
    <d v="2025-03-07T00:00:00"/>
    <x v="217"/>
    <n v="20081920"/>
    <s v="PUMPKIN SEED"/>
    <x v="39"/>
    <x v="41"/>
    <n v="750"/>
    <s v="KGS"/>
    <n v="1.63436"/>
    <n v="1225.77"/>
    <n v="1.63"/>
    <x v="37"/>
    <x v="22"/>
    <s v="Raxaul"/>
    <s v="Road"/>
    <n v="750"/>
    <s v="KGS"/>
    <n v="105750"/>
    <n v="141"/>
    <s v="INR"/>
    <s v=" FRUIT, NUTS AND OTHER EDIBLE PARTS OF PLANTS, OTHERWISE PREPARED OR PRESERVED, WHETHER OR NOT CONTAINING ADDED SUGAR OR OTHER SWEETENING MATTER OR SPIRIT, NOT ELSEWHERE SPECIFIED OR INCLUDED,  including mixtures:, Other roasted nuts and seeds"/>
    <n v="20"/>
    <n v="2008"/>
    <x v="269"/>
    <n v="10557773"/>
    <s v="AHJPG9087D"/>
  </r>
  <r>
    <d v="2025-03-09T00:00:00"/>
    <x v="218"/>
    <n v="20081920"/>
    <s v="PUMPKIN SEEDS KERNALS"/>
    <x v="63"/>
    <x v="75"/>
    <n v="2000"/>
    <s v="KGS"/>
    <n v="4.2307799999999993"/>
    <n v="8461.56"/>
    <n v="4.2300000000000004"/>
    <x v="43"/>
    <x v="22"/>
    <s v="Sonauli"/>
    <s v="Road"/>
    <n v="2000"/>
    <s v="KGS"/>
    <n v="730000"/>
    <n v="365"/>
    <s v="INR"/>
    <s v=" FRUIT, NUTS AND OTHER EDIBLE PARTS OF PLANTS, OTHERWISE PREPARED OR PRESERVED, WHETHER OR NOT CONTAINING ADDED SUGAR OR OTHER SWEETENING MATTER OR SPIRIT, NOT ELSEWHERE SPECIFIED OR INCLUDED,  including mixtures:, Other roasted nuts and seeds"/>
    <n v="20"/>
    <n v="2008"/>
    <x v="270"/>
    <n v="15758483"/>
    <s v="AAYFR3897E"/>
  </r>
  <r>
    <d v="2025-03-10T00:00:00"/>
    <x v="219"/>
    <n v="20081990"/>
    <s v="PUMPKIN SEED 200 gm X 50"/>
    <x v="87"/>
    <x v="124"/>
    <n v="50"/>
    <s v="KGS"/>
    <n v="4.4045999999999994"/>
    <n v="220.23"/>
    <n v="4.4000000000000004"/>
    <x v="57"/>
    <x v="33"/>
    <s v="JNPT"/>
    <s v="Sea"/>
    <n v="50"/>
    <s v="KGS"/>
    <n v="225"/>
    <n v="4.5"/>
    <s v="USD"/>
    <s v=" FRUIT, NUTS AND OTHER EDIBLE PARTS OF PLANTS, OTHERWISE PREPARED OR PRESERVED, WHETHER OR NOT CONTAINING ADDED SUGAR OR OTHER SWEETENING MATTER OR SPIRIT, NOT ELSEWHERE SPECIFIED OR INCLUDED,  Other, including mixtures:, Other"/>
    <n v="20"/>
    <n v="2008"/>
    <x v="271"/>
    <n v="11097880"/>
    <s v="AAMFJ9241J"/>
  </r>
  <r>
    <d v="2025-03-10T00:00:00"/>
    <x v="219"/>
    <n v="20081990"/>
    <s v="PUMPKIN SEED"/>
    <x v="4"/>
    <x v="79"/>
    <n v="108"/>
    <s v="KGS"/>
    <n v="7.35"/>
    <n v="793.8"/>
    <n v="7.35"/>
    <x v="17"/>
    <x v="15"/>
    <s v="Mundra"/>
    <s v="Sea"/>
    <n v="108"/>
    <s v="KGS"/>
    <n v="810"/>
    <n v="7.5"/>
    <s v="USD"/>
    <s v=" FRUIT, NUTS AND OTHER EDIBLE PARTS OF PLANTS, OTHERWISE PREPARED OR PRESERVED, WHETHER OR NOT CONTAINING ADDED SUGAR OR OTHER SWEETENING MATTER OR SPIRIT, NOT ELSEWHERE SPECIFIED OR INCLUDED,  Other, including mixtures:, Other"/>
    <n v="20"/>
    <n v="2008"/>
    <x v="272"/>
    <n v="11007185"/>
    <s v="3114029868"/>
  </r>
  <r>
    <d v="2025-03-11T00:00:00"/>
    <x v="220"/>
    <n v="20081920"/>
    <s v="PUMPKIN SEEDS"/>
    <x v="53"/>
    <x v="125"/>
    <n v="3000"/>
    <s v="KGS"/>
    <n v="1.2750300000000001"/>
    <n v="3825.09"/>
    <n v="1.28"/>
    <x v="29"/>
    <x v="22"/>
    <s v="Raxaul"/>
    <s v="Road"/>
    <n v="3000"/>
    <s v="KGS"/>
    <n v="330000"/>
    <n v="110"/>
    <s v="INR"/>
    <s v=" FRUIT, NUTS AND OTHER EDIBLE PARTS OF PLANTS, OTHERWISE PREPARED OR PRESERVED, WHETHER OR NOT CONTAINING ADDED SUGAR OR OTHER SWEETENING MATTER OR SPIRIT, NOT ELSEWHERE SPECIFIED OR INCLUDED,  including mixtures:, Other roasted nuts and seeds"/>
    <n v="20"/>
    <n v="2008"/>
    <x v="273"/>
    <n v="10725559"/>
    <s v="ACOPJ7414P"/>
  </r>
  <r>
    <d v="2025-03-21T00:00:00"/>
    <x v="221"/>
    <n v="20081990"/>
    <s v="PUMPKIN SEEDS"/>
    <x v="56"/>
    <x v="65"/>
    <n v="750"/>
    <s v="KGS"/>
    <n v="1.2021066666666671"/>
    <n v="901.58"/>
    <n v="1.2"/>
    <x v="37"/>
    <x v="22"/>
    <s v="Raxaul"/>
    <s v="Road"/>
    <n v="750"/>
    <s v="KGS"/>
    <n v="78750"/>
    <n v="105"/>
    <s v="INR"/>
    <s v=" FRUIT, NUTS AND OTHER EDIBLE PARTS OF PLANTS, OTHERWISE PREPARED OR PRESERVED, WHETHER OR NOT CONTAINING ADDED SUGAR OR OTHER SWEETENING MATTER OR SPIRIT, NOT ELSEWHERE SPECIFIED OR INCLUDED,  Other, including mixtures:, Other"/>
    <n v="20"/>
    <n v="2008"/>
    <x v="274"/>
    <n v="12212263"/>
    <s v="0512084688"/>
  </r>
  <r>
    <d v="2025-03-25T00:00:00"/>
    <x v="222"/>
    <n v="20081920"/>
    <s v="PUMPKIN SEED 10X250G KASPERINV"/>
    <x v="29"/>
    <x v="126"/>
    <n v="250"/>
    <s v="KGS"/>
    <n v="6.2474799999999986"/>
    <n v="1561.87"/>
    <n v="6.25"/>
    <x v="58"/>
    <x v="34"/>
    <s v="Mundra"/>
    <s v="Sea"/>
    <n v="250"/>
    <s v="KGS"/>
    <n v="1565"/>
    <n v="6.26"/>
    <s v="USD"/>
    <s v=" FRUIT, NUTS AND OTHER EDIBLE PARTS OF PLANTS, OTHERWISE PREPARED OR PRESERVED, WHETHER OR NOT CONTAINING ADDED SUGAR OR OTHER SWEETENING MATTER OR SPIRIT, NOT ELSEWHERE SPECIFIED OR INCLUDED,  including mixtures:, Other roasted nuts and seeds"/>
    <n v="20"/>
    <n v="2008"/>
    <x v="275"/>
    <n v="14307791"/>
    <s v="2492000940"/>
  </r>
  <r>
    <d v="2025-03-27T00:00:00"/>
    <x v="223"/>
    <n v="20081990"/>
    <s v="PUMPKIN SEEDS"/>
    <x v="82"/>
    <x v="6"/>
    <n v="2500"/>
    <s v="KGS"/>
    <n v="3.586856"/>
    <n v="8967.14"/>
    <n v="3.59"/>
    <x v="54"/>
    <x v="32"/>
    <s v="JNPT"/>
    <s v="Sea"/>
    <n v="2500"/>
    <s v="KGS"/>
    <n v="9175"/>
    <n v="3.67"/>
    <s v="USD"/>
    <s v=" FRUIT, NUTS AND OTHER EDIBLE PARTS OF PLANTS, OTHERWISE PREPARED OR PRESERVED, WHETHER OR NOT CONTAINING ADDED SUGAR OR OTHER SWEETENING MATTER OR SPIRIT, NOT ELSEWHERE SPECIFIED OR INCLUDED,  Other, including mixtures:, Other"/>
    <n v="20"/>
    <n v="2008"/>
    <x v="276"/>
    <n v="13633392"/>
    <s v="0314090282"/>
  </r>
  <r>
    <d v="2025-03-28T00:00:00"/>
    <x v="224"/>
    <n v="20081990"/>
    <s v="PUMPKIN FOOD SEEDS"/>
    <x v="88"/>
    <x v="127"/>
    <n v="50"/>
    <s v="KGS"/>
    <n v="4.1214000000000004"/>
    <n v="206.07"/>
    <n v="4.12"/>
    <x v="42"/>
    <x v="11"/>
    <s v="Jaigaon"/>
    <s v="Road"/>
    <n v="50"/>
    <s v="KGS"/>
    <n v="210.5"/>
    <n v="4.21"/>
    <s v="USD"/>
    <s v=" FRUIT, NUTS AND OTHER EDIBLE PARTS OF PLANTS, OTHERWISE PREPARED OR PRESERVED, WHETHER OR NOT CONTAINING ADDED SUGAR OR OTHER SWEETENING MATTER OR SPIRIT, NOT ELSEWHERE SPECIFIED OR INCLUDED,  Other, including mixtures:, Other"/>
    <n v="20"/>
    <n v="2008"/>
    <x v="277"/>
    <n v="14423043"/>
    <s v="AAOHK6472N"/>
  </r>
  <r>
    <d v="2025-03-29T00:00:00"/>
    <x v="225"/>
    <n v="20081920"/>
    <s v="PUMPKIN SEEDS"/>
    <x v="39"/>
    <x v="105"/>
    <n v="3000"/>
    <s v="KGS"/>
    <n v="1.643903333333333"/>
    <n v="4931.71"/>
    <n v="1.64"/>
    <x v="29"/>
    <x v="22"/>
    <s v="Raxaul"/>
    <s v="Road"/>
    <n v="3000"/>
    <s v="KGS"/>
    <n v="423000"/>
    <n v="141"/>
    <s v="INR"/>
    <s v=" FRUIT, NUTS AND OTHER EDIBLE PARTS OF PLANTS, OTHERWISE PREPARED OR PRESERVED, WHETHER OR NOT CONTAINING ADDED SUGAR OR OTHER SWEETENING MATTER OR SPIRIT, NOT ELSEWHERE SPECIFIED OR INCLUDED,  including mixtures:, Other roasted nuts and seeds"/>
    <n v="20"/>
    <n v="2008"/>
    <x v="278"/>
    <n v="13262316"/>
    <s v="AHJPG9087D"/>
  </r>
  <r>
    <d v="2025-03-29T00:00:00"/>
    <x v="225"/>
    <n v="20081990"/>
    <s v="PUMPKIN FOOD SEEDS"/>
    <x v="88"/>
    <x v="127"/>
    <n v="50"/>
    <s v="KGS"/>
    <n v="4.1214000000000004"/>
    <n v="206.07"/>
    <n v="4.12"/>
    <x v="42"/>
    <x v="11"/>
    <s v="Jaigaon"/>
    <s v="Road"/>
    <n v="50"/>
    <s v="KGS"/>
    <n v="18000"/>
    <n v="360"/>
    <s v="INR"/>
    <s v=" FRUIT, NUTS AND OTHER EDIBLE PARTS OF PLANTS, OTHERWISE PREPARED OR PRESERVED, WHETHER OR NOT CONTAINING ADDED SUGAR OR OTHER SWEETENING MATTER OR SPIRIT, NOT ELSEWHERE SPECIFIED OR INCLUDED,  Other, including mixtures:, Other"/>
    <n v="20"/>
    <n v="2008"/>
    <x v="279"/>
    <n v="13910577"/>
    <s v="AAOHK6472N"/>
  </r>
  <r>
    <d v="2025-03-31T00:00:00"/>
    <x v="226"/>
    <n v="20081920"/>
    <s v="Pumpkin Seeds 4 Boxes Nett Wt.25.000 &amp;Gross 25.350 Kgs"/>
    <x v="6"/>
    <x v="128"/>
    <n v="100"/>
    <s v="KGS"/>
    <n v="3.9373999999999998"/>
    <n v="393.74"/>
    <n v="3.94"/>
    <x v="53"/>
    <x v="5"/>
    <s v="JNPT"/>
    <s v="Sea"/>
    <n v="100"/>
    <s v="KGS"/>
    <n v="420"/>
    <n v="4.2"/>
    <s v="USD"/>
    <s v=" FRUIT, NUTS AND OTHER EDIBLE PARTS OF PLANTS, OTHERWISE PREPARED OR PRESERVED, WHETHER OR NOT CONTAINING ADDED SUGAR OR OTHER SWEETENING MATTER OR SPIRIT, NOT ELSEWHERE SPECIFIED OR INCLUDED,  including mixtures:, Other roasted nuts and seeds"/>
    <n v="20"/>
    <n v="2008"/>
    <x v="280"/>
    <n v="13463247"/>
    <s v="AAXFK3162C"/>
  </r>
  <r>
    <d v="2025-04-07T00:00:00"/>
    <x v="227"/>
    <n v="12060010"/>
    <s v="PUMPKIN SEEDS 500GM"/>
    <x v="89"/>
    <x v="129"/>
    <n v="9"/>
    <s v="KGS"/>
    <n v="5.8888888888888893E-2"/>
    <n v="0.53"/>
    <n v="0.06"/>
    <x v="8"/>
    <x v="7"/>
    <s v="Delhi Air"/>
    <s v="Air"/>
    <n v="9"/>
    <s v="KGS"/>
    <n v="2228.58"/>
    <n v="247.62"/>
    <s v="INR"/>
    <s v=" SUNFLOWER SEEDS, WHETHER OR NOT BROKEN,  Sunflower seeds, whether or not broken:, Of seed quality"/>
    <n v="12"/>
    <n v="1206"/>
    <x v="281"/>
    <n v="16629451"/>
    <s v="AALFL8521A"/>
  </r>
  <r>
    <d v="2025-04-08T00:00:00"/>
    <x v="228"/>
    <n v="20081990"/>
    <s v="PUMPKIN SEEDS"/>
    <x v="52"/>
    <x v="130"/>
    <n v="150"/>
    <s v="KGS"/>
    <n v="6.0265333333333331"/>
    <n v="903.98"/>
    <n v="6.03"/>
    <x v="39"/>
    <x v="26"/>
    <s v="Hyderabad Icd"/>
    <s v="Sea"/>
    <n v="150"/>
    <s v="KGS"/>
    <n v="922.5"/>
    <n v="6.15"/>
    <s v="USD"/>
    <s v=" FRUIT, NUTS AND OTHER EDIBLE PARTS OF PLANTS, OTHERWISE PREPARED OR PRESERVED, WHETHER OR NOT CONTAINING ADDED SUGAR OR OTHER SWEETENING MATTER OR SPIRIT, NOT ELSEWHERE SPECIFIED OR INCLUDED,  Other, including mixtures:, Other"/>
    <n v="20"/>
    <n v="2008"/>
    <x v="282"/>
    <n v="20512997"/>
    <s v="0913007374"/>
  </r>
  <r>
    <d v="2025-04-11T00:00:00"/>
    <x v="229"/>
    <n v="20081920"/>
    <s v="PUMPKIN SEED"/>
    <x v="39"/>
    <x v="131"/>
    <n v="100"/>
    <s v="KGS"/>
    <n v="1.6275999999999999"/>
    <n v="162.76"/>
    <n v="1.63"/>
    <x v="29"/>
    <x v="22"/>
    <s v="Raxaul"/>
    <s v="Road"/>
    <n v="100"/>
    <s v="KGS"/>
    <n v="166"/>
    <n v="1.66"/>
    <s v="USD"/>
    <s v=" FRUIT, NUTS AND OTHER EDIBLE PARTS OF PLANTS, OTHERWISE PREPARED OR PRESERVED, WHETHER OR NOT CONTAINING ADDED SUGAR OR OTHER SWEETENING MATTER OR SPIRIT, NOT ELSEWHERE SPECIFIED OR INCLUDED,  including mixtures:, Other roasted nuts and seeds"/>
    <n v="20"/>
    <n v="2008"/>
    <x v="283"/>
    <n v="17622433"/>
    <s v="AHJPG9087D"/>
  </r>
  <r>
    <d v="2025-04-14T00:00:00"/>
    <x v="230"/>
    <n v="12129990"/>
    <s v="JOSH PUMPKIN SEEDS KERNEL"/>
    <x v="2"/>
    <x v="5"/>
    <n v="295"/>
    <s v="KGS"/>
    <n v="4.7659322033898306"/>
    <n v="1405.95"/>
    <n v="4.7699999999999996"/>
    <x v="5"/>
    <x v="2"/>
    <s v="JNPT"/>
    <s v="Sea"/>
    <n v="295"/>
    <s v="KGS"/>
    <n v="1121"/>
    <n v="3.8"/>
    <s v="GBP"/>
    <s v=" LOCUST BEANS, SEAWEEDS AND OTHER ALGAE, SUGAR BEET AND SUGARCANE, FRESH, CHILLED, FROZEN OR DRIED, WHETHER OR NOT GROUND; FRUIT STONES AND KERNELS AND OTHER VEGETABLE PRODUCTS (INCLUDING UNROASTED CHICORY ROOTS OF THE VARIETY CICHORIUM INTYBUS SATIVUM) O,  Other:, Other"/>
    <n v="12"/>
    <n v="1212"/>
    <x v="284"/>
    <n v="18450596"/>
    <s v="0302048987"/>
  </r>
  <r>
    <d v="2025-04-15T00:00:00"/>
    <x v="231"/>
    <n v="20081920"/>
    <s v="PUMPKIN SEED"/>
    <x v="39"/>
    <x v="98"/>
    <n v="3000"/>
    <s v="KGS"/>
    <n v="1.43411"/>
    <n v="4302.33"/>
    <n v="1.43"/>
    <x v="37"/>
    <x v="22"/>
    <s v="Raxaul"/>
    <s v="Road"/>
    <n v="3000"/>
    <s v="KGS"/>
    <n v="4320"/>
    <n v="1.44"/>
    <s v="USD"/>
    <s v=" FRUIT, NUTS AND OTHER EDIBLE PARTS OF PLANTS, OTHERWISE PREPARED OR PRESERVED, WHETHER OR NOT CONTAINING ADDED SUGAR OR OTHER SWEETENING MATTER OR SPIRIT, NOT ELSEWHERE SPECIFIED OR INCLUDED,  including mixtures:, Other roasted nuts and seeds"/>
    <n v="20"/>
    <n v="2008"/>
    <x v="285"/>
    <n v="18268572"/>
    <s v="AHJPG9087D"/>
  </r>
  <r>
    <d v="2025-04-16T00:00:00"/>
    <x v="232"/>
    <n v="20081920"/>
    <s v="PUMPKIN SEED 20081920  52 PKT X 250 GMGST NO. 27AABPR2754F1ZQ,INV. NO. 25-26/00237,INV. DATE. 09-04-2025"/>
    <x v="90"/>
    <x v="132"/>
    <n v="13"/>
    <s v="KGS"/>
    <n v="4.8153846153846152"/>
    <n v="62.6"/>
    <n v="4.82"/>
    <x v="25"/>
    <x v="4"/>
    <s v="JNPT"/>
    <s v="Sea"/>
    <n v="13"/>
    <s v="KGS"/>
    <n v="63.83"/>
    <n v="4.91"/>
    <s v="USD"/>
    <s v=" FRUIT, NUTS AND OTHER EDIBLE PARTS OF PLANTS, OTHERWISE PREPARED OR PRESERVED, WHETHER OR NOT CONTAINING ADDED SUGAR OR OTHER SWEETENING MATTER OR SPIRIT, NOT ELSEWHERE SPECIFIED OR INCLUDED,  including mixtures:, Other roasted nuts and seeds"/>
    <n v="20"/>
    <n v="2008"/>
    <x v="286"/>
    <n v="17953337"/>
    <s v="0312074191"/>
  </r>
  <r>
    <d v="2025-04-17T00:00:00"/>
    <x v="233"/>
    <n v="20081920"/>
    <s v="PUMPKIN SEED"/>
    <x v="39"/>
    <x v="90"/>
    <n v="2500"/>
    <s v="KGS"/>
    <n v="1.4341120000000001"/>
    <n v="3585.28"/>
    <n v="1.43"/>
    <x v="30"/>
    <x v="22"/>
    <s v="Berhni"/>
    <s v="Road"/>
    <n v="2500"/>
    <s v="KGS"/>
    <n v="3600"/>
    <n v="1.44"/>
    <s v="USD"/>
    <s v=" FRUIT, NUTS AND OTHER EDIBLE PARTS OF PLANTS, OTHERWISE PREPARED OR PRESERVED, WHETHER OR NOT CONTAINING ADDED SUGAR OR OTHER SWEETENING MATTER OR SPIRIT, NOT ELSEWHERE SPECIFIED OR INCLUDED,  including mixtures:, Other roasted nuts and seeds"/>
    <n v="20"/>
    <n v="2008"/>
    <x v="287"/>
    <n v="20683855"/>
    <s v="AHJPG9087D"/>
  </r>
  <r>
    <d v="2025-04-18T00:00:00"/>
    <x v="234"/>
    <n v="20081990"/>
    <s v="PUMPKIN SEED 5 CTN 20PKTS X 1KG =20KGS CTN"/>
    <x v="12"/>
    <x v="6"/>
    <n v="100"/>
    <s v="KGS"/>
    <n v="4.6974999999999998"/>
    <n v="469.75"/>
    <n v="4.7"/>
    <x v="6"/>
    <x v="5"/>
    <s v="JNPT"/>
    <s v="Sea"/>
    <n v="100"/>
    <s v="KGS"/>
    <n v="479"/>
    <n v="4.79"/>
    <s v="USD"/>
    <s v=" FRUIT, NUTS AND OTHER EDIBLE PARTS OF PLANTS, OTHERWISE PREPARED OR PRESERVED, WHETHER OR NOT CONTAINING ADDED SUGAR OR OTHER SWEETENING MATTER OR SPIRIT, NOT ELSEWHERE SPECIFIED OR INCLUDED,  Other, including mixtures:, Other"/>
    <n v="20"/>
    <n v="2008"/>
    <x v="288"/>
    <n v="17582924"/>
    <s v="0388039329"/>
  </r>
  <r>
    <d v="2025-04-22T00:00:00"/>
    <x v="235"/>
    <n v="12079990"/>
    <s v="PUMPKIN SEED 100 Grms"/>
    <x v="71"/>
    <x v="92"/>
    <n v="20"/>
    <s v="KGS"/>
    <n v="7.4079999999999986"/>
    <n v="148.16"/>
    <n v="7.41"/>
    <x v="25"/>
    <x v="4"/>
    <s v="Madras Sea"/>
    <s v="Sea"/>
    <n v="20"/>
    <s v="KGS"/>
    <n v="196"/>
    <n v="9.8000000000000007"/>
    <s v="SGD"/>
    <s v=" Other oil seeds and oleaginous fruits, whether or not broken"/>
    <n v="12"/>
    <n v="1207"/>
    <x v="289"/>
    <n v="18726231"/>
    <s v="AAKCG5460D"/>
  </r>
  <r>
    <d v="2025-04-23T00:00:00"/>
    <x v="236"/>
    <n v="9109990"/>
    <s v="PUMPKIN SEEDS"/>
    <x v="16"/>
    <x v="6"/>
    <n v="38.4"/>
    <s v="KGS"/>
    <n v="5.9276041666666668"/>
    <n v="227.62"/>
    <n v="5.93"/>
    <x v="25"/>
    <x v="4"/>
    <s v="JNPT"/>
    <s v="Sea"/>
    <n v="38.4"/>
    <s v="KGS"/>
    <n v="233.47"/>
    <n v="6.08"/>
    <s v="USD"/>
    <s v=" GINGER, SAFFRON, TURMERIC (CURCUMA), THYME, BAY LEAVES, CURRY AND OTHER SPICES,  Other:, Other"/>
    <n v="9"/>
    <n v="910"/>
    <x v="290"/>
    <n v="18800742"/>
    <s v="0508085586"/>
  </r>
  <r>
    <d v="2025-04-23T00:00:00"/>
    <x v="236"/>
    <n v="20081920"/>
    <s v="PUMPKIN SEED"/>
    <x v="39"/>
    <x v="107"/>
    <n v="2000"/>
    <s v="KGS"/>
    <n v="1.437495"/>
    <n v="2874.99"/>
    <n v="1.44"/>
    <x v="29"/>
    <x v="22"/>
    <s v="Raxaul"/>
    <s v="Road"/>
    <n v="2000"/>
    <s v="KGS"/>
    <n v="244000"/>
    <n v="122"/>
    <s v="INR"/>
    <s v=" FRUIT, NUTS AND OTHER EDIBLE PARTS OF PLANTS, OTHERWISE PREPARED OR PRESERVED, WHETHER OR NOT CONTAINING ADDED SUGAR OR OTHER SWEETENING MATTER OR SPIRIT, NOT ELSEWHERE SPECIFIED OR INCLUDED,  including mixtures:, Other roasted nuts and seeds"/>
    <n v="20"/>
    <n v="2008"/>
    <x v="291"/>
    <n v="19315265"/>
    <s v="AHJPG9087D"/>
  </r>
  <r>
    <d v="2025-04-24T00:00:00"/>
    <x v="237"/>
    <n v="20081990"/>
    <s v="PUMPKIN FOOD SEEDS"/>
    <x v="88"/>
    <x v="127"/>
    <n v="50"/>
    <s v="KGS"/>
    <n v="3.4712000000000001"/>
    <n v="173.56"/>
    <n v="3.47"/>
    <x v="42"/>
    <x v="11"/>
    <s v="Jaigaon"/>
    <s v="Road"/>
    <n v="50"/>
    <s v="KGS"/>
    <n v="15000"/>
    <n v="300"/>
    <s v="INR"/>
    <s v=" FRUIT, NUTS AND OTHER EDIBLE PARTS OF PLANTS, OTHERWISE PREPARED OR PRESERVED, WHETHER OR NOT CONTAINING ADDED SUGAR OR OTHER SWEETENING MATTER OR SPIRIT, NOT ELSEWHERE SPECIFIED OR INCLUDED,  Other, including mixtures:, Other"/>
    <n v="20"/>
    <n v="2008"/>
    <x v="292"/>
    <n v="19797870"/>
    <s v="AAOHK6472N"/>
  </r>
  <r>
    <d v="2025-04-25T00:00:00"/>
    <x v="238"/>
    <n v="20081920"/>
    <s v="PUMPKIN SEED 250G X 40 PCS"/>
    <x v="74"/>
    <x v="6"/>
    <n v="20"/>
    <s v="KGS"/>
    <n v="7.0664999999999996"/>
    <n v="141.33000000000001"/>
    <n v="7.07"/>
    <x v="49"/>
    <x v="14"/>
    <s v="Pali Icd"/>
    <s v="Sea"/>
    <n v="20"/>
    <s v="KGS"/>
    <n v="144.6"/>
    <n v="7.23"/>
    <s v="USD"/>
    <s v=" FRUIT, NUTS AND OTHER EDIBLE PARTS OF PLANTS, OTHERWISE PREPARED OR PRESERVED, WHETHER OR NOT CONTAINING ADDED SUGAR OR OTHER SWEETENING MATTER OR SPIRIT, NOT ELSEWHERE SPECIFIED OR INCLUDED,  including mixtures:, Other roasted nuts and seeds"/>
    <n v="20"/>
    <n v="2008"/>
    <x v="293"/>
    <n v="20528478"/>
    <s v="0514055375"/>
  </r>
  <r>
    <d v="2025-04-26T00:00:00"/>
    <x v="239"/>
    <n v="20081920"/>
    <s v="DRIED PUMPKIN SEEDS EACH CTN 12.5KG PPCOVER PKT X 2 PKTS"/>
    <x v="1"/>
    <x v="1"/>
    <n v="2000"/>
    <s v="KGS"/>
    <n v="2.0109699999999999"/>
    <n v="4021.94"/>
    <n v="2010.97"/>
    <x v="1"/>
    <x v="1"/>
    <s v="Madras Sea"/>
    <s v="Sea"/>
    <n v="2"/>
    <s v="MTS"/>
    <n v="4120"/>
    <n v="2060"/>
    <s v="USD"/>
    <s v=" Fruit, nuts and other edible parts of plants, otherwise prepared or preserved, whether or not containing added sugar or other sweetening matter or spirit, not elsewhere specified or included."/>
    <n v="20"/>
    <n v="2008"/>
    <x v="294"/>
    <n v="18983678"/>
    <s v="AAPFG4059E"/>
  </r>
  <r>
    <d v="2025-04-30T00:00:00"/>
    <x v="240"/>
    <n v="20081910"/>
    <s v="PUMPKIN SEEDS"/>
    <x v="39"/>
    <x v="94"/>
    <n v="2050"/>
    <s v="KGS"/>
    <n v="1.142926829268293"/>
    <n v="2343"/>
    <n v="1.1399999999999999"/>
    <x v="37"/>
    <x v="22"/>
    <s v="Raxaul"/>
    <s v="Road"/>
    <n v="2050"/>
    <s v="KGS"/>
    <n v="198850"/>
    <n v="97"/>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295"/>
    <n v="18790321"/>
    <s v="AHJPG9087D"/>
  </r>
  <r>
    <d v="2025-04-30T00:00:00"/>
    <x v="240"/>
    <n v="20081910"/>
    <s v="PUMPKIN SEED ROSTED"/>
    <x v="39"/>
    <x v="90"/>
    <n v="500"/>
    <s v="KGS"/>
    <n v="1.4115800000000001"/>
    <n v="705.79"/>
    <n v="1.41"/>
    <x v="30"/>
    <x v="22"/>
    <s v="Berhni"/>
    <s v="Road"/>
    <n v="500"/>
    <s v="KGS"/>
    <n v="61000"/>
    <n v="122"/>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296"/>
    <n v="20683817"/>
    <s v="AHJPG9087D"/>
  </r>
  <r>
    <d v="2025-04-30T00:00:00"/>
    <x v="240"/>
    <n v="20081910"/>
    <s v="PUMPKIN SEEDS"/>
    <x v="39"/>
    <x v="93"/>
    <n v="2050"/>
    <s v="KGS"/>
    <n v="1.142926829268293"/>
    <n v="2343"/>
    <n v="1.1399999999999999"/>
    <x v="37"/>
    <x v="22"/>
    <s v="Raxaul"/>
    <s v="Road"/>
    <n v="2050"/>
    <s v="KGS"/>
    <n v="198850"/>
    <n v="97"/>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297"/>
    <n v="19209504"/>
    <s v="AHJPG9087D"/>
  </r>
  <r>
    <d v="2025-05-05T00:00:00"/>
    <x v="241"/>
    <n v="20081991"/>
    <s v="PUMPKIN SEED"/>
    <x v="91"/>
    <x v="23"/>
    <n v="100"/>
    <s v="KGS"/>
    <n v="6.6715"/>
    <n v="667.15"/>
    <n v="6.67"/>
    <x v="1"/>
    <x v="1"/>
    <s v="JNPT"/>
    <s v="Sea"/>
    <n v="100"/>
    <s v="KGS"/>
    <n v="689"/>
    <n v="6.89"/>
    <s v="USD"/>
    <s v=" FRUIT, NUTS AND OTHER EDIBLE PARTS OF PLANTS, OTHERWISE PREPARED OR PRESERVED, WHETHER OR NOT CONTAINING ADDED SUGAR OR OTHER SWEETENING MATTER OR SPIRIT, NOT ELSEWHERE SPECIFIED OR INCLUDED,  including mixtures:"/>
    <n v="20"/>
    <n v="2008"/>
    <x v="298"/>
    <n v="21381403"/>
    <s v="AAACP3254C"/>
  </r>
  <r>
    <d v="2025-05-05T00:00:00"/>
    <x v="241"/>
    <n v="7099310"/>
    <s v="PUMPKIN SEED"/>
    <x v="85"/>
    <x v="120"/>
    <n v="25"/>
    <s v="KGS"/>
    <n v="370.15879999999999"/>
    <n v="9253.9699999999993"/>
    <n v="370.16"/>
    <x v="37"/>
    <x v="22"/>
    <s v="Raxaul"/>
    <s v="Road"/>
    <n v="25"/>
    <s v="KGS"/>
    <n v="777500"/>
    <n v="31100"/>
    <s v="INR"/>
    <s v=" OTHER VEGETABLES, FRESH OR CHILLED,  Pumpkins, squash and gourds (Cucurbita spp.):, Pumpkins"/>
    <n v="7"/>
    <n v="709"/>
    <x v="299"/>
    <n v="22119996"/>
    <s v="1112001620"/>
  </r>
  <r>
    <d v="2025-05-06T00:00:00"/>
    <x v="242"/>
    <n v="12077090"/>
    <s v="RASHYAA PUMPKIN SEED"/>
    <x v="92"/>
    <x v="133"/>
    <n v="25.16"/>
    <s v="KGS"/>
    <n v="11.804451510333861"/>
    <n v="297"/>
    <n v="11.8"/>
    <x v="43"/>
    <x v="22"/>
    <s v="Sonauli"/>
    <s v="Road"/>
    <n v="25.16"/>
    <s v="KGS"/>
    <n v="25411.599999999999"/>
    <n v="1010"/>
    <s v="INR"/>
    <s v=" OTHER OIL SEEDS AND OLEAGINOUS FRUITS, WHETHER OR NOT BROKEN,  Melon seeds:, Other"/>
    <n v="12"/>
    <n v="1207"/>
    <x v="300"/>
    <n v="25854954"/>
    <s v="ODNPS5677F"/>
  </r>
  <r>
    <d v="2025-05-07T00:00:00"/>
    <x v="243"/>
    <n v="20081991"/>
    <s v="PUMPKIN SEEDS-200 GM-PKT OTHER DETAILED AS PER DOCUMENT  AND PACKING LIST"/>
    <x v="77"/>
    <x v="134"/>
    <n v="100"/>
    <s v="KGS"/>
    <n v="6.37"/>
    <n v="637"/>
    <n v="6.37"/>
    <x v="51"/>
    <x v="24"/>
    <s v="Mundra"/>
    <s v="Sea"/>
    <n v="100"/>
    <s v="KGS"/>
    <n v="650"/>
    <n v="6.5"/>
    <s v="USD"/>
    <s v=" FRUIT, NUTS AND OTHER EDIBLE PARTS OF PLANTS, OTHERWISE PREPARED OR PRESERVED, WHETHER OR NOT CONTAINING ADDED SUGAR OR OTHER SWEETENING MATTER OR SPIRIT, NOT ELSEWHERE SPECIFIED OR INCLUDED,  including mixtures:"/>
    <n v="20"/>
    <n v="2008"/>
    <x v="301"/>
    <n v="21851368"/>
    <s v="AWVPV4063H"/>
  </r>
  <r>
    <d v="2025-05-08T00:00:00"/>
    <x v="244"/>
    <n v="20081910"/>
    <s v="PUMPKIN SEEDS"/>
    <x v="57"/>
    <x v="66"/>
    <n v="100"/>
    <s v="KGS"/>
    <n v="1.1688000000000001"/>
    <n v="116.88"/>
    <n v="1.17"/>
    <x v="29"/>
    <x v="22"/>
    <s v="Raxaul"/>
    <s v="Road"/>
    <n v="100"/>
    <s v="KGS"/>
    <n v="10000"/>
    <n v="100"/>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02"/>
    <n v="21549964"/>
    <s v="AAYPL3187H"/>
  </r>
  <r>
    <d v="2025-05-10T00:00:00"/>
    <x v="245"/>
    <n v="20081991"/>
    <s v="Pumpkin Seeds/ Freshos /1kg Mrp799/-"/>
    <x v="75"/>
    <x v="40"/>
    <n v="11"/>
    <s v="KGS"/>
    <n v="7.3927272727272717"/>
    <n v="81.319999999999993"/>
    <n v="7.39"/>
    <x v="12"/>
    <x v="11"/>
    <s v="Chamurchi"/>
    <s v="Road"/>
    <n v="11"/>
    <s v="KGS"/>
    <n v="6957.5"/>
    <n v="632.5"/>
    <s v="INR"/>
    <s v=" FRUIT, NUTS AND OTHER EDIBLE PARTS OF PLANTS, OTHERWISE PREPARED OR PRESERVED, WHETHER OR NOT CONTAINING ADDED SUGAR OR OTHER SWEETENING MATTER OR SPIRIT, NOT ELSEWHERE SPECIFIED OR INCLUDED,  including mixtures:"/>
    <n v="20"/>
    <n v="2008"/>
    <x v="303"/>
    <n v="26220418"/>
    <s v="AFTPD7480D"/>
  </r>
  <r>
    <d v="2025-05-10T00:00:00"/>
    <x v="245"/>
    <n v="12129990"/>
    <s v="PUMPKIN SEEDS"/>
    <x v="65"/>
    <x v="6"/>
    <n v="75"/>
    <s v="KGS"/>
    <n v="5.2568000000000001"/>
    <n v="394.26"/>
    <n v="5.26"/>
    <x v="44"/>
    <x v="28"/>
    <s v="JNPT"/>
    <s v="Sea"/>
    <n v="75"/>
    <s v="KGS"/>
    <n v="405"/>
    <n v="5.4"/>
    <s v="USD"/>
    <s v=" LOCUST BEANS, SEAWEEDS AND OTHER ALGAE, SUGAR BEET AND SUGARCANE, FRESH, CHILLED, FROZEN OR DRIED, WHETHER OR NOT GROUND; FRUIT STONES AND KERNELS AND OTHER VEGETABLE PRODUCTS (INCLUDING UNROASTED CHICORY ROOTS OF THE VARIETY CICHORIUM INTYBUS SATIVUM) O,  Other:, Other"/>
    <n v="12"/>
    <n v="1212"/>
    <x v="304"/>
    <n v="22296817"/>
    <s v="0388006081"/>
  </r>
  <r>
    <d v="2025-05-14T00:00:00"/>
    <x v="246"/>
    <n v="20081910"/>
    <s v="PUMPKIN SEEDS"/>
    <x v="53"/>
    <x v="135"/>
    <n v="50"/>
    <s v="KGS"/>
    <n v="1.6548"/>
    <n v="82.74"/>
    <n v="1.65"/>
    <x v="29"/>
    <x v="22"/>
    <s v="Raxaul"/>
    <s v="Road"/>
    <n v="50"/>
    <s v="KGS"/>
    <n v="7050"/>
    <n v="141"/>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05"/>
    <n v="22718508"/>
    <s v="ACOPJ7414P"/>
  </r>
  <r>
    <d v="2025-05-15T00:00:00"/>
    <x v="247"/>
    <n v="20081991"/>
    <s v="ROASTED PUMPKIN SEED"/>
    <x v="93"/>
    <x v="6"/>
    <n v="96"/>
    <s v="KGS"/>
    <n v="4.5464583333333328"/>
    <n v="436.46"/>
    <n v="4.55"/>
    <x v="40"/>
    <x v="6"/>
    <s v="Mundra"/>
    <s v="Sea"/>
    <n v="96"/>
    <s v="KGS"/>
    <n v="645.12"/>
    <n v="6.72"/>
    <s v="CAD"/>
    <s v=" FRUIT, NUTS AND OTHER EDIBLE PARTS OF PLANTS, OTHERWISE PREPARED OR PRESERVED, WHETHER OR NOT CONTAINING ADDED SUGAR OR OTHER SWEETENING MATTER OR SPIRIT, NOT ELSEWHERE SPECIFIED OR INCLUDED,  including mixtures:"/>
    <n v="20"/>
    <n v="2008"/>
    <x v="306"/>
    <n v="23440125"/>
    <s v="0814004873"/>
  </r>
  <r>
    <d v="2025-05-15T00:00:00"/>
    <x v="247"/>
    <n v="20081910"/>
    <s v="PUMPKIN SEED"/>
    <x v="39"/>
    <x v="86"/>
    <n v="450"/>
    <s v="KGS"/>
    <n v="1.122311111111111"/>
    <n v="505.04"/>
    <n v="1.1200000000000001"/>
    <x v="37"/>
    <x v="22"/>
    <s v="Raxaul"/>
    <s v="Road"/>
    <n v="450"/>
    <s v="KGS"/>
    <n v="43650"/>
    <n v="97"/>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07"/>
    <n v="22575553"/>
    <s v="AHJPG9087D"/>
  </r>
  <r>
    <d v="2025-05-15T00:00:00"/>
    <x v="247"/>
    <n v="20081910"/>
    <s v="PUMPKIN SEED"/>
    <x v="39"/>
    <x v="53"/>
    <n v="200"/>
    <s v="KGS"/>
    <n v="1.1223000000000001"/>
    <n v="224.46"/>
    <n v="1.1200000000000001"/>
    <x v="37"/>
    <x v="22"/>
    <s v="Raxaul"/>
    <s v="Road"/>
    <n v="200"/>
    <s v="KGS"/>
    <n v="19400"/>
    <n v="97"/>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08"/>
    <n v="22903766"/>
    <s v="AHJPG9087D"/>
  </r>
  <r>
    <d v="2025-05-18T00:00:00"/>
    <x v="248"/>
    <n v="20081910"/>
    <s v="PUMPKIN SEEDS"/>
    <x v="39"/>
    <x v="136"/>
    <n v="4000"/>
    <s v="KGS"/>
    <n v="1.1429275000000001"/>
    <n v="4571.71"/>
    <n v="1.1399999999999999"/>
    <x v="37"/>
    <x v="22"/>
    <s v="Raxaul"/>
    <s v="Road"/>
    <n v="4000"/>
    <s v="KGS"/>
    <n v="388000"/>
    <n v="97"/>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09"/>
    <n v="23904558"/>
    <s v="AHJPG9087D"/>
  </r>
  <r>
    <d v="2025-05-18T00:00:00"/>
    <x v="248"/>
    <n v="20081910"/>
    <s v="PUMPKIN SEEDS"/>
    <x v="39"/>
    <x v="96"/>
    <n v="500"/>
    <s v="KGS"/>
    <n v="1.12232"/>
    <n v="561.16"/>
    <n v="1.1200000000000001"/>
    <x v="37"/>
    <x v="22"/>
    <s v="Raxaul"/>
    <s v="Road"/>
    <n v="500"/>
    <s v="KGS"/>
    <n v="48500"/>
    <n v="97"/>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10"/>
    <n v="23810150"/>
    <s v="AHJPG9087D"/>
  </r>
  <r>
    <d v="2025-05-18T00:00:00"/>
    <x v="248"/>
    <n v="20081910"/>
    <s v="PUMPKIN SEEDS"/>
    <x v="39"/>
    <x v="137"/>
    <n v="975"/>
    <s v="KGS"/>
    <n v="1.1429230769230769"/>
    <n v="1114.3499999999999"/>
    <n v="1.1399999999999999"/>
    <x v="29"/>
    <x v="22"/>
    <s v="Raxaul"/>
    <s v="Road"/>
    <n v="975"/>
    <s v="KGS"/>
    <n v="94575"/>
    <n v="97"/>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11"/>
    <n v="23395286"/>
    <s v="AHJPG9087D"/>
  </r>
  <r>
    <d v="2025-05-19T00:00:00"/>
    <x v="249"/>
    <n v="20081910"/>
    <s v="PUMPKIN SEEDS"/>
    <x v="39"/>
    <x v="99"/>
    <n v="4000"/>
    <s v="KGS"/>
    <n v="1.1429275000000001"/>
    <n v="4571.71"/>
    <n v="1.1399999999999999"/>
    <x v="37"/>
    <x v="22"/>
    <s v="Raxaul"/>
    <s v="Road"/>
    <n v="4000"/>
    <s v="KGS"/>
    <n v="388000"/>
    <n v="97"/>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12"/>
    <n v="22850389"/>
    <s v="AHJPG9087D"/>
  </r>
  <r>
    <d v="2025-05-21T00:00:00"/>
    <x v="250"/>
    <n v="20081910"/>
    <s v="PUMPKIN SEEDS"/>
    <x v="39"/>
    <x v="138"/>
    <n v="2000"/>
    <s v="KGS"/>
    <n v="1.14293"/>
    <n v="2285.86"/>
    <n v="1.1399999999999999"/>
    <x v="37"/>
    <x v="22"/>
    <s v="Raxaul"/>
    <s v="Road"/>
    <n v="2000"/>
    <s v="KGS"/>
    <n v="194000"/>
    <n v="97"/>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13"/>
    <n v="24451071"/>
    <s v="AHJPG9087D"/>
  </r>
  <r>
    <d v="2025-05-22T00:00:00"/>
    <x v="251"/>
    <n v="20081910"/>
    <s v="PUMPKIN SEED-UP"/>
    <x v="94"/>
    <x v="43"/>
    <n v="12"/>
    <s v="KGS"/>
    <n v="1.835"/>
    <n v="22.02"/>
    <n v="1.84"/>
    <x v="30"/>
    <x v="22"/>
    <s v="Berhni"/>
    <s v="Road"/>
    <n v="12"/>
    <s v="KGS"/>
    <n v="1903.2"/>
    <n v="158.6"/>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14"/>
    <n v="26303342"/>
    <s v="1508000603"/>
  </r>
  <r>
    <d v="2025-05-22T00:00:00"/>
    <x v="251"/>
    <n v="20081991"/>
    <s v="PUMPKIN SEEDS"/>
    <x v="95"/>
    <x v="6"/>
    <n v="25"/>
    <s v="KGS"/>
    <n v="4.8592000000000004"/>
    <n v="121.48"/>
    <n v="4.8600000000000003"/>
    <x v="59"/>
    <x v="6"/>
    <s v="JNPT"/>
    <s v="Sea"/>
    <n v="25"/>
    <s v="KGS"/>
    <n v="174.75"/>
    <n v="6.99"/>
    <s v="CAD"/>
    <s v=" FRUIT, NUTS AND OTHER EDIBLE PARTS OF PLANTS, OTHERWISE PREPARED OR PRESERVED, WHETHER OR NOT CONTAINING ADDED SUGAR OR OTHER SWEETENING MATTER OR SPIRIT, NOT ELSEWHERE SPECIFIED OR INCLUDED,  including mixtures:"/>
    <n v="20"/>
    <n v="2008"/>
    <x v="315"/>
    <n v="24791327"/>
    <s v="0311017843"/>
  </r>
  <r>
    <d v="2025-05-23T00:00:00"/>
    <x v="252"/>
    <n v="20081999"/>
    <s v="PUMPKIN SEEDS"/>
    <x v="13"/>
    <x v="12"/>
    <n v="5"/>
    <s v="KGS"/>
    <n v="5.3220000000000001"/>
    <n v="26.61"/>
    <n v="5.32"/>
    <x v="60"/>
    <x v="11"/>
    <s v="Nagarkata LCS"/>
    <s v="Road"/>
    <n v="5"/>
    <s v="KGS"/>
    <n v="2300"/>
    <n v="460"/>
    <s v="INR"/>
    <s v=" FRUIT, NUTS AND OTHER EDIBLE PARTS OF PLANTS, OTHERWISE PREPARED OR PRESERVED, WHETHER OR NOT CONTAINING ADDED SUGAR OR OTHER SWEETENING MATTER OR SPIRIT, NOT ELSEWHERE SPECIFIED OR INCLUDED,  including mixtures:"/>
    <n v="20"/>
    <n v="2008"/>
    <x v="316"/>
    <n v="26347176"/>
    <s v="ACNPA4874D"/>
  </r>
  <r>
    <d v="2025-05-26T00:00:00"/>
    <x v="253"/>
    <n v="20081999"/>
    <s v="PUMPKIN SEED"/>
    <x v="56"/>
    <x v="65"/>
    <n v="2000"/>
    <s v="KGS"/>
    <n v="1.1193599999999999"/>
    <n v="2238.7199999999998"/>
    <n v="1.1200000000000001"/>
    <x v="37"/>
    <x v="22"/>
    <s v="Raxaul"/>
    <s v="Road"/>
    <n v="2000"/>
    <s v="KGS"/>
    <n v="190000"/>
    <n v="95"/>
    <s v="INR"/>
    <s v=" FRUIT, NUTS AND OTHER EDIBLE PARTS OF PLANTS, OTHERWISE PREPARED OR PRESERVED, WHETHER OR NOT CONTAINING ADDED SUGAR OR OTHER SWEETENING MATTER OR SPIRIT, NOT ELSEWHERE SPECIFIED OR INCLUDED,  including mixtures:"/>
    <n v="20"/>
    <n v="2008"/>
    <x v="317"/>
    <n v="25007204"/>
    <s v="0512084688"/>
  </r>
  <r>
    <d v="2025-05-27T00:00:00"/>
    <x v="254"/>
    <n v="20081999"/>
    <s v="PUMPKIN SEED"/>
    <x v="39"/>
    <x v="95"/>
    <n v="550"/>
    <s v="KGS"/>
    <n v="1.1223090909090909"/>
    <n v="617.27"/>
    <n v="1.1200000000000001"/>
    <x v="37"/>
    <x v="22"/>
    <s v="Raxaul"/>
    <s v="Road"/>
    <n v="550"/>
    <s v="KGS"/>
    <n v="53350"/>
    <n v="97"/>
    <s v="INR"/>
    <s v=" FRUIT, NUTS AND OTHER EDIBLE PARTS OF PLANTS, OTHERWISE PREPARED OR PRESERVED, WHETHER OR NOT CONTAINING ADDED SUGAR OR OTHER SWEETENING MATTER OR SPIRIT, NOT ELSEWHERE SPECIFIED OR INCLUDED,  including mixtures:"/>
    <n v="20"/>
    <n v="2008"/>
    <x v="318"/>
    <n v="25487599"/>
    <s v="AHJPG9087D"/>
  </r>
  <r>
    <d v="2025-05-27T00:00:00"/>
    <x v="254"/>
    <n v="20081999"/>
    <s v="PUMPKIN SEEDS"/>
    <x v="39"/>
    <x v="45"/>
    <n v="500"/>
    <s v="KGS"/>
    <n v="1.12232"/>
    <n v="561.16"/>
    <n v="1.1200000000000001"/>
    <x v="29"/>
    <x v="22"/>
    <s v="Raxaul"/>
    <s v="Road"/>
    <n v="500"/>
    <s v="KGS"/>
    <n v="48500"/>
    <n v="97"/>
    <s v="INR"/>
    <s v=" FRUIT, NUTS AND OTHER EDIBLE PARTS OF PLANTS, OTHERWISE PREPARED OR PRESERVED, WHETHER OR NOT CONTAINING ADDED SUGAR OR OTHER SWEETENING MATTER OR SPIRIT, NOT ELSEWHERE SPECIFIED OR INCLUDED,  including mixtures:"/>
    <n v="20"/>
    <n v="2008"/>
    <x v="319"/>
    <n v="24636305"/>
    <s v="AHJPG9087D"/>
  </r>
  <r>
    <d v="2025-05-28T00:00:00"/>
    <x v="255"/>
    <n v="12079990"/>
    <s v="Pumpkin Seeds"/>
    <x v="96"/>
    <x v="139"/>
    <n v="10"/>
    <s v="KGS"/>
    <n v="5.4939999999999998"/>
    <n v="54.94"/>
    <n v="5.49"/>
    <x v="61"/>
    <x v="8"/>
    <s v="Madras Sea"/>
    <s v="Sea"/>
    <n v="10"/>
    <s v="KGS"/>
    <n v="57.6"/>
    <n v="5.76"/>
    <s v="USD"/>
    <s v=" OTHER OIL SEEDS AND OLEAGINOUS FRUITS, WHETHER OR NOT BROKEN,  Other:, Other"/>
    <n v="12"/>
    <n v="1207"/>
    <x v="320"/>
    <n v="25328093"/>
    <s v="AGJPJ6779L"/>
  </r>
  <r>
    <d v="2025-06-02T00:00:00"/>
    <x v="256"/>
    <n v="12129990"/>
    <s v="JOSH PUMPKIN SEEDS KERNEL"/>
    <x v="2"/>
    <x v="5"/>
    <n v="300"/>
    <s v="KGS"/>
    <n v="4.3271333333333333"/>
    <n v="1298.1400000000001"/>
    <n v="4.33"/>
    <x v="5"/>
    <x v="2"/>
    <s v="JNPT"/>
    <s v="Sea"/>
    <n v="300"/>
    <s v="KGS"/>
    <n v="1020"/>
    <n v="3.4"/>
    <s v="GBP"/>
    <s v=" LOCUST BEANS, SEAWEEDS AND OTHER ALGAE, SUGAR BEET AND SUGARCANE, FRESH, CHILLED, FROZEN OR DRIED, WHETHER OR NOT GROUND; FRUIT STONES AND KERNELS AND OTHER VEGETABLE PRODUCTS (INCLUDING UNROASTED CHICORY ROOTS OF THE VARIETY CICHORIUM INTYBUS SATIVUM) O,  Other:, Other"/>
    <n v="12"/>
    <n v="1212"/>
    <x v="321"/>
    <n v="27387761"/>
    <s v="0302048987"/>
  </r>
  <r>
    <d v="2025-06-02T00:00:00"/>
    <x v="256"/>
    <n v="20081999"/>
    <s v="PUMPKIN SEEDS"/>
    <x v="39"/>
    <x v="67"/>
    <n v="4500"/>
    <s v="KGS"/>
    <n v="1.437497777777778"/>
    <n v="6468.74"/>
    <n v="1.44"/>
    <x v="37"/>
    <x v="22"/>
    <s v="Raxaul"/>
    <s v="Road"/>
    <n v="4500"/>
    <s v="KGS"/>
    <n v="549000"/>
    <n v="122"/>
    <s v="INR"/>
    <s v=" FRUIT, NUTS AND OTHER EDIBLE PARTS OF PLANTS, OTHERWISE PREPARED OR PRESERVED, WHETHER OR NOT CONTAINING ADDED SUGAR OR OTHER SWEETENING MATTER OR SPIRIT, NOT ELSEWHERE SPECIFIED OR INCLUDED,  including mixtures:"/>
    <n v="20"/>
    <n v="2008"/>
    <x v="322"/>
    <n v="27041668"/>
    <s v="AHJPG9087D"/>
  </r>
  <r>
    <d v="2025-06-08T00:00:00"/>
    <x v="257"/>
    <n v="20081910"/>
    <s v="PUMPKIN SEEDS"/>
    <x v="94"/>
    <x v="43"/>
    <n v="18"/>
    <s v="KGS"/>
    <n v="2.615555555555555"/>
    <n v="47.08"/>
    <n v="2.62"/>
    <x v="30"/>
    <x v="22"/>
    <s v="Berhni"/>
    <s v="Road"/>
    <n v="18"/>
    <s v="KGS"/>
    <n v="4086"/>
    <n v="227"/>
    <s v="INR"/>
    <s v=" FRUIT, NUTS AND OTHER EDIBLE PARTS OF PLANTS, OTHERWISE PREPARED OR PRESERVED, WHETHER OR NOT CONTAINING ADDED SUGAR OR OTHER SWEETENING MATTER OR SPIRIT, NOT ELSEWHERE SPECIFIED OR INCLUDED,  including mixtures:, Cashew nut, roasted, salted or roasted and salted"/>
    <n v="20"/>
    <n v="2008"/>
    <x v="323"/>
    <n v="31342192"/>
    <s v="1508000603"/>
  </r>
  <r>
    <d v="2025-06-13T00:00:00"/>
    <x v="258"/>
    <n v="12079990"/>
    <s v="PUMPKIN SEEDS"/>
    <x v="34"/>
    <x v="33"/>
    <n v="100"/>
    <s v="KGS"/>
    <n v="9.0863999999999994"/>
    <n v="908.64"/>
    <n v="9.09"/>
    <x v="15"/>
    <x v="13"/>
    <s v="Tuticorin Sea"/>
    <s v="Sea"/>
    <n v="100"/>
    <s v="KGS"/>
    <n v="961"/>
    <n v="9.61"/>
    <s v="USD"/>
    <s v=" OTHER OIL SEEDS AND OLEAGINOUS FRUITS, WHETHER OR NOT BROKEN,  Other:, Other"/>
    <n v="12"/>
    <n v="1207"/>
    <x v="324"/>
    <n v="28115183"/>
    <s v="EERPS8173B"/>
  </r>
  <r>
    <d v="2025-06-16T00:00:00"/>
    <x v="259"/>
    <n v="20081999"/>
    <s v="PUMPKIN SEED"/>
    <x v="57"/>
    <x v="6"/>
    <n v="250"/>
    <s v="KGS"/>
    <n v="1.6131599999999999"/>
    <n v="403.29"/>
    <n v="1.61"/>
    <x v="29"/>
    <x v="22"/>
    <s v="Raxaul"/>
    <s v="Road"/>
    <n v="250"/>
    <s v="KGS"/>
    <n v="35000"/>
    <n v="140"/>
    <s v="INR"/>
    <s v=" FRUIT, NUTS AND OTHER EDIBLE PARTS OF PLANTS, OTHERWISE PREPARED OR PRESERVED, WHETHER OR NOT CONTAINING ADDED SUGAR OR OTHER SWEETENING MATTER OR SPIRIT, NOT ELSEWHERE SPECIFIED OR INCLUDED,  including mixtures:"/>
    <n v="20"/>
    <n v="2008"/>
    <x v="325"/>
    <n v="33172970"/>
    <s v="AAYPL3187H"/>
  </r>
  <r>
    <d v="2025-06-17T00:00:00"/>
    <x v="260"/>
    <n v="20081992"/>
    <s v="CD Pumpkin Seed Ball 15x275g"/>
    <x v="78"/>
    <x v="140"/>
    <n v="206.25"/>
    <s v="KGS"/>
    <n v="6.8952727272727277"/>
    <n v="1422.15"/>
    <n v="6.9"/>
    <x v="16"/>
    <x v="8"/>
    <s v="Cochin Sea"/>
    <s v="Sea"/>
    <n v="206.25"/>
    <s v="KGS"/>
    <n v="1425.19"/>
    <n v="6.91"/>
    <s v="USD"/>
    <s v=" FRUIT, NUTS AND OTHER EDIBLE PARTS OF PLANTS, OTHERWISE PREPARED OR PRESERVED, WHETHER OR NOT CONTAINING ADDED SUGAR OR OTHER SWEETENING MATTER OR SPIRIT, NOT ELSEWHERE SPECIFIED OR INCLUDED,  including mixtures:"/>
    <n v="20"/>
    <n v="2008"/>
    <x v="326"/>
    <n v="28308622"/>
    <s v="1003000860"/>
  </r>
  <r>
    <d v="2025-06-17T00:00:00"/>
    <x v="260"/>
    <n v="20081999"/>
    <s v="8AM PUMPKIN SEEDS 200G"/>
    <x v="97"/>
    <x v="6"/>
    <n v="9"/>
    <s v="KGS"/>
    <n v="28.104444444444439"/>
    <n v="252.94"/>
    <n v="28.1"/>
    <x v="62"/>
    <x v="35"/>
    <s v="JNPT"/>
    <s v="Sea"/>
    <n v="9"/>
    <s v="KGS"/>
    <n v="841.23"/>
    <n v="93.47"/>
    <s v="USD"/>
    <s v=" FRUIT, NUTS AND OTHER EDIBLE PARTS OF PLANTS, OTHERWISE PREPARED OR PRESERVED, WHETHER OR NOT CONTAINING ADDED SUGAR OR OTHER SWEETENING MATTER OR SPIRIT, NOT ELSEWHERE SPECIFIED OR INCLUDED,  including mixtures:"/>
    <n v="20"/>
    <n v="2008"/>
    <x v="327"/>
    <n v="33202498"/>
    <s v="1314007122"/>
  </r>
  <r>
    <d v="2025-06-19T00:00:00"/>
    <x v="261"/>
    <n v="20081999"/>
    <s v="PUMPKIN SEEDS KERNALS"/>
    <x v="83"/>
    <x v="121"/>
    <n v="2000"/>
    <s v="KGS"/>
    <n v="1.6545350000000001"/>
    <n v="3309.07"/>
    <n v="1.65"/>
    <x v="37"/>
    <x v="22"/>
    <s v="Raxaul"/>
    <s v="Road"/>
    <n v="2000"/>
    <s v="KGS"/>
    <n v="282000"/>
    <n v="141"/>
    <m/>
    <s v=" FRUIT, NUTS AND OTHER EDIBLE PARTS OF PLANTS, OTHERWISE PREPARED OR PRESERVED, WHETHER OR NOT CONTAINING ADDED SUGAR OR OTHER SWEETENING MATTER OR SPIRIT, NOT ELSEWHERE SPECIFIED OR INCLUDED,  including mixtures:"/>
    <n v="20"/>
    <n v="2008"/>
    <x v="328"/>
    <n v="30352834"/>
    <s v="0509008615"/>
  </r>
  <r>
    <d v="2025-06-19T00:00:00"/>
    <x v="261"/>
    <n v="20081929"/>
    <s v="PUMPKIN SEED 16 CTN 25 KGS / CTN"/>
    <x v="12"/>
    <x v="6"/>
    <n v="400"/>
    <s v="KGS"/>
    <n v="3.7243249999999999"/>
    <n v="1489.73"/>
    <n v="3.72"/>
    <x v="11"/>
    <x v="10"/>
    <s v="JNPT"/>
    <s v="Sea"/>
    <n v="400"/>
    <s v="KGS"/>
    <n v="1552"/>
    <n v="3.88"/>
    <s v="USD"/>
    <s v=" FRUIT, NUTS AND OTHER EDIBLE PARTS OF PLANTS, OTHERWISE PREPARED OR PRESERVED, WHETHER OR NOT CONTAINING ADDED SUGAR OR OTHER SWEETENING MATTER OR SPIRIT, NOT ELSEWHERE SPECIFIED OR INCLUDED,  including mixtures:"/>
    <n v="20"/>
    <n v="2008"/>
    <x v="329"/>
    <n v="30014556"/>
    <s v="0388039329"/>
  </r>
  <r>
    <d v="2025-06-21T00:00:00"/>
    <x v="262"/>
    <n v="20081929"/>
    <s v="PUMPKIN SEEDS"/>
    <x v="85"/>
    <x v="120"/>
    <n v="1500"/>
    <s v="KGS"/>
    <n v="3.7156466666666672"/>
    <n v="5573.47"/>
    <n v="3.72"/>
    <x v="37"/>
    <x v="22"/>
    <s v="Raxaul"/>
    <s v="Road"/>
    <n v="1500"/>
    <s v="KGS"/>
    <n v="480000"/>
    <n v="320"/>
    <s v="INR"/>
    <s v=" FRUIT, NUTS AND OTHER EDIBLE PARTS OF PLANTS, OTHERWISE PREPARED OR PRESERVED, WHETHER OR NOT CONTAINING ADDED SUGAR OR OTHER SWEETENING MATTER OR SPIRIT, NOT ELSEWHERE SPECIFIED OR INCLUDED,  including mixtures:"/>
    <n v="20"/>
    <n v="2008"/>
    <x v="330"/>
    <n v="29082086"/>
    <s v="1112001620"/>
  </r>
  <r>
    <d v="2025-06-21T00:00:00"/>
    <x v="262"/>
    <n v="20081999"/>
    <s v="PUMPKIN SEEDS"/>
    <x v="39"/>
    <x v="99"/>
    <n v="5000"/>
    <s v="KGS"/>
    <n v="1.4165920000000001"/>
    <n v="7082.96"/>
    <n v="1.42"/>
    <x v="37"/>
    <x v="22"/>
    <s v="Raxaul"/>
    <s v="Road"/>
    <n v="5000"/>
    <s v="KGS"/>
    <n v="610000"/>
    <n v="122"/>
    <s v="INR"/>
    <s v=" FRUIT, NUTS AND OTHER EDIBLE PARTS OF PLANTS, OTHERWISE PREPARED OR PRESERVED, WHETHER OR NOT CONTAINING ADDED SUGAR OR OTHER SWEETENING MATTER OR SPIRIT, NOT ELSEWHERE SPECIFIED OR INCLUDED,  including mixtures:"/>
    <n v="20"/>
    <n v="2008"/>
    <x v="331"/>
    <n v="29407200"/>
    <s v="AHJPG9087D"/>
  </r>
  <r>
    <d v="2025-06-23T00:00:00"/>
    <x v="263"/>
    <n v="12129990"/>
    <s v="JOSH PUMPKIN SEEDS KERNEL"/>
    <x v="2"/>
    <x v="5"/>
    <n v="750"/>
    <s v="KGS"/>
    <n v="4.3752266666666664"/>
    <n v="3281.42"/>
    <n v="4.38"/>
    <x v="5"/>
    <x v="2"/>
    <s v="JNPT"/>
    <s v="Sea"/>
    <n v="750"/>
    <s v="KGS"/>
    <n v="2550"/>
    <n v="3.4"/>
    <s v="GBP"/>
    <s v=" LOCUST BEANS, SEAWEEDS AND OTHER ALGAE, SUGAR BEET AND SUGARCANE, FRESH, CHILLED, FROZEN OR DRIED, WHETHER OR NOT GROUND; FRUIT STONES AND KERNELS AND OTHER VEGETABLE PRODUCTS (INCLUDING UNROASTED CHICORY ROOTS OF THE VARIETY CICHORIUM INTYBUS SATIVUM) O,  Other:, Other"/>
    <n v="12"/>
    <n v="1212"/>
    <x v="332"/>
    <n v="30103996"/>
    <s v="0302048987"/>
  </r>
  <r>
    <d v="2025-06-24T00:00:00"/>
    <x v="264"/>
    <n v="20081999"/>
    <s v="PUMPKIN SEED"/>
    <x v="39"/>
    <x v="105"/>
    <n v="2000"/>
    <s v="KGS"/>
    <n v="1.41659"/>
    <n v="2833.18"/>
    <n v="1.42"/>
    <x v="29"/>
    <x v="22"/>
    <s v="Raxaul"/>
    <s v="Road"/>
    <n v="2000"/>
    <s v="KGS"/>
    <n v="244000"/>
    <n v="122"/>
    <s v="INR"/>
    <s v=" FRUIT, NUTS AND OTHER EDIBLE PARTS OF PLANTS, OTHERWISE PREPARED OR PRESERVED, WHETHER OR NOT CONTAINING ADDED SUGAR OR OTHER SWEETENING MATTER OR SPIRIT, NOT ELSEWHERE SPECIFIED OR INCLUDED,  including mixtures:"/>
    <n v="20"/>
    <n v="2008"/>
    <x v="333"/>
    <n v="29097038"/>
    <s v="AHJPG9087D"/>
  </r>
  <r>
    <d v="2025-06-26T00:00:00"/>
    <x v="265"/>
    <n v="20081999"/>
    <s v="PUMPKIN SEED"/>
    <x v="55"/>
    <x v="29"/>
    <n v="500"/>
    <s v="KGS"/>
    <n v="1.2198800000000001"/>
    <n v="609.94000000000005"/>
    <n v="1.22"/>
    <x v="1"/>
    <x v="1"/>
    <s v="Mundra"/>
    <s v="Sea"/>
    <n v="500"/>
    <s v="KGS"/>
    <n v="640"/>
    <n v="1.28"/>
    <m/>
    <s v=" FRUIT, NUTS AND OTHER EDIBLE PARTS OF PLANTS, OTHERWISE PREPARED OR PRESERVED, WHETHER OR NOT CONTAINING ADDED SUGAR OR OTHER SWEETENING MATTER OR SPIRIT, NOT ELSEWHERE SPECIFIED OR INCLUDED,  including mixtures:"/>
    <n v="20"/>
    <n v="2008"/>
    <x v="334"/>
    <n v="28980237"/>
    <s v="ATCPV2462Q"/>
  </r>
  <r>
    <d v="2025-06-28T00:00:00"/>
    <x v="266"/>
    <n v="20081991"/>
    <s v="PUMPKIN SEEDS ORIGIN: INDIA,CROP:2025  PACKING: 12.5 KG VACUUM X 2 IN 180 MASTER BOX"/>
    <x v="31"/>
    <x v="6"/>
    <n v="4500"/>
    <s v="KGS"/>
    <n v="6.1531377777777774"/>
    <n v="27689.119999999999"/>
    <n v="6153.14"/>
    <x v="31"/>
    <x v="23"/>
    <s v="Mundra"/>
    <s v="Sea"/>
    <n v="4.5"/>
    <s v="MTS"/>
    <n v="28575"/>
    <n v="6350"/>
    <s v="USD"/>
    <s v=" FRUIT, NUTS AND OTHER EDIBLE PARTS OF PLANTS, OTHERWISE PREPARED OR PRESERVED, WHETHER OR NOT CONTAINING ADDED SUGAR OR OTHER SWEETENING MATTER OR SPIRIT, NOT ELSEWHERE SPECIFIED OR INCLUDED,  including mixtures:"/>
    <n v="20"/>
    <n v="2008"/>
    <x v="335"/>
    <n v="29911903"/>
    <s v="2411000944"/>
  </r>
  <r>
    <d v="2025-07-01T00:00:00"/>
    <x v="267"/>
    <n v="12079990"/>
    <s v="DRIED PUMPKIN SEEDS PACK IN CTN BOXES- SUPPLIER NAME: REAL MOMENTS PRODUCTIONLLP - GSTIN:08ABDFR8447E1ZZ"/>
    <x v="1"/>
    <x v="1"/>
    <n v="2000"/>
    <s v="KGS"/>
    <n v="2.0259399999999999"/>
    <n v="4051.88"/>
    <n v="2025.94"/>
    <x v="1"/>
    <x v="1"/>
    <s v="Madras Sea"/>
    <s v="Sea"/>
    <n v="2"/>
    <s v="MTS"/>
    <n v="4120"/>
    <n v="2060"/>
    <s v="USD"/>
    <s v=" OTHER OIL SEEDS AND OLEAGINOUS FRUITS, WHETHER OR NOT BROKEN,  Other:, Other"/>
    <n v="12"/>
    <n v="1207"/>
    <x v="336"/>
    <n v="32546005"/>
    <s v="AAPFG4059E"/>
  </r>
  <r>
    <d v="2025-07-01T00:00:00"/>
    <x v="267"/>
    <n v="20081999"/>
    <s v="PUMPKIN SEEDS  ROASTED "/>
    <x v="39"/>
    <x v="93"/>
    <n v="1000"/>
    <s v="KGS"/>
    <n v="1.4049799999999999"/>
    <n v="1404.98"/>
    <n v="1.4"/>
    <x v="37"/>
    <x v="22"/>
    <s v="Raxaul"/>
    <s v="Road"/>
    <n v="1000"/>
    <s v="KGS"/>
    <n v="121000"/>
    <n v="121"/>
    <s v="INR"/>
    <s v=" FRUIT, NUTS AND OTHER EDIBLE PARTS OF PLANTS, OTHERWISE PREPARED OR PRESERVED, WHETHER OR NOT CONTAINING ADDED SUGAR OR OTHER SWEETENING MATTER OR SPIRIT, NOT ELSEWHERE SPECIFIED OR INCLUDED,  including mixtures:"/>
    <n v="20"/>
    <n v="2008"/>
    <x v="337"/>
    <n v="32298923"/>
    <s v="AHJPG9087D"/>
  </r>
  <r>
    <d v="2025-07-04T00:00:00"/>
    <x v="268"/>
    <n v="20081999"/>
    <s v="PUMPKIN SEEDS ROASTED"/>
    <x v="39"/>
    <x v="80"/>
    <n v="2500"/>
    <s v="KGS"/>
    <n v="1.4290879999999999"/>
    <n v="3572.72"/>
    <n v="1.43"/>
    <x v="37"/>
    <x v="22"/>
    <s v="Raxaul"/>
    <s v="Road"/>
    <n v="2500"/>
    <s v="KGS"/>
    <n v="302500"/>
    <n v="121"/>
    <s v="INR"/>
    <s v=" FRUIT, NUTS AND OTHER EDIBLE PARTS OF PLANTS, OTHERWISE PREPARED OR PRESERVED, WHETHER OR NOT CONTAINING ADDED SUGAR OR OTHER SWEETENING MATTER OR SPIRIT, NOT ELSEWHERE SPECIFIED OR INCLUDED,  including mixtures:"/>
    <n v="20"/>
    <n v="2008"/>
    <x v="338"/>
    <n v="32530649"/>
    <s v="AHJPG9087D"/>
  </r>
  <r>
    <d v="2025-07-06T00:00:00"/>
    <x v="269"/>
    <n v="20081999"/>
    <s v="PUMPKIN SEED ROASTED"/>
    <x v="39"/>
    <x v="141"/>
    <n v="2500"/>
    <s v="KGS"/>
    <n v="1.4409000000000001"/>
    <n v="3602.25"/>
    <n v="1.44"/>
    <x v="30"/>
    <x v="22"/>
    <s v="Berhni"/>
    <s v="Road"/>
    <n v="2500"/>
    <s v="KGS"/>
    <n v="305000"/>
    <n v="122"/>
    <s v="INR"/>
    <s v=" FRUIT, NUTS AND OTHER EDIBLE PARTS OF PLANTS, OTHERWISE PREPARED OR PRESERVED, WHETHER OR NOT CONTAINING ADDED SUGAR OR OTHER SWEETENING MATTER OR SPIRIT, NOT ELSEWHERE SPECIFIED OR INCLUDED,  including mixtures:"/>
    <n v="20"/>
    <n v="2008"/>
    <x v="339"/>
    <n v="38383232"/>
    <s v="AHJPG9087D"/>
  </r>
  <r>
    <d v="2025-07-08T00:00:00"/>
    <x v="270"/>
    <n v="20081999"/>
    <s v="PUMPKIN SEEDS KERNALS"/>
    <x v="83"/>
    <x v="99"/>
    <n v="4500"/>
    <s v="KGS"/>
    <n v="1.4172777777777781"/>
    <n v="6377.75"/>
    <n v="1.42"/>
    <x v="37"/>
    <x v="22"/>
    <s v="Raxaul"/>
    <s v="Road"/>
    <n v="4500"/>
    <s v="KGS"/>
    <n v="540000"/>
    <n v="120"/>
    <s v="INR"/>
    <s v=" FRUIT, NUTS AND OTHER EDIBLE PARTS OF PLANTS, OTHERWISE PREPARED OR PRESERVED, WHETHER OR NOT CONTAINING ADDED SUGAR OR OTHER SWEETENING MATTER OR SPIRIT, NOT ELSEWHERE SPECIFIED OR INCLUDED,  including mixtures:"/>
    <n v="20"/>
    <n v="2008"/>
    <x v="340"/>
    <n v="32399482"/>
    <s v="0509008615"/>
  </r>
  <r>
    <d v="2025-07-08T00:00:00"/>
    <x v="270"/>
    <n v="12129990"/>
    <s v="JOSH PUMPKIN SEEDS"/>
    <x v="2"/>
    <x v="5"/>
    <n v="995"/>
    <s v="KGS"/>
    <n v="4.4823718592964834"/>
    <n v="4459.96"/>
    <n v="4.4800000000000004"/>
    <x v="5"/>
    <x v="2"/>
    <s v="JNPT"/>
    <s v="Sea"/>
    <n v="995"/>
    <s v="KGS"/>
    <n v="3383"/>
    <n v="3.4"/>
    <s v="GBP"/>
    <s v=" LOCUST BEANS, SEAWEEDS AND OTHER ALGAE, SUGAR BEET AND SUGARCANE, FRESH, CHILLED, FROZEN OR DRIED, WHETHER OR NOT GROUND; FRUIT STONES AND KERNELS AND OTHER VEGETABLE PRODUCTS (INCLUDING UNROASTED CHICORY ROOTS OF THE VARIETY CICHORIUM INTYBUS SATIVUM) O,  Other:, Other"/>
    <n v="12"/>
    <n v="1212"/>
    <x v="341"/>
    <n v="32634338"/>
    <s v="0302048987"/>
  </r>
  <r>
    <d v="2025-07-08T00:00:00"/>
    <x v="270"/>
    <n v="20081999"/>
    <s v="PUMPKIN SEEDS KERNALS"/>
    <x v="83"/>
    <x v="99"/>
    <n v="1500"/>
    <s v="KGS"/>
    <n v="1.4172800000000001"/>
    <n v="2125.92"/>
    <n v="1.42"/>
    <x v="37"/>
    <x v="22"/>
    <s v="Raxaul"/>
    <s v="Road"/>
    <n v="1500"/>
    <s v="KGS"/>
    <n v="180000"/>
    <n v="120"/>
    <s v="INR"/>
    <s v=" FRUIT, NUTS AND OTHER EDIBLE PARTS OF PLANTS, OTHERWISE PREPARED OR PRESERVED, WHETHER OR NOT CONTAINING ADDED SUGAR OR OTHER SWEETENING MATTER OR SPIRIT, NOT ELSEWHERE SPECIFIED OR INCLUDED,  including mixtures:"/>
    <n v="20"/>
    <n v="2008"/>
    <x v="342"/>
    <n v="32399479"/>
    <s v="0509008615"/>
  </r>
  <r>
    <d v="2025-07-09T00:00:00"/>
    <x v="271"/>
    <n v="20081929"/>
    <s v="PUMPKIN SEED 50 CTN 20PKTS X 1KG = 20KG CTN"/>
    <x v="12"/>
    <x v="6"/>
    <n v="1000"/>
    <s v="KGS"/>
    <n v="4.2033999999999994"/>
    <n v="4203.3999999999996"/>
    <n v="4.2"/>
    <x v="53"/>
    <x v="5"/>
    <s v="JNPT"/>
    <s v="Sea"/>
    <n v="1000"/>
    <s v="KGS"/>
    <n v="4430"/>
    <n v="4.43"/>
    <s v="USD"/>
    <s v=" FRUIT, NUTS AND OTHER EDIBLE PARTS OF PLANTS, OTHERWISE PREPARED OR PRESERVED, WHETHER OR NOT CONTAINING ADDED SUGAR OR OTHER SWEETENING MATTER OR SPIRIT, NOT ELSEWHERE SPECIFIED OR INCLUDED,  including mixtures:"/>
    <n v="20"/>
    <n v="2008"/>
    <x v="343"/>
    <n v="32540361"/>
    <s v="0388039329"/>
  </r>
  <r>
    <d v="2025-07-13T00:00:00"/>
    <x v="272"/>
    <n v="20081999"/>
    <s v="PUMPKIN SEEDS"/>
    <x v="39"/>
    <x v="119"/>
    <n v="1000"/>
    <s v="KGS"/>
    <n v="1.42909"/>
    <n v="1429.09"/>
    <n v="1.43"/>
    <x v="29"/>
    <x v="22"/>
    <s v="Raxaul"/>
    <s v="Road"/>
    <n v="1000"/>
    <s v="KGS"/>
    <n v="121000"/>
    <n v="121"/>
    <s v="INR"/>
    <s v=" FRUIT, NUTS AND OTHER EDIBLE PARTS OF PLANTS, OTHERWISE PREPARED OR PRESERVED, WHETHER OR NOT CONTAINING ADDED SUGAR OR OTHER SWEETENING MATTER OR SPIRIT, NOT ELSEWHERE SPECIFIED OR INCLUDED,  including mixtures:"/>
    <n v="20"/>
    <n v="2008"/>
    <x v="344"/>
    <n v="34302154"/>
    <s v="AHJPG9087D"/>
  </r>
  <r>
    <d v="2025-07-14T00:00:00"/>
    <x v="273"/>
    <n v="20081999"/>
    <s v="PUMPKIN SEEDS KERNALS"/>
    <x v="83"/>
    <x v="121"/>
    <n v="2000"/>
    <s v="KGS"/>
    <n v="1.6653"/>
    <n v="3330.6"/>
    <n v="1.67"/>
    <x v="37"/>
    <x v="22"/>
    <s v="Raxaul"/>
    <s v="Road"/>
    <n v="2000"/>
    <s v="KGS"/>
    <n v="282000"/>
    <n v="141"/>
    <s v="INR"/>
    <s v=" FRUIT, NUTS AND OTHER EDIBLE PARTS OF PLANTS, OTHERWISE PREPARED OR PRESERVED, WHETHER OR NOT CONTAINING ADDED SUGAR OR OTHER SWEETENING MATTER OR SPIRIT, NOT ELSEWHERE SPECIFIED OR INCLUDED,  including mixtures:"/>
    <n v="20"/>
    <n v="2008"/>
    <x v="345"/>
    <n v="33672183"/>
    <s v="0509008615"/>
  </r>
  <r>
    <d v="2025-07-16T00:00:00"/>
    <x v="274"/>
    <n v="20081999"/>
    <s v="PUMPKIN SEEDS ROASTED"/>
    <x v="39"/>
    <x v="90"/>
    <n v="200"/>
    <s v="KGS"/>
    <n v="1.4033"/>
    <n v="280.66000000000003"/>
    <n v="1.4"/>
    <x v="30"/>
    <x v="22"/>
    <s v="Berhni"/>
    <s v="Road"/>
    <n v="200"/>
    <s v="KGS"/>
    <n v="24200"/>
    <n v="121"/>
    <s v="INR"/>
    <s v=" FRUIT, NUTS AND OTHER EDIBLE PARTS OF PLANTS, OTHERWISE PREPARED OR PRESERVED, WHETHER OR NOT CONTAINING ADDED SUGAR OR OTHER SWEETENING MATTER OR SPIRIT, NOT ELSEWHERE SPECIFIED OR INCLUDED,  including mixtures:"/>
    <n v="20"/>
    <n v="2008"/>
    <x v="346"/>
    <n v="37876457"/>
    <s v="AHJPG9087D"/>
  </r>
  <r>
    <d v="2025-07-16T00:00:00"/>
    <x v="274"/>
    <n v="20081999"/>
    <s v="PUMPKIN SEED"/>
    <x v="39"/>
    <x v="107"/>
    <n v="1000"/>
    <s v="KGS"/>
    <n v="1.4409000000000001"/>
    <n v="1440.9"/>
    <n v="1.44"/>
    <x v="37"/>
    <x v="22"/>
    <s v="Raxaul"/>
    <s v="Road"/>
    <n v="1000"/>
    <s v="KGS"/>
    <n v="122000"/>
    <n v="122"/>
    <s v="INR"/>
    <s v=" FRUIT, NUTS AND OTHER EDIBLE PARTS OF PLANTS, OTHERWISE PREPARED OR PRESERVED, WHETHER OR NOT CONTAINING ADDED SUGAR OR OTHER SWEETENING MATTER OR SPIRIT, NOT ELSEWHERE SPECIFIED OR INCLUDED,  including mixtures:"/>
    <n v="20"/>
    <n v="2008"/>
    <x v="347"/>
    <n v="33740706"/>
    <s v="AHJPG9087D"/>
  </r>
  <r>
    <d v="2025-07-17T00:00:00"/>
    <x v="275"/>
    <n v="20081929"/>
    <s v="Pumpkin Seeds 20 PP Bags Each Bag NettWt 20.000 Kgs &amp; Gross Wt.20.050 Kgs"/>
    <x v="6"/>
    <x v="6"/>
    <n v="400"/>
    <s v="KGS"/>
    <n v="3.9910749999999999"/>
    <n v="1596.43"/>
    <n v="3.99"/>
    <x v="53"/>
    <x v="5"/>
    <s v="JNPT"/>
    <s v="Sea"/>
    <n v="400"/>
    <s v="KGS"/>
    <n v="1600"/>
    <n v="4"/>
    <s v="USD"/>
    <s v=" FRUIT, NUTS AND OTHER EDIBLE PARTS OF PLANTS, OTHERWISE PREPARED OR PRESERVED, WHETHER OR NOT CONTAINING ADDED SUGAR OR OTHER SWEETENING MATTER OR SPIRIT, NOT ELSEWHERE SPECIFIED OR INCLUDED,  including mixtures:"/>
    <n v="20"/>
    <n v="2008"/>
    <x v="348"/>
    <n v="33464337"/>
    <s v="AAXFK3162C"/>
  </r>
  <r>
    <d v="2025-07-19T00:00:00"/>
    <x v="276"/>
    <n v="20081999"/>
    <s v="PUMPKIN SEEDS  ROASTED "/>
    <x v="39"/>
    <x v="96"/>
    <n v="500"/>
    <s v="KGS"/>
    <n v="1.3934200000000001"/>
    <n v="696.71"/>
    <n v="1.39"/>
    <x v="37"/>
    <x v="22"/>
    <s v="Raxaul"/>
    <s v="Road"/>
    <n v="500"/>
    <s v="KGS"/>
    <n v="60500"/>
    <n v="121"/>
    <s v="INR"/>
    <s v=" FRUIT, NUTS AND OTHER EDIBLE PARTS OF PLANTS, OTHERWISE PREPARED OR PRESERVED, WHETHER OR NOT CONTAINING ADDED SUGAR OR OTHER SWEETENING MATTER OR SPIRIT, NOT ELSEWHERE SPECIFIED OR INCLUDED,  including mixtures:"/>
    <n v="20"/>
    <n v="2008"/>
    <x v="349"/>
    <n v="33576383"/>
    <s v="AHJPG9087D"/>
  </r>
  <r>
    <d v="2025-07-19T00:00:00"/>
    <x v="276"/>
    <n v="20081999"/>
    <s v="PUMPKIN SEED"/>
    <x v="39"/>
    <x v="94"/>
    <n v="1250"/>
    <s v="KGS"/>
    <n v="1.4190160000000001"/>
    <n v="1773.77"/>
    <n v="1.42"/>
    <x v="37"/>
    <x v="22"/>
    <s v="Raxaul"/>
    <s v="Road"/>
    <n v="1250"/>
    <s v="KGS"/>
    <n v="151250"/>
    <n v="121"/>
    <s v="INR"/>
    <s v=" FRUIT, NUTS AND OTHER EDIBLE PARTS OF PLANTS, OTHERWISE PREPARED OR PRESERVED, WHETHER OR NOT CONTAINING ADDED SUGAR OR OTHER SWEETENING MATTER OR SPIRIT, NOT ELSEWHERE SPECIFIED OR INCLUDED,  including mixtures:"/>
    <n v="20"/>
    <n v="2008"/>
    <x v="350"/>
    <n v="33837783"/>
    <s v="AHJPG9087D"/>
  </r>
  <r>
    <d v="2025-07-25T00:00:00"/>
    <x v="277"/>
    <n v="20081999"/>
    <s v="PUMPKIN SEED"/>
    <x v="39"/>
    <x v="138"/>
    <n v="850"/>
    <s v="KGS"/>
    <n v="1.419011764705882"/>
    <n v="1206.1600000000001"/>
    <n v="1.42"/>
    <x v="37"/>
    <x v="22"/>
    <s v="Raxaul"/>
    <s v="Road"/>
    <n v="850"/>
    <s v="KGS"/>
    <n v="102850"/>
    <n v="121"/>
    <s v="INR"/>
    <s v=" FRUIT, NUTS AND OTHER EDIBLE PARTS OF PLANTS, OTHERWISE PREPARED OR PRESERVED, WHETHER OR NOT CONTAINING ADDED SUGAR OR OTHER SWEETENING MATTER OR SPIRIT, NOT ELSEWHERE SPECIFIED OR INCLUDED,  including mixtures:"/>
    <n v="20"/>
    <n v="2008"/>
    <x v="351"/>
    <n v="37594859"/>
    <s v="AHJPG9087D"/>
  </r>
  <r>
    <d v="2025-07-25T00:00:00"/>
    <x v="277"/>
    <n v="20081999"/>
    <s v="PUMPKIN SEED"/>
    <x v="39"/>
    <x v="142"/>
    <n v="4000"/>
    <s v="KGS"/>
    <n v="1.4190125"/>
    <n v="5676.05"/>
    <n v="1.42"/>
    <x v="37"/>
    <x v="22"/>
    <s v="Raxaul"/>
    <s v="Road"/>
    <n v="4000"/>
    <s v="KGS"/>
    <n v="484000"/>
    <n v="121"/>
    <s v="INR"/>
    <s v=" FRUIT, NUTS AND OTHER EDIBLE PARTS OF PLANTS, OTHERWISE PREPARED OR PRESERVED, WHETHER OR NOT CONTAINING ADDED SUGAR OR OTHER SWEETENING MATTER OR SPIRIT, NOT ELSEWHERE SPECIFIED OR INCLUDED,  including mixtures:"/>
    <n v="20"/>
    <n v="2008"/>
    <x v="352"/>
    <n v="37308522"/>
    <s v="AHJPG9087D"/>
  </r>
  <r>
    <d v="2025-07-28T00:00:00"/>
    <x v="278"/>
    <n v="20081992"/>
    <s v="CD Pumpkin Seed Ball 15x275g"/>
    <x v="78"/>
    <x v="140"/>
    <n v="206.25"/>
    <s v="KGS"/>
    <n v="6.8952727272727277"/>
    <n v="1422.15"/>
    <n v="6.9"/>
    <x v="16"/>
    <x v="8"/>
    <s v="Cochin Sea"/>
    <s v="Sea"/>
    <n v="206.25"/>
    <s v="KGS"/>
    <n v="1425.19"/>
    <n v="6.91"/>
    <s v="USD"/>
    <s v=" FRUIT, NUTS AND OTHER EDIBLE PARTS OF PLANTS, OTHERWISE PREPARED OR PRESERVED, WHETHER OR NOT CONTAINING ADDED SUGAR OR OTHER SWEETENING MATTER OR SPIRIT, NOT ELSEWHERE SPECIFIED OR INCLUDED,  including mixtures:"/>
    <n v="20"/>
    <n v="2008"/>
    <x v="353"/>
    <n v="36987590"/>
    <s v="1003000860"/>
  </r>
  <r>
    <d v="2025-07-30T00:00:00"/>
    <x v="279"/>
    <n v="20081999"/>
    <s v="PUMPKIN FOOD SEEDS"/>
    <x v="88"/>
    <x v="127"/>
    <n v="50"/>
    <s v="KGS"/>
    <n v="4.6063999999999998"/>
    <n v="230.32"/>
    <n v="4.6100000000000003"/>
    <x v="42"/>
    <x v="11"/>
    <s v="Jaigaon"/>
    <s v="Road"/>
    <n v="50"/>
    <s v="KGS"/>
    <n v="20000"/>
    <n v="400"/>
    <s v="INR"/>
    <s v=" FRUIT, NUTS AND OTHER EDIBLE PARTS OF PLANTS, OTHERWISE PREPARED OR PRESERVED, WHETHER OR NOT CONTAINING ADDED SUGAR OR OTHER SWEETENING MATTER OR SPIRIT, NOT ELSEWHERE SPECIFIED OR INCLUDED,  including mixtures:"/>
    <n v="20"/>
    <n v="2008"/>
    <x v="354"/>
    <n v="36971607"/>
    <s v="AAOHK6472N"/>
  </r>
  <r>
    <d v="2025-07-30T00:00:00"/>
    <x v="279"/>
    <n v="20081999"/>
    <s v="PUMPKIN SEEDS KERNALS"/>
    <x v="83"/>
    <x v="41"/>
    <n v="2500"/>
    <s v="KGS"/>
    <n v="1.4190119999999999"/>
    <n v="3547.53"/>
    <n v="1.42"/>
    <x v="37"/>
    <x v="22"/>
    <s v="Raxaul"/>
    <s v="Road"/>
    <n v="2500"/>
    <s v="KGS"/>
    <n v="302500"/>
    <n v="121"/>
    <s v="INR"/>
    <s v=" FRUIT, NUTS AND OTHER EDIBLE PARTS OF PLANTS, OTHERWISE PREPARED OR PRESERVED, WHETHER OR NOT CONTAINING ADDED SUGAR OR OTHER SWEETENING MATTER OR SPIRIT, NOT ELSEWHERE SPECIFIED OR INCLUDED,  including mixtures:"/>
    <n v="20"/>
    <n v="2008"/>
    <x v="355"/>
    <n v="37327141"/>
    <s v="0509008615"/>
  </r>
  <r>
    <d v="2025-07-31T00:00:00"/>
    <x v="280"/>
    <n v="20081999"/>
    <s v="PUMPKIN SEED"/>
    <x v="39"/>
    <x v="59"/>
    <n v="2000"/>
    <s v="KGS"/>
    <n v="1.4190149999999999"/>
    <n v="2838.03"/>
    <n v="1.42"/>
    <x v="29"/>
    <x v="22"/>
    <s v="Raxaul"/>
    <s v="Road"/>
    <n v="2000"/>
    <s v="KGS"/>
    <n v="242000"/>
    <n v="121"/>
    <s v="INR"/>
    <s v=" FRUIT, NUTS AND OTHER EDIBLE PARTS OF PLANTS, OTHERWISE PREPARED OR PRESERVED, WHETHER OR NOT CONTAINING ADDED SUGAR OR OTHER SWEETENING MATTER OR SPIRIT, NOT ELSEWHERE SPECIFIED OR INCLUDED,  including mixtures:"/>
    <n v="20"/>
    <n v="2008"/>
    <x v="356"/>
    <n v="37029575"/>
    <s v="AHJPG9087D"/>
  </r>
  <r>
    <d v="2025-07-31T00:00:00"/>
    <x v="280"/>
    <n v="20081999"/>
    <s v="PUMPKIN SEEDS  ROASTED "/>
    <x v="39"/>
    <x v="94"/>
    <n v="1000"/>
    <s v="KGS"/>
    <n v="1.4190100000000001"/>
    <n v="1419.01"/>
    <n v="1.42"/>
    <x v="37"/>
    <x v="22"/>
    <s v="Raxaul"/>
    <s v="Road"/>
    <n v="1000"/>
    <s v="KGS"/>
    <n v="121000"/>
    <n v="121"/>
    <s v="INR"/>
    <s v=" FRUIT, NUTS AND OTHER EDIBLE PARTS OF PLANTS, OTHERWISE PREPARED OR PRESERVED, WHETHER OR NOT CONTAINING ADDED SUGAR OR OTHER SWEETENING MATTER OR SPIRIT, NOT ELSEWHERE SPECIFIED OR INCLUDED,  including mixtures:"/>
    <n v="20"/>
    <n v="2008"/>
    <x v="357"/>
    <n v="36993110"/>
    <s v="AHJPG9087D"/>
  </r>
  <r>
    <d v="2025-08-02T00:00:00"/>
    <x v="281"/>
    <n v="20081999"/>
    <s v="PUMPKIN SEED"/>
    <x v="39"/>
    <x v="99"/>
    <n v="6850"/>
    <s v="KGS"/>
    <n v="1.184465693430657"/>
    <n v="8113.59"/>
    <n v="1.18"/>
    <x v="37"/>
    <x v="22"/>
    <s v="Raxaul"/>
    <s v="Road"/>
    <n v="6850"/>
    <s v="KGS"/>
    <n v="691850"/>
    <n v="101"/>
    <s v="INR"/>
    <s v=" FRUIT, NUTS AND OTHER EDIBLE PARTS OF PLANTS, OTHERWISE PREPARED OR PRESERVED, WHETHER OR NOT CONTAINING ADDED SUGAR OR OTHER SWEETENING MATTER OR SPIRIT, NOT ELSEWHERE SPECIFIED OR INCLUDED,  including mixtures:"/>
    <n v="20"/>
    <n v="2008"/>
    <x v="358"/>
    <n v="39798093"/>
    <s v="AHJPG9087D"/>
  </r>
  <r>
    <d v="2025-08-03T00:00:00"/>
    <x v="282"/>
    <n v="20081999"/>
    <s v="PUMPKIN SEEDS"/>
    <x v="39"/>
    <x v="89"/>
    <n v="500"/>
    <s v="KGS"/>
    <n v="1.3934200000000001"/>
    <n v="696.71"/>
    <n v="1.39"/>
    <x v="29"/>
    <x v="22"/>
    <s v="Raxaul"/>
    <s v="Road"/>
    <n v="500"/>
    <s v="KGS"/>
    <n v="60500"/>
    <n v="121"/>
    <s v="INR"/>
    <s v=" FRUIT, NUTS AND OTHER EDIBLE PARTS OF PLANTS, OTHERWISE PREPARED OR PRESERVED, WHETHER OR NOT CONTAINING ADDED SUGAR OR OTHER SWEETENING MATTER OR SPIRIT, NOT ELSEWHERE SPECIFIED OR INCLUDED,  including mixtures:"/>
    <n v="20"/>
    <n v="2008"/>
    <x v="359"/>
    <n v="39737015"/>
    <s v="AHJPG9087D"/>
  </r>
  <r>
    <d v="2025-08-04T00:00:00"/>
    <x v="283"/>
    <n v="20081929"/>
    <s v="PUMPKIN SEEDS"/>
    <x v="80"/>
    <x v="143"/>
    <n v="200"/>
    <s v="KGS"/>
    <n v="4.4832999999999998"/>
    <n v="896.66"/>
    <n v="4.4800000000000004"/>
    <x v="14"/>
    <x v="12"/>
    <s v="Tuticorin Sea"/>
    <s v="Sea"/>
    <n v="200"/>
    <s v="KGS"/>
    <n v="920"/>
    <n v="4.5999999999999996"/>
    <s v="USD"/>
    <s v=" FRUIT, NUTS AND OTHER EDIBLE PARTS OF PLANTS, OTHERWISE PREPARED OR PRESERVED, WHETHER OR NOT CONTAINING ADDED SUGAR OR OTHER SWEETENING MATTER OR SPIRIT, NOT ELSEWHERE SPECIFIED OR INCLUDED,  including mixtures:"/>
    <n v="20"/>
    <n v="2008"/>
    <x v="360"/>
    <n v="39738316"/>
    <s v="FPAPM2103E"/>
  </r>
  <r>
    <d v="2025-08-04T00:00:00"/>
    <x v="283"/>
    <n v="20081991"/>
    <s v="PUMPKIN SEEDS"/>
    <x v="98"/>
    <x v="144"/>
    <n v="50"/>
    <s v="KGS"/>
    <n v="4.3094000000000001"/>
    <n v="215.47"/>
    <n v="4.3099999999999996"/>
    <x v="25"/>
    <x v="4"/>
    <s v="Madras Sea"/>
    <s v="Sea"/>
    <n v="50"/>
    <s v="KGS"/>
    <n v="285"/>
    <n v="5.7"/>
    <s v="SGD"/>
    <s v=" FRUIT, NUTS AND OTHER EDIBLE PARTS OF PLANTS, OTHERWISE PREPARED OR PRESERVED, WHETHER OR NOT CONTAINING ADDED SUGAR OR OTHER SWEETENING MATTER OR SPIRIT, NOT ELSEWHERE SPECIFIED OR INCLUDED,  including mixtures:"/>
    <n v="20"/>
    <n v="2008"/>
    <x v="361"/>
    <n v="39828733"/>
    <s v="0415012562"/>
  </r>
  <r>
    <d v="2025-08-04T00:00:00"/>
    <x v="283"/>
    <n v="20081991"/>
    <s v="PUMPKIN SEEDS ORIGIN: INDIA,CROP:2025 PACKING: 12.5 KG VACUUM X 2IN 40 MASTER BOXES"/>
    <x v="31"/>
    <x v="6"/>
    <n v="1000"/>
    <s v="KGS"/>
    <n v="1.5292300000000001"/>
    <n v="1529.23"/>
    <n v="1529.23"/>
    <x v="53"/>
    <x v="5"/>
    <s v="Mundra"/>
    <s v="Sea"/>
    <n v="1"/>
    <s v="MTS"/>
    <n v="1630"/>
    <n v="1630"/>
    <s v="USD"/>
    <s v=" FRUIT, NUTS AND OTHER EDIBLE PARTS OF PLANTS, OTHERWISE PREPARED OR PRESERVED, WHETHER OR NOT CONTAINING ADDED SUGAR OR OTHER SWEETENING MATTER OR SPIRIT, NOT ELSEWHERE SPECIFIED OR INCLUDED,  including mixtures:"/>
    <n v="20"/>
    <n v="2008"/>
    <x v="362"/>
    <n v="39970959"/>
    <s v="2411000944"/>
  </r>
  <r>
    <d v="2025-08-06T00:00:00"/>
    <x v="284"/>
    <n v="20081991"/>
    <s v="Pumpkin Seeds 10KG"/>
    <x v="73"/>
    <x v="101"/>
    <n v="10"/>
    <s v="KGS"/>
    <n v="4.165"/>
    <n v="41.65"/>
    <n v="4.17"/>
    <x v="14"/>
    <x v="12"/>
    <s v="Tuticorin Sea"/>
    <s v="Sea"/>
    <n v="10"/>
    <s v="KGS"/>
    <n v="42.5"/>
    <n v="4.25"/>
    <s v="USD"/>
    <s v=" FRUIT, NUTS AND OTHER EDIBLE PARTS OF PLANTS, OTHERWISE PREPARED OR PRESERVED, WHETHER OR NOT CONTAINING ADDED SUGAR OR OTHER SWEETENING MATTER OR SPIRIT, NOT ELSEWHERE SPECIFIED OR INCLUDED,  including mixtures:"/>
    <n v="20"/>
    <n v="2008"/>
    <x v="363"/>
    <n v="40239269"/>
    <s v="BQNPK2744P"/>
  </r>
  <r>
    <d v="2025-08-07T00:00:00"/>
    <x v="285"/>
    <n v="20081999"/>
    <s v="PUMPKIN SEEDS KERNELS"/>
    <x v="57"/>
    <x v="66"/>
    <n v="250"/>
    <s v="KGS"/>
    <n v="1.1516"/>
    <n v="287.89999999999998"/>
    <n v="1.1499999999999999"/>
    <x v="29"/>
    <x v="22"/>
    <s v="Raxaul"/>
    <s v="Road"/>
    <n v="250"/>
    <s v="KGS"/>
    <n v="25000"/>
    <n v="100"/>
    <s v="INR"/>
    <s v=" FRUIT, NUTS AND OTHER EDIBLE PARTS OF PLANTS, OTHERWISE PREPARED OR PRESERVED, WHETHER OR NOT CONTAINING ADDED SUGAR OR OTHER SWEETENING MATTER OR SPIRIT, NOT ELSEWHERE SPECIFIED OR INCLUDED,  including mixtures:"/>
    <n v="20"/>
    <n v="2008"/>
    <x v="364"/>
    <n v="39731852"/>
    <s v="AAYPL3187H"/>
  </r>
  <r>
    <d v="2025-08-09T00:00:00"/>
    <x v="286"/>
    <n v="20081999"/>
    <s v="PUMPKIN SEEDS ROASTED"/>
    <x v="39"/>
    <x v="145"/>
    <n v="1550"/>
    <s v="KGS"/>
    <n v="1.1599290322580651"/>
    <n v="1797.89"/>
    <n v="1.1599999999999999"/>
    <x v="29"/>
    <x v="22"/>
    <s v="Raxaul"/>
    <s v="Road"/>
    <n v="1550"/>
    <s v="KGS"/>
    <n v="156550"/>
    <n v="101"/>
    <s v="INR"/>
    <s v=" FRUIT, NUTS AND OTHER EDIBLE PARTS OF PLANTS, OTHERWISE PREPARED OR PRESERVED, WHETHER OR NOT CONTAINING ADDED SUGAR OR OTHER SWEETENING MATTER OR SPIRIT, NOT ELSEWHERE SPECIFIED OR INCLUDED,  including mixtures:"/>
    <n v="20"/>
    <n v="2008"/>
    <x v="365"/>
    <n v="39761741"/>
    <s v="AHJPG9087D"/>
  </r>
  <r>
    <d v="2025-08-09T00:00:00"/>
    <x v="286"/>
    <n v="20081999"/>
    <s v="PUMPKIN SEED"/>
    <x v="39"/>
    <x v="68"/>
    <n v="200"/>
    <s v="KGS"/>
    <n v="1.3645499999999999"/>
    <n v="272.91000000000003"/>
    <n v="1.36"/>
    <x v="29"/>
    <x v="22"/>
    <s v="Raxaul"/>
    <s v="Road"/>
    <n v="200"/>
    <s v="KGS"/>
    <n v="24200"/>
    <n v="121"/>
    <s v="INR"/>
    <s v=" FRUIT, NUTS AND OTHER EDIBLE PARTS OF PLANTS, OTHERWISE PREPARED OR PRESERVED, WHETHER OR NOT CONTAINING ADDED SUGAR OR OTHER SWEETENING MATTER OR SPIRIT, NOT ELSEWHERE SPECIFIED OR INCLUDED,  including mixtures:"/>
    <n v="20"/>
    <n v="2008"/>
    <x v="366"/>
    <n v="39760656"/>
    <s v="AHJPG9087D"/>
  </r>
  <r>
    <d v="2025-08-09T00:00:00"/>
    <x v="286"/>
    <n v="12079990"/>
    <s v="PUMPKIN SEED 100 GRMS"/>
    <x v="71"/>
    <x v="92"/>
    <n v="20"/>
    <s v="KGS"/>
    <n v="7.0995000000000008"/>
    <n v="141.99"/>
    <n v="7.1"/>
    <x v="25"/>
    <x v="4"/>
    <s v="Madras Sea"/>
    <s v="Sea"/>
    <n v="20"/>
    <s v="KGS"/>
    <n v="184"/>
    <n v="9.1999999999999993"/>
    <s v="SGD"/>
    <s v=" OTHER OIL SEEDS AND OLEAGINOUS FRUITS, WHETHER OR NOT BROKEN,  Other:, Other"/>
    <n v="12"/>
    <n v="1207"/>
    <x v="367"/>
    <n v="39843396"/>
    <s v="AAKCG5460D"/>
  </r>
  <r>
    <d v="2025-08-09T00:00:00"/>
    <x v="286"/>
    <n v="20081999"/>
    <s v="Pumpkin Seeds-OTHER DETAILED AS PER DOCUMENT &amp;PL"/>
    <x v="99"/>
    <x v="6"/>
    <n v="25"/>
    <s v="KGS"/>
    <n v="4.0831999999999997"/>
    <n v="102.08"/>
    <n v="4083.2"/>
    <x v="25"/>
    <x v="4"/>
    <s v="Mundra"/>
    <s v="Sea"/>
    <n v="2.5000000000000001E-2"/>
    <s v="MTS"/>
    <n v="104.5"/>
    <n v="4180"/>
    <s v="USD"/>
    <s v=" FRUIT, NUTS AND OTHER EDIBLE PARTS OF PLANTS, OTHERWISE PREPARED OR PRESERVED, WHETHER OR NOT CONTAINING ADDED SUGAR OR OTHER SWEETENING MATTER OR SPIRIT, NOT ELSEWHERE SPECIFIED OR INCLUDED,  including mixtures:"/>
    <n v="20"/>
    <n v="2008"/>
    <x v="368"/>
    <n v="39899827"/>
    <s v="0812008995"/>
  </r>
  <r>
    <d v="2025-08-11T00:00:00"/>
    <x v="287"/>
    <n v="20081999"/>
    <s v="Pumpkin SEED"/>
    <x v="79"/>
    <x v="146"/>
    <n v="60"/>
    <s v="KGS"/>
    <n v="5.0860000000000003"/>
    <n v="305.16000000000003"/>
    <n v="5.09"/>
    <x v="14"/>
    <x v="12"/>
    <s v="Tuticorin Sea"/>
    <s v="Sea"/>
    <n v="60"/>
    <s v="KGS"/>
    <n v="322.2"/>
    <n v="5.37"/>
    <s v="USD"/>
    <s v=" FRUIT, NUTS AND OTHER EDIBLE PARTS OF PLANTS, OTHERWISE PREPARED OR PRESERVED, WHETHER OR NOT CONTAINING ADDED SUGAR OR OTHER SWEETENING MATTER OR SPIRIT, NOT ELSEWHERE SPECIFIED OR INCLUDED,  including mixtures:"/>
    <n v="20"/>
    <n v="2008"/>
    <x v="369"/>
    <n v="51567666"/>
    <s v="AADCF8309F"/>
  </r>
  <r>
    <d v="2025-08-11T00:00:00"/>
    <x v="287"/>
    <n v="20081999"/>
    <s v="PUMPKIN SEEDS ROASTED"/>
    <x v="39"/>
    <x v="96"/>
    <n v="1000"/>
    <s v="KGS"/>
    <n v="1.1599299999999999"/>
    <n v="1159.93"/>
    <n v="1.1599999999999999"/>
    <x v="37"/>
    <x v="22"/>
    <s v="Raxaul"/>
    <s v="Road"/>
    <n v="1000"/>
    <s v="KGS"/>
    <n v="101000"/>
    <n v="101"/>
    <s v="INR"/>
    <s v=" FRUIT, NUTS AND OTHER EDIBLE PARTS OF PLANTS, OTHERWISE PREPARED OR PRESERVED, WHETHER OR NOT CONTAINING ADDED SUGAR OR OTHER SWEETENING MATTER OR SPIRIT, NOT ELSEWHERE SPECIFIED OR INCLUDED,  including mixtures:"/>
    <n v="20"/>
    <n v="2008"/>
    <x v="370"/>
    <n v="51254037"/>
    <s v="AHJPG9087D"/>
  </r>
  <r>
    <d v="2025-08-11T00:00:00"/>
    <x v="287"/>
    <n v="20081999"/>
    <s v="PUMPKIN SEEDS ROASTED"/>
    <x v="39"/>
    <x v="93"/>
    <n v="500"/>
    <s v="KGS"/>
    <n v="1.1390199999999999"/>
    <n v="569.51"/>
    <n v="1.1399999999999999"/>
    <x v="37"/>
    <x v="22"/>
    <s v="Raxaul"/>
    <s v="Road"/>
    <n v="500"/>
    <s v="KGS"/>
    <n v="50500"/>
    <n v="101"/>
    <s v="INR"/>
    <s v=" FRUIT, NUTS AND OTHER EDIBLE PARTS OF PLANTS, OTHERWISE PREPARED OR PRESERVED, WHETHER OR NOT CONTAINING ADDED SUGAR OR OTHER SWEETENING MATTER OR SPIRIT, NOT ELSEWHERE SPECIFIED OR INCLUDED,  including mixtures:"/>
    <n v="20"/>
    <n v="2008"/>
    <x v="371"/>
    <n v="50927349"/>
    <s v="AHJPG9087D"/>
  </r>
  <r>
    <d v="2025-08-12T00:00:00"/>
    <x v="288"/>
    <n v="20081991"/>
    <s v="ROASTED PUMPKIN SEED"/>
    <x v="100"/>
    <x v="147"/>
    <n v="5"/>
    <s v="KGS"/>
    <n v="5.4139999999999997"/>
    <n v="27.07"/>
    <n v="5.41"/>
    <x v="42"/>
    <x v="11"/>
    <s v="Jaigaon"/>
    <s v="Road"/>
    <n v="5"/>
    <s v="KGS"/>
    <n v="2400"/>
    <n v="480"/>
    <s v="INR"/>
    <s v=" FRUIT, NUTS AND OTHER EDIBLE PARTS OF PLANTS, OTHERWISE PREPARED OR PRESERVED, WHETHER OR NOT CONTAINING ADDED SUGAR OR OTHER SWEETENING MATTER OR SPIRIT, NOT ELSEWHERE SPECIFIED OR INCLUDED,  including mixtures:"/>
    <n v="20"/>
    <n v="2008"/>
    <x v="372"/>
    <n v="51095923"/>
    <s v="0205031986"/>
  </r>
  <r>
    <d v="2025-08-13T00:00:00"/>
    <x v="289"/>
    <n v="12079990"/>
    <s v="DRIED PUMPKIN SEEDS - PKD IN CTN SUPPLIER: REAL MOMENTS PRODUCTION LLP,JAIPUR GST NO:08ABDFR8447E1ZZ"/>
    <x v="1"/>
    <x v="1"/>
    <n v="2000"/>
    <s v="KGS"/>
    <n v="1.976275"/>
    <n v="3952.55"/>
    <n v="1976.28"/>
    <x v="1"/>
    <x v="1"/>
    <s v="Madras Sea"/>
    <s v="Sea"/>
    <n v="2"/>
    <s v="MTS"/>
    <n v="4120"/>
    <n v="2060"/>
    <s v="USD"/>
    <s v=" OTHER OIL SEEDS AND OLEAGINOUS FRUITS, WHETHER OR NOT BROKEN,  Other:, Other"/>
    <n v="12"/>
    <n v="1207"/>
    <x v="373"/>
    <n v="51192671"/>
    <s v="AAPFG4059E"/>
  </r>
  <r>
    <d v="2025-08-17T00:00:00"/>
    <x v="290"/>
    <n v="20081999"/>
    <s v="PUMPKIN SEEDS"/>
    <x v="39"/>
    <x v="86"/>
    <n v="1000"/>
    <s v="KGS"/>
    <n v="1.1599299999999999"/>
    <n v="1159.93"/>
    <n v="1.1599999999999999"/>
    <x v="37"/>
    <x v="22"/>
    <s v="Raxaul"/>
    <s v="Road"/>
    <n v="1000"/>
    <s v="KGS"/>
    <n v="101000"/>
    <n v="101"/>
    <s v="INR"/>
    <s v=" FRUIT, NUTS AND OTHER EDIBLE PARTS OF PLANTS, OTHERWISE PREPARED OR PRESERVED, WHETHER OR NOT CONTAINING ADDED SUGAR OR OTHER SWEETENING MATTER OR SPIRIT, NOT ELSEWHERE SPECIFIED OR INCLUDED,  including mixtures:"/>
    <n v="20"/>
    <n v="2008"/>
    <x v="374"/>
    <n v="51566769"/>
    <s v="AHJPG9087D"/>
  </r>
  <r>
    <d v="2025-08-18T00:00:00"/>
    <x v="291"/>
    <n v="20081993"/>
    <s v="PUMPKIN SEEDS KERNELS"/>
    <x v="101"/>
    <x v="148"/>
    <n v="250"/>
    <s v="KGS"/>
    <n v="0.56388000000000005"/>
    <n v="140.97"/>
    <n v="0.56000000000000005"/>
    <x v="30"/>
    <x v="22"/>
    <s v="Berhni"/>
    <s v="Road"/>
    <n v="250"/>
    <s v="KGS"/>
    <n v="12500"/>
    <n v="50"/>
    <s v="INR"/>
    <s v=" FRUIT, NUTS AND OTHER EDIBLE PARTS OF PLANTS, OTHERWISE PREPARED OR PRESERVED, WHETHER OR NOT CONTAINING ADDED SUGAR OR OTHER SWEETENING MATTER OR SPIRIT, NOT ELSEWHERE SPECIFIED OR INCLUDED,  including mixtures:"/>
    <n v="20"/>
    <n v="2008"/>
    <x v="375"/>
    <n v="66680312"/>
    <s v="AIHPK0173H"/>
  </r>
  <r>
    <d v="2025-08-22T00:00:00"/>
    <x v="292"/>
    <n v="20081999"/>
    <s v="PUMPKIN SEEDS ROASTED"/>
    <x v="39"/>
    <x v="45"/>
    <n v="900"/>
    <s v="KGS"/>
    <n v="1.1693555555555559"/>
    <n v="1052.42"/>
    <n v="1.17"/>
    <x v="29"/>
    <x v="22"/>
    <s v="Raxaul"/>
    <s v="Road"/>
    <n v="900"/>
    <s v="KGS"/>
    <n v="90900"/>
    <n v="101"/>
    <s v="INR"/>
    <s v=" FRUIT, NUTS AND OTHER EDIBLE PARTS OF PLANTS, OTHERWISE PREPARED OR PRESERVED, WHETHER OR NOT CONTAINING ADDED SUGAR OR OTHER SWEETENING MATTER OR SPIRIT, NOT ELSEWHERE SPECIFIED OR INCLUDED,  including mixtures:"/>
    <n v="20"/>
    <n v="2008"/>
    <x v="376"/>
    <n v="67131626"/>
    <s v="AHJPG9087D"/>
  </r>
  <r>
    <d v="2025-08-23T00:00:00"/>
    <x v="293"/>
    <n v="20081999"/>
    <s v="PUMPKIN SEEDS"/>
    <x v="69"/>
    <x v="89"/>
    <n v="1500"/>
    <s v="KGS"/>
    <n v="1.33144"/>
    <n v="1997.16"/>
    <n v="1.33"/>
    <x v="29"/>
    <x v="22"/>
    <s v="Raxaul"/>
    <s v="Road"/>
    <n v="1500"/>
    <s v="KGS"/>
    <n v="172500"/>
    <n v="115"/>
    <s v="INR"/>
    <s v=" FRUIT, NUTS AND OTHER EDIBLE PARTS OF PLANTS, OTHERWISE PREPARED OR PRESERVED, WHETHER OR NOT CONTAINING ADDED SUGAR OR OTHER SWEETENING MATTER OR SPIRIT, NOT ELSEWHERE SPECIFIED OR INCLUDED,  including mixtures:"/>
    <n v="20"/>
    <n v="2008"/>
    <x v="377"/>
    <n v="66962332"/>
    <s v="2116904102"/>
  </r>
  <r>
    <d v="2025-08-25T00:00:00"/>
    <x v="294"/>
    <n v="20081991"/>
    <s v="ROASTED PUMPKIN SEED"/>
    <x v="100"/>
    <x v="147"/>
    <n v="30"/>
    <s v="KGS"/>
    <n v="6.3666666666666663"/>
    <n v="191"/>
    <n v="6.37"/>
    <x v="42"/>
    <x v="11"/>
    <s v="Jaigaon"/>
    <s v="Road"/>
    <n v="30"/>
    <s v="KGS"/>
    <n v="16800"/>
    <n v="560"/>
    <s v="INR"/>
    <s v=" FRUIT, NUTS AND OTHER EDIBLE PARTS OF PLANTS, OTHERWISE PREPARED OR PRESERVED, WHETHER OR NOT CONTAINING ADDED SUGAR OR OTHER SWEETENING MATTER OR SPIRIT, NOT ELSEWHERE SPECIFIED OR INCLUDED,  including mixtures:"/>
    <n v="20"/>
    <n v="2008"/>
    <x v="378"/>
    <n v="67985231"/>
    <s v="0205031986"/>
  </r>
  <r>
    <d v="2025-08-25T00:00:00"/>
    <x v="294"/>
    <n v="20081999"/>
    <s v="PUMPKIN SEED"/>
    <x v="39"/>
    <x v="149"/>
    <n v="5000"/>
    <s v="KGS"/>
    <n v="1.1693499999999999"/>
    <n v="5846.75"/>
    <n v="1.17"/>
    <x v="37"/>
    <x v="22"/>
    <s v="Raxaul"/>
    <s v="Road"/>
    <n v="5000"/>
    <s v="KGS"/>
    <n v="505000"/>
    <n v="101"/>
    <s v="INR"/>
    <s v=" FRUIT, NUTS AND OTHER EDIBLE PARTS OF PLANTS, OTHERWISE PREPARED OR PRESERVED, WHETHER OR NOT CONTAINING ADDED SUGAR OR OTHER SWEETENING MATTER OR SPIRIT, NOT ELSEWHERE SPECIFIED OR INCLUDED,  including mixtures:"/>
    <n v="20"/>
    <n v="2008"/>
    <x v="379"/>
    <n v="66617272"/>
    <s v="AHJPG9087D"/>
  </r>
  <r>
    <d v="2025-08-25T00:00:00"/>
    <x v="294"/>
    <n v="20081991"/>
    <s v="ROASTED PUMPKIN SEED"/>
    <x v="100"/>
    <x v="150"/>
    <n v="25"/>
    <s v="KGS"/>
    <n v="6.3663999999999996"/>
    <n v="159.16"/>
    <n v="6.37"/>
    <x v="42"/>
    <x v="11"/>
    <s v="Jaigaon"/>
    <s v="Road"/>
    <n v="25"/>
    <s v="KGS"/>
    <n v="14000"/>
    <n v="560"/>
    <s v="INR"/>
    <s v=" FRUIT, NUTS AND OTHER EDIBLE PARTS OF PLANTS, OTHERWISE PREPARED OR PRESERVED, WHETHER OR NOT CONTAINING ADDED SUGAR OR OTHER SWEETENING MATTER OR SPIRIT, NOT ELSEWHERE SPECIFIED OR INCLUDED,  including mixtures:"/>
    <n v="20"/>
    <n v="2008"/>
    <x v="380"/>
    <n v="66871696"/>
    <s v="0205031986"/>
  </r>
  <r>
    <d v="2025-08-26T00:00:00"/>
    <x v="295"/>
    <n v="20081999"/>
    <s v="PUMPKIN SEED"/>
    <x v="39"/>
    <x v="6"/>
    <n v="2250"/>
    <s v="KGS"/>
    <n v="1.169351111111111"/>
    <n v="2631.04"/>
    <n v="1.17"/>
    <x v="29"/>
    <x v="22"/>
    <s v="Raxaul"/>
    <s v="Road"/>
    <n v="2250"/>
    <s v="KGS"/>
    <n v="227250"/>
    <n v="101"/>
    <s v="INR"/>
    <s v=" FRUIT, NUTS AND OTHER EDIBLE PARTS OF PLANTS, OTHERWISE PREPARED OR PRESERVED, WHETHER OR NOT CONTAINING ADDED SUGAR OR OTHER SWEETENING MATTER OR SPIRIT, NOT ELSEWHERE SPECIFIED OR INCLUDED,  including mixtures:"/>
    <n v="20"/>
    <n v="2008"/>
    <x v="381"/>
    <n v="67014721"/>
    <s v="AHJPG9087D"/>
  </r>
  <r>
    <d v="2025-08-27T00:00:00"/>
    <x v="296"/>
    <n v="20081991"/>
    <s v="ROASTED PUMPKIN SEED"/>
    <x v="100"/>
    <x v="147"/>
    <n v="10"/>
    <s v="KGS"/>
    <n v="4.548"/>
    <n v="45.48"/>
    <n v="4.55"/>
    <x v="42"/>
    <x v="11"/>
    <s v="Jaigaon"/>
    <s v="Road"/>
    <n v="10"/>
    <s v="KGS"/>
    <n v="4000"/>
    <n v="400"/>
    <s v="INR"/>
    <s v=" FRUIT, NUTS AND OTHER EDIBLE PARTS OF PLANTS, OTHERWISE PREPARED OR PRESERVED, WHETHER OR NOT CONTAINING ADDED SUGAR OR OTHER SWEETENING MATTER OR SPIRIT, NOT ELSEWHERE SPECIFIED OR INCLUDED,  including mixtures:"/>
    <n v="20"/>
    <n v="2008"/>
    <x v="382"/>
    <n v="67917404"/>
    <s v="0205031986"/>
  </r>
  <r>
    <d v="2025-08-27T00:00:00"/>
    <x v="296"/>
    <n v="20081999"/>
    <s v="PUMPKIN SEED"/>
    <x v="83"/>
    <x v="99"/>
    <n v="6000"/>
    <s v="KGS"/>
    <n v="1.3314383333333331"/>
    <n v="7988.63"/>
    <n v="1.33"/>
    <x v="37"/>
    <x v="22"/>
    <s v="Raxaul"/>
    <s v="Road"/>
    <n v="6000"/>
    <s v="KGS"/>
    <n v="690000"/>
    <n v="115"/>
    <s v="INR"/>
    <s v=" FRUIT, NUTS AND OTHER EDIBLE PARTS OF PLANTS, OTHERWISE PREPARED OR PRESERVED, WHETHER OR NOT CONTAINING ADDED SUGAR OR OTHER SWEETENING MATTER OR SPIRIT, NOT ELSEWHERE SPECIFIED OR INCLUDED,  including mixtures:"/>
    <n v="20"/>
    <n v="2008"/>
    <x v="383"/>
    <n v="66992451"/>
    <s v="0509008615"/>
  </r>
  <r>
    <d v="2025-08-27T00:00:00"/>
    <x v="296"/>
    <n v="20081999"/>
    <s v="PUMPKIN SEEDS"/>
    <x v="51"/>
    <x v="6"/>
    <n v="350"/>
    <s v="KGS"/>
    <n v="4.1234285714285717"/>
    <n v="1443.2"/>
    <n v="4.12"/>
    <x v="5"/>
    <x v="2"/>
    <s v="Mundra"/>
    <s v="Sea"/>
    <n v="350"/>
    <s v="KGS"/>
    <n v="1081.5"/>
    <n v="3.09"/>
    <m/>
    <s v=" FRUIT, NUTS AND OTHER EDIBLE PARTS OF PLANTS, OTHERWISE PREPARED OR PRESERVED, WHETHER OR NOT CONTAINING ADDED SUGAR OR OTHER SWEETENING MATTER OR SPIRIT, NOT ELSEWHERE SPECIFIED OR INCLUDED,  including mixtures:"/>
    <n v="20"/>
    <n v="2008"/>
    <x v="384"/>
    <n v="63909733"/>
    <s v="ANMPA2622F"/>
  </r>
  <r>
    <d v="2025-08-29T00:00:00"/>
    <x v="297"/>
    <n v="20081999"/>
    <s v="PUMPKIN SEED - 100G."/>
    <x v="43"/>
    <x v="47"/>
    <n v="50"/>
    <s v="KGS"/>
    <n v="6.0442"/>
    <n v="302.20999999999998"/>
    <n v="6.04"/>
    <x v="56"/>
    <x v="24"/>
    <s v="Madras Sea"/>
    <s v="Sea"/>
    <n v="50"/>
    <s v="KGS"/>
    <n v="340.5"/>
    <n v="6.81"/>
    <s v="USD"/>
    <s v=" FRUIT, NUTS AND OTHER EDIBLE PARTS OF PLANTS, OTHERWISE PREPARED OR PRESERVED, WHETHER OR NOT CONTAINING ADDED SUGAR OR OTHER SWEETENING MATTER OR SPIRIT, NOT ELSEWHERE SPECIFIED OR INCLUDED,  including mixtures:"/>
    <n v="20"/>
    <n v="2008"/>
    <x v="385"/>
    <n v="64989395"/>
    <s v="0414038959"/>
  </r>
  <r>
    <d v="2025-08-30T00:00:00"/>
    <x v="298"/>
    <n v="12079990"/>
    <s v="PUMPKIN SEEDS"/>
    <x v="16"/>
    <x v="6"/>
    <n v="62"/>
    <s v="KGS"/>
    <n v="6.3808064516129033"/>
    <n v="395.61"/>
    <n v="6.38"/>
    <x v="25"/>
    <x v="4"/>
    <s v="JNPT"/>
    <s v="Sea"/>
    <n v="62"/>
    <s v="KGS"/>
    <n v="531.34"/>
    <n v="8.57"/>
    <s v="SGD"/>
    <s v=" OTHER OIL SEEDS AND OLEAGINOUS FRUITS, WHETHER OR NOT BROKEN,  Other:, Other"/>
    <n v="12"/>
    <n v="1207"/>
    <x v="386"/>
    <n v="63950667"/>
    <s v="0508085586"/>
  </r>
  <r>
    <d v="2025-08-30T00:00:00"/>
    <x v="298"/>
    <n v="20081999"/>
    <s v="PUMPKIN SEEDS ROASTED"/>
    <x v="13"/>
    <x v="12"/>
    <n v="5"/>
    <s v="KGS"/>
    <n v="5.0020000000000007"/>
    <n v="25.01"/>
    <n v="5"/>
    <x v="63"/>
    <x v="11"/>
    <s v="Loksan Lcs"/>
    <s v="Road"/>
    <n v="5"/>
    <s v="KGS"/>
    <n v="2200"/>
    <n v="440"/>
    <s v="INR"/>
    <s v=" FRUIT, NUTS AND OTHER EDIBLE PARTS OF PLANTS, OTHERWISE PREPARED OR PRESERVED, WHETHER OR NOT CONTAINING ADDED SUGAR OR OTHER SWEETENING MATTER OR SPIRIT, NOT ELSEWHERE SPECIFIED OR INCLUDED,  including mixtures:"/>
    <n v="20"/>
    <n v="2008"/>
    <x v="358"/>
    <n v="67889489"/>
    <s v="ACNPA4874D"/>
  </r>
  <r>
    <d v="2025-09-02T00:00:00"/>
    <x v="299"/>
    <n v="20081991"/>
    <s v="PUMPKIN SEEDS ORIGIN: INDIA,CROP: 2025 PACKING: 12.5 KG VACUUM X 2 IN 40 BOXES"/>
    <x v="31"/>
    <x v="6"/>
    <n v="1000"/>
    <s v="KGS"/>
    <n v="4.1381500000000004"/>
    <n v="4138.1499999999996"/>
    <n v="4138.1499999999996"/>
    <x v="50"/>
    <x v="31"/>
    <s v="Mundra"/>
    <s v="Sea"/>
    <n v="1"/>
    <s v="MTS"/>
    <n v="4340"/>
    <n v="4340"/>
    <s v="USD"/>
    <s v=" FRUIT, NUTS AND OTHER EDIBLE PARTS OF PLANTS, OTHERWISE PREPARED OR PRESERVED, WHETHER OR NOT CONTAINING ADDED SUGAR OR OTHER SWEETENING MATTER OR SPIRIT, NOT ELSEWHERE SPECIFIED OR INCLUDED,  including mixtures:"/>
    <n v="20"/>
    <n v="2008"/>
    <x v="387"/>
    <n v="69012141"/>
    <s v="2411000944"/>
  </r>
  <r>
    <d v="2025-09-03T00:00:00"/>
    <x v="300"/>
    <n v="20081999"/>
    <s v="PUMPKIN SEED"/>
    <x v="57"/>
    <x v="66"/>
    <n v="250"/>
    <s v="KGS"/>
    <n v="1.1368799999999999"/>
    <n v="284.22000000000003"/>
    <n v="1.1399999999999999"/>
    <x v="29"/>
    <x v="22"/>
    <s v="Raxaul"/>
    <s v="Road"/>
    <n v="250"/>
    <s v="KGS"/>
    <n v="25000"/>
    <n v="100"/>
    <s v="INR"/>
    <s v=" FRUIT, NUTS AND OTHER EDIBLE PARTS OF PLANTS, OTHERWISE PREPARED OR PRESERVED, WHETHER OR NOT CONTAINING ADDED SUGAR OR OTHER SWEETENING MATTER OR SPIRIT, NOT ELSEWHERE SPECIFIED OR INCLUDED,  including mixtures:"/>
    <n v="20"/>
    <n v="2008"/>
    <x v="388"/>
    <n v="68626275"/>
    <s v="AAYPL3187H"/>
  </r>
  <r>
    <d v="2025-09-04T00:00:00"/>
    <x v="301"/>
    <n v="20081999"/>
    <s v="PUMPKIN SEEDS"/>
    <x v="39"/>
    <x v="76"/>
    <n v="500"/>
    <s v="KGS"/>
    <n v="1.37564"/>
    <n v="687.82"/>
    <n v="1.38"/>
    <x v="37"/>
    <x v="22"/>
    <s v="Raxaul"/>
    <s v="Road"/>
    <n v="500"/>
    <s v="KGS"/>
    <n v="60500"/>
    <n v="121"/>
    <s v="INR"/>
    <s v=" FRUIT, NUTS AND OTHER EDIBLE PARTS OF PLANTS, OTHERWISE PREPARED OR PRESERVED, WHETHER OR NOT CONTAINING ADDED SUGAR OR OTHER SWEETENING MATTER OR SPIRIT, NOT ELSEWHERE SPECIFIED OR INCLUDED,  including mixtures:"/>
    <n v="20"/>
    <n v="2008"/>
    <x v="389"/>
    <n v="68591772"/>
    <s v="AHJPG9087D"/>
  </r>
  <r>
    <d v="2025-09-09T00:00:00"/>
    <x v="302"/>
    <n v="20081999"/>
    <s v="PUMPKIN SEEDS"/>
    <x v="39"/>
    <x v="151"/>
    <n v="500"/>
    <s v="KGS"/>
    <n v="1.3583000000000001"/>
    <n v="679.15"/>
    <n v="1.36"/>
    <x v="37"/>
    <x v="22"/>
    <s v="Raxaul"/>
    <s v="Road"/>
    <n v="500"/>
    <s v="KGS"/>
    <n v="60500"/>
    <n v="121"/>
    <s v="INR"/>
    <s v=" FRUIT, NUTS AND OTHER EDIBLE PARTS OF PLANTS, OTHERWISE PREPARED OR PRESERVED, WHETHER OR NOT CONTAINING ADDED SUGAR OR OTHER SWEETENING MATTER OR SPIRIT, NOT ELSEWHERE SPECIFIED OR INCLUDED,  including mixtures:"/>
    <n v="20"/>
    <n v="2008"/>
    <x v="390"/>
    <n v="71387853"/>
    <s v="AHJPG9087D"/>
  </r>
  <r>
    <d v="2025-09-11T00:00:00"/>
    <x v="303"/>
    <n v="20081999"/>
    <s v="PUMPKIN FOOD SEEDS"/>
    <x v="88"/>
    <x v="152"/>
    <n v="50"/>
    <s v="KGS"/>
    <n v="3.9289999999999998"/>
    <n v="196.45"/>
    <n v="3.93"/>
    <x v="42"/>
    <x v="11"/>
    <s v="Jaigaon"/>
    <s v="Road"/>
    <n v="50"/>
    <s v="KGS"/>
    <n v="17500"/>
    <n v="350"/>
    <s v="INR"/>
    <s v=" FRUIT, NUTS AND OTHER EDIBLE PARTS OF PLANTS, OTHERWISE PREPARED OR PRESERVED, WHETHER OR NOT CONTAINING ADDED SUGAR OR OTHER SWEETENING MATTER OR SPIRIT, NOT ELSEWHERE SPECIFIED OR INCLUDED,  including mixtures:"/>
    <n v="20"/>
    <n v="2008"/>
    <x v="391"/>
    <n v="70799056"/>
    <s v="AAOHK6472N"/>
  </r>
  <r>
    <d v="2025-09-13T00:00:00"/>
    <x v="304"/>
    <n v="12079990"/>
    <s v="Pumpkin Seeds 100gm x 36"/>
    <x v="102"/>
    <x v="6"/>
    <n v="46.8"/>
    <s v="KGS"/>
    <n v="4.5547008547008554"/>
    <n v="213.16"/>
    <n v="4.55"/>
    <x v="40"/>
    <x v="6"/>
    <s v="Mundra"/>
    <s v="Sea"/>
    <n v="46.8"/>
    <s v="KGS"/>
    <n v="247.57"/>
    <n v="5.29"/>
    <s v="USD"/>
    <s v=" OTHER OIL SEEDS AND OLEAGINOUS FRUITS, WHETHER OR NOT BROKEN,  Other:, Other"/>
    <n v="12"/>
    <n v="1207"/>
    <x v="392"/>
    <n v="71171025"/>
    <s v="AZDPV5597P"/>
  </r>
  <r>
    <d v="2025-09-15T00:00:00"/>
    <x v="305"/>
    <n v="12079990"/>
    <s v="PUMPKIN SEEDS"/>
    <x v="34"/>
    <x v="111"/>
    <n v="12.5"/>
    <s v="KGS"/>
    <n v="3.1751999999999998"/>
    <n v="39.69"/>
    <n v="3.18"/>
    <x v="0"/>
    <x v="0"/>
    <s v="Tuticorin Icd"/>
    <s v="Sea"/>
    <n v="12.5"/>
    <s v="KGS"/>
    <n v="40.5"/>
    <n v="3.24"/>
    <s v="USD"/>
    <s v=" OTHER OIL SEEDS AND OLEAGINOUS FRUITS, WHETHER OR NOT BROKEN,  Other:, Other"/>
    <n v="12"/>
    <n v="1207"/>
    <x v="393"/>
    <n v="77923616"/>
    <s v="EERPS8173B"/>
  </r>
  <r>
    <d v="2025-09-17T00:00:00"/>
    <x v="306"/>
    <n v="12079990"/>
    <s v="NourshU Pumpkin Seeds 5Kg"/>
    <x v="103"/>
    <x v="153"/>
    <n v="100"/>
    <s v="KGS"/>
    <n v="4.1917"/>
    <n v="419.17"/>
    <n v="4.1900000000000004"/>
    <x v="15"/>
    <x v="13"/>
    <s v="JNPT"/>
    <s v="Sea"/>
    <n v="100"/>
    <s v="KGS"/>
    <n v="426"/>
    <n v="4.26"/>
    <s v="USD"/>
    <s v=" OTHER OIL SEEDS AND OLEAGINOUS FRUITS, WHETHER OR NOT BROKEN,  Other:, Other"/>
    <n v="12"/>
    <n v="1207"/>
    <x v="394"/>
    <n v="69366509"/>
    <s v="0391146670"/>
  </r>
  <r>
    <d v="2025-09-18T00:00:00"/>
    <x v="307"/>
    <n v="7099390"/>
    <s v="PUMPKIN SEEDS"/>
    <x v="104"/>
    <x v="154"/>
    <n v="39.200000000000003"/>
    <s v="KGS"/>
    <n v="5.3056122448979588"/>
    <n v="207.98"/>
    <n v="5.31"/>
    <x v="59"/>
    <x v="6"/>
    <s v="Ahmedabad Icd"/>
    <s v="Sea"/>
    <n v="39.200000000000003"/>
    <s v="KGS"/>
    <n v="219.91"/>
    <n v="5.61"/>
    <s v="USD"/>
    <s v=" OTHER VEGETABLES, FRESH OR CHILLED,  Pumpkins, squash and gourds (Cucurbita spp.):, Other"/>
    <n v="7"/>
    <n v="709"/>
    <x v="395"/>
    <n v="71416267"/>
    <s v="0899007899"/>
  </r>
  <r>
    <d v="2025-09-21T00:00:00"/>
    <x v="308"/>
    <n v="20081999"/>
    <s v="PUMPKIN SEED"/>
    <x v="56"/>
    <x v="65"/>
    <n v="2000"/>
    <s v="KGS"/>
    <n v="1.1451499999999999"/>
    <n v="2290.3000000000002"/>
    <n v="1.1499999999999999"/>
    <x v="37"/>
    <x v="22"/>
    <s v="Raxaul"/>
    <s v="Road"/>
    <n v="2000"/>
    <s v="KGS"/>
    <n v="200000"/>
    <n v="100"/>
    <s v="INR"/>
    <s v=" FRUIT, NUTS AND OTHER EDIBLE PARTS OF PLANTS, OTHERWISE PREPARED OR PRESERVED, WHETHER OR NOT CONTAINING ADDED SUGAR OR OTHER SWEETENING MATTER OR SPIRIT, NOT ELSEWHERE SPECIFIED OR INCLUDED,  including mixtures:"/>
    <n v="20"/>
    <n v="2008"/>
    <x v="396"/>
    <n v="70967782"/>
    <s v="0512084688"/>
  </r>
  <r>
    <d v="2025-09-22T00:00:00"/>
    <x v="309"/>
    <n v="7099310"/>
    <s v="PUMPKIN SEED"/>
    <x v="85"/>
    <x v="155"/>
    <n v="1500"/>
    <s v="KGS"/>
    <n v="3.664486666666666"/>
    <n v="5496.73"/>
    <n v="3.66"/>
    <x v="37"/>
    <x v="22"/>
    <s v="Raxaul"/>
    <s v="Road"/>
    <n v="1500"/>
    <s v="KGS"/>
    <n v="48000000"/>
    <n v="32000"/>
    <s v="INR"/>
    <s v=" OTHER VEGETABLES, FRESH OR CHILLED,  Pumpkins, squash and gourds (Cucurbita spp.):, Pumpkins"/>
    <n v="7"/>
    <n v="709"/>
    <x v="397"/>
    <n v="72747432"/>
    <s v="1112001620"/>
  </r>
  <r>
    <d v="2025-09-22T00:00:00"/>
    <x v="309"/>
    <n v="20081991"/>
    <s v="ROASTED PUMPKIN SEED"/>
    <x v="100"/>
    <x v="6"/>
    <n v="25"/>
    <s v="KGS"/>
    <n v="4.4980000000000002"/>
    <n v="112.45"/>
    <n v="4.5"/>
    <x v="42"/>
    <x v="11"/>
    <s v="Jaigaon"/>
    <s v="Road"/>
    <n v="25"/>
    <s v="KGS"/>
    <n v="10000"/>
    <n v="400"/>
    <s v="INR"/>
    <s v=" FRUIT, NUTS AND OTHER EDIBLE PARTS OF PLANTS, OTHERWISE PREPARED OR PRESERVED, WHETHER OR NOT CONTAINING ADDED SUGAR OR OTHER SWEETENING MATTER OR SPIRIT, NOT ELSEWHERE SPECIFIED OR INCLUDED,  including mixtures:"/>
    <n v="20"/>
    <n v="2008"/>
    <x v="398"/>
    <n v="72998991"/>
    <s v="0205031986"/>
  </r>
  <r>
    <d v="2025-09-22T00:00:00"/>
    <x v="309"/>
    <n v="20081991"/>
    <s v="ROASTED PUMPKIN SEED"/>
    <x v="100"/>
    <x v="147"/>
    <n v="1"/>
    <s v="KGS"/>
    <n v="4.5"/>
    <n v="4.5"/>
    <n v="4.5"/>
    <x v="42"/>
    <x v="11"/>
    <s v="Jaigaon"/>
    <s v="Road"/>
    <n v="1"/>
    <s v="KGS"/>
    <n v="400"/>
    <n v="400"/>
    <s v="INR"/>
    <s v=" FRUIT, NUTS AND OTHER EDIBLE PARTS OF PLANTS, OTHERWISE PREPARED OR PRESERVED, WHETHER OR NOT CONTAINING ADDED SUGAR OR OTHER SWEETENING MATTER OR SPIRIT, NOT ELSEWHERE SPECIFIED OR INCLUDED,  including mixtures:"/>
    <n v="20"/>
    <n v="2008"/>
    <x v="399"/>
    <n v="72627446"/>
    <s v="0205031986"/>
  </r>
  <r>
    <d v="2025-09-23T00:00:00"/>
    <x v="310"/>
    <n v="12079990"/>
    <s v="PUMKIN SEEDS PUMPKIN SEEDS"/>
    <x v="105"/>
    <x v="156"/>
    <n v="15000"/>
    <s v="KGS"/>
    <n v="1.24251"/>
    <n v="18637.650000000001"/>
    <n v="1.24"/>
    <x v="64"/>
    <x v="3"/>
    <s v="Kotawalighatmohedipur"/>
    <s v="Road"/>
    <n v="15000"/>
    <s v="KGS"/>
    <n v="18750"/>
    <n v="1.25"/>
    <s v="USD"/>
    <s v=" OTHER OIL SEEDS AND OLEAGINOUS FRUITS, WHETHER OR NOT BROKEN,  Other:, Other"/>
    <n v="12"/>
    <n v="1207"/>
    <x v="400"/>
    <n v="77560979"/>
    <s v="AEVPA1502Q"/>
  </r>
  <r>
    <d v="2025-09-23T00:00:00"/>
    <x v="310"/>
    <n v="20081999"/>
    <s v="PUMPKIN SEEDS K"/>
    <x v="56"/>
    <x v="65"/>
    <n v="1000"/>
    <s v="KGS"/>
    <n v="1.1451499999999999"/>
    <n v="1145.1500000000001"/>
    <n v="1.1499999999999999"/>
    <x v="37"/>
    <x v="22"/>
    <s v="Raxaul"/>
    <s v="Road"/>
    <n v="1000"/>
    <s v="KGS"/>
    <n v="100000"/>
    <n v="100"/>
    <s v="INR"/>
    <s v=" FRUIT, NUTS AND OTHER EDIBLE PARTS OF PLANTS, OTHERWISE PREPARED OR PRESERVED, WHETHER OR NOT CONTAINING ADDED SUGAR OR OTHER SWEETENING MATTER OR SPIRIT, NOT ELSEWHERE SPECIFIED OR INCLUDED,  including mixtures:"/>
    <n v="20"/>
    <n v="2008"/>
    <x v="401"/>
    <n v="72743579"/>
    <s v="0512084688"/>
  </r>
  <r>
    <d v="2025-09-23T00:00:00"/>
    <x v="310"/>
    <n v="20081999"/>
    <s v="PUMPKIN SEEDS"/>
    <x v="98"/>
    <x v="144"/>
    <n v="125"/>
    <s v="KGS"/>
    <n v="4.1808800000000002"/>
    <n v="522.61"/>
    <n v="4.18"/>
    <x v="25"/>
    <x v="4"/>
    <s v="Madras Sea"/>
    <s v="Sea"/>
    <n v="125"/>
    <s v="KGS"/>
    <n v="687.5"/>
    <n v="5.5"/>
    <s v="SGD"/>
    <s v=" FRUIT, NUTS AND OTHER EDIBLE PARTS OF PLANTS, OTHERWISE PREPARED OR PRESERVED, WHETHER OR NOT CONTAINING ADDED SUGAR OR OTHER SWEETENING MATTER OR SPIRIT, NOT ELSEWHERE SPECIFIED OR INCLUDED,  including mixtures:"/>
    <n v="20"/>
    <n v="2008"/>
    <x v="402"/>
    <n v="72406147"/>
    <s v="0415012562"/>
  </r>
  <r>
    <d v="2025-09-23T00:00:00"/>
    <x v="310"/>
    <n v="20081999"/>
    <s v="PUMPKIN SEEDS"/>
    <x v="39"/>
    <x v="107"/>
    <n v="500"/>
    <s v="KGS"/>
    <n v="1.3606400000000001"/>
    <n v="680.32"/>
    <n v="1.36"/>
    <x v="37"/>
    <x v="22"/>
    <s v="Raxaul"/>
    <s v="Road"/>
    <n v="500"/>
    <s v="KGS"/>
    <n v="60500"/>
    <n v="121"/>
    <s v="INR"/>
    <s v=" FRUIT, NUTS AND OTHER EDIBLE PARTS OF PLANTS, OTHERWISE PREPARED OR PRESERVED, WHETHER OR NOT CONTAINING ADDED SUGAR OR OTHER SWEETENING MATTER OR SPIRIT, NOT ELSEWHERE SPECIFIED OR INCLUDED,  including mixtures:"/>
    <n v="20"/>
    <n v="2008"/>
    <x v="403"/>
    <n v="72973451"/>
    <s v="AHJPG9087D"/>
  </r>
  <r>
    <d v="2025-09-24T00:00:00"/>
    <x v="311"/>
    <n v="20081999"/>
    <s v="PUMPKIN FOOD SEEDS"/>
    <x v="88"/>
    <x v="152"/>
    <n v="37"/>
    <s v="KGS"/>
    <n v="3.9356756756756761"/>
    <n v="145.62"/>
    <n v="3.94"/>
    <x v="42"/>
    <x v="11"/>
    <s v="Jaigaon"/>
    <s v="Road"/>
    <n v="37"/>
    <s v="KGS"/>
    <n v="12950"/>
    <n v="350"/>
    <s v="INR"/>
    <s v=" FRUIT, NUTS AND OTHER EDIBLE PARTS OF PLANTS, OTHERWISE PREPARED OR PRESERVED, WHETHER OR NOT CONTAINING ADDED SUGAR OR OTHER SWEETENING MATTER OR SPIRIT, NOT ELSEWHERE SPECIFIED OR INCLUDED,  including mixtures:"/>
    <n v="20"/>
    <n v="2008"/>
    <x v="404"/>
    <n v="72450029"/>
    <s v="AAOHK6472N"/>
  </r>
  <r>
    <d v="2025-09-25T00:00:00"/>
    <x v="312"/>
    <n v="12079990"/>
    <s v="PUMPKIN SEEDS"/>
    <x v="16"/>
    <x v="54"/>
    <n v="9.6"/>
    <s v="KGS"/>
    <n v="6.65625"/>
    <n v="63.9"/>
    <n v="6.66"/>
    <x v="65"/>
    <x v="13"/>
    <s v="JNPT"/>
    <s v="Sea"/>
    <n v="9.6"/>
    <s v="KGS"/>
    <n v="65.569999999999993"/>
    <n v="6.83"/>
    <s v="USD"/>
    <s v=" OTHER OIL SEEDS AND OLEAGINOUS FRUITS, WHETHER OR NOT BROKEN,  Other:, Other"/>
    <n v="12"/>
    <n v="1207"/>
    <x v="405"/>
    <n v="72275122"/>
    <s v="0508085586"/>
  </r>
  <r>
    <d v="2025-09-26T00:00:00"/>
    <x v="313"/>
    <n v="20081999"/>
    <s v="PUMPKIN SEEDS"/>
    <x v="69"/>
    <x v="89"/>
    <n v="1000"/>
    <s v="KGS"/>
    <n v="1.1451499999999999"/>
    <n v="1145.1500000000001"/>
    <n v="1.1499999999999999"/>
    <x v="29"/>
    <x v="22"/>
    <s v="Raxaul"/>
    <s v="Road"/>
    <n v="1000"/>
    <s v="KGS"/>
    <n v="100000"/>
    <n v="100"/>
    <s v="INR"/>
    <s v=" FRUIT, NUTS AND OTHER EDIBLE PARTS OF PLANTS, OTHERWISE PREPARED OR PRESERVED, WHETHER OR NOT CONTAINING ADDED SUGAR OR OTHER SWEETENING MATTER OR SPIRIT, NOT ELSEWHERE SPECIFIED OR INCLUDED,  including mixtures:"/>
    <n v="20"/>
    <n v="2008"/>
    <x v="406"/>
    <n v="72727975"/>
    <s v="2116904102"/>
  </r>
  <r>
    <d v="2025-09-29T00:00:00"/>
    <x v="314"/>
    <n v="20081999"/>
    <s v="PUMPKIN SEEDS"/>
    <x v="39"/>
    <x v="142"/>
    <n v="500"/>
    <s v="KGS"/>
    <n v="1.3606400000000001"/>
    <n v="680.32"/>
    <n v="1.36"/>
    <x v="37"/>
    <x v="22"/>
    <s v="Raxaul"/>
    <s v="Road"/>
    <n v="500"/>
    <s v="KGS"/>
    <n v="60500"/>
    <n v="121"/>
    <s v="INR"/>
    <s v=" FRUIT, NUTS AND OTHER EDIBLE PARTS OF PLANTS, OTHERWISE PREPARED OR PRESERVED, WHETHER OR NOT CONTAINING ADDED SUGAR OR OTHER SWEETENING MATTER OR SPIRIT, NOT ELSEWHERE SPECIFIED OR INCLUDED,  including mixtures:"/>
    <n v="20"/>
    <n v="2008"/>
    <x v="407"/>
    <n v="72783973"/>
    <s v="AHJPG9087D"/>
  </r>
  <r>
    <d v="2025-10-07T00:00:00"/>
    <x v="315"/>
    <n v="20081991"/>
    <s v="PUMPKIN SEEDS -  200 GM - PKT "/>
    <x v="77"/>
    <x v="6"/>
    <n v="600"/>
    <s v="KGS"/>
    <n v="1.274"/>
    <n v="764.4"/>
    <n v="1.27"/>
    <x v="32"/>
    <x v="24"/>
    <s v="Hazira"/>
    <s v="Sea"/>
    <n v="600"/>
    <s v="KGS"/>
    <n v="822"/>
    <n v="1.37"/>
    <s v="USD"/>
    <s v=" FRUIT, NUTS AND OTHER EDIBLE PARTS OF PLANTS, OTHERWISE PREPARED OR PRESERVED, WHETHER OR NOT CONTAINING ADDED SUGAR OR OTHER SWEETENING MATTER OR SPIRIT, NOT ELSEWHERE SPECIFIED OR INCLUDED,  including mixtures:"/>
    <n v="20"/>
    <n v="2008"/>
    <x v="408"/>
    <n v="84579728"/>
    <s v="AWVPV4063H"/>
  </r>
  <r>
    <d v="2025-10-07T00:00:00"/>
    <x v="315"/>
    <n v="20081991"/>
    <s v="PUMPKIN SEEDS -  200 GM - PKT "/>
    <x v="77"/>
    <x v="6"/>
    <n v="600"/>
    <s v="KGS"/>
    <n v="1.274"/>
    <n v="764.4"/>
    <n v="1.27"/>
    <x v="51"/>
    <x v="24"/>
    <s v="Hazira"/>
    <s v="Sea"/>
    <n v="600"/>
    <s v="KGS"/>
    <n v="822"/>
    <n v="1.37"/>
    <m/>
    <s v=" FRUIT, NUTS AND OTHER EDIBLE PARTS OF PLANTS, OTHERWISE PREPARED OR PRESERVED, WHETHER OR NOT CONTAINING ADDED SUGAR OR OTHER SWEETENING MATTER OR SPIRIT, NOT ELSEWHERE SPECIFIED OR INCLUDED,  including mixtures:"/>
    <n v="20"/>
    <n v="2008"/>
    <x v="409"/>
    <n v="84515944"/>
    <s v="AWVPV4063H"/>
  </r>
  <r>
    <d v="2025-10-08T00:00:00"/>
    <x v="316"/>
    <n v="20081999"/>
    <s v="PUMPKIN FOOD SEEDS"/>
    <x v="88"/>
    <x v="157"/>
    <n v="25"/>
    <s v="KGS"/>
    <n v="5.1227999999999998"/>
    <n v="128.07"/>
    <n v="5.12"/>
    <x v="42"/>
    <x v="11"/>
    <s v="Jaigaon"/>
    <s v="Road"/>
    <n v="25"/>
    <s v="KGS"/>
    <n v="11500"/>
    <n v="460"/>
    <s v="INR"/>
    <s v=" FRUIT, NUTS AND OTHER EDIBLE PARTS OF PLANTS, OTHERWISE PREPARED OR PRESERVED, WHETHER OR NOT CONTAINING ADDED SUGAR OR OTHER SWEETENING MATTER OR SPIRIT, NOT ELSEWHERE SPECIFIED OR INCLUDED,  including mixtures:"/>
    <n v="20"/>
    <n v="2008"/>
    <x v="410"/>
    <n v="79968303"/>
    <s v="AAOHK6472N"/>
  </r>
  <r>
    <d v="2025-10-10T00:00:00"/>
    <x v="317"/>
    <n v="20081929"/>
    <s v="PUMPKIN SEEDS"/>
    <x v="106"/>
    <x v="158"/>
    <n v="10"/>
    <s v="KGS"/>
    <n v="5.2140000000000004"/>
    <n v="52.14"/>
    <n v="5.21"/>
    <x v="14"/>
    <x v="12"/>
    <s v="Tuticorin Sea"/>
    <s v="Sea"/>
    <n v="10"/>
    <s v="KGS"/>
    <n v="55"/>
    <n v="5.5"/>
    <s v="USD"/>
    <s v=" FRUIT, NUTS AND OTHER EDIBLE PARTS OF PLANTS, OTHERWISE PREPARED OR PRESERVED, WHETHER OR NOT CONTAINING ADDED SUGAR OR OTHER SWEETENING MATTER OR SPIRIT, NOT ELSEWHERE SPECIFIED OR INCLUDED,  including mixtures:"/>
    <n v="20"/>
    <n v="2008"/>
    <x v="411"/>
    <n v="80193865"/>
    <s v="0492028192"/>
  </r>
  <r>
    <d v="2025-10-15T00:00:00"/>
    <x v="318"/>
    <n v="20081929"/>
    <s v="PUMPKIN FOOD SEEDS"/>
    <x v="88"/>
    <x v="152"/>
    <n v="25"/>
    <s v="KGS"/>
    <n v="4.4543999999999997"/>
    <n v="111.36"/>
    <n v="4.45"/>
    <x v="42"/>
    <x v="11"/>
    <s v="Jaigaon"/>
    <s v="Road"/>
    <n v="25"/>
    <s v="KGS"/>
    <n v="10000"/>
    <n v="400"/>
    <s v="INR"/>
    <s v=" FRUIT, NUTS AND OTHER EDIBLE PARTS OF PLANTS, OTHERWISE PREPARED OR PRESERVED, WHETHER OR NOT CONTAINING ADDED SUGAR OR OTHER SWEETENING MATTER OR SPIRIT, NOT ELSEWHERE SPECIFIED OR INCLUDED,  including mixtures:"/>
    <n v="20"/>
    <n v="2008"/>
    <x v="412"/>
    <n v="81468439"/>
    <s v="AAOHK6472N"/>
  </r>
  <r>
    <d v="2025-10-15T00:00:00"/>
    <x v="318"/>
    <n v="20081991"/>
    <s v="PUMPKIN SEED 10X250GASPERINV"/>
    <x v="29"/>
    <x v="159"/>
    <n v="300"/>
    <s v="KGS"/>
    <n v="6.3472666666666671"/>
    <n v="1904.18"/>
    <n v="6.35"/>
    <x v="58"/>
    <x v="34"/>
    <s v="Mundra"/>
    <s v="Sea"/>
    <n v="300"/>
    <s v="KGS"/>
    <n v="1908"/>
    <n v="6.36"/>
    <s v="USD"/>
    <s v=" FRUIT, NUTS AND OTHER EDIBLE PARTS OF PLANTS, OTHERWISE PREPARED OR PRESERVED, WHETHER OR NOT CONTAINING ADDED SUGAR OR OTHER SWEETENING MATTER OR SPIRIT, NOT ELSEWHERE SPECIFIED OR INCLUDED,  including mixtures:"/>
    <n v="20"/>
    <n v="2008"/>
    <x v="413"/>
    <n v="81448131"/>
    <s v="2492000940"/>
  </r>
  <r>
    <d v="2025-10-18T00:00:00"/>
    <x v="319"/>
    <n v="20081999"/>
    <s v="PUMPKIN FOOD SEEDS"/>
    <x v="88"/>
    <x v="157"/>
    <n v="25"/>
    <s v="KGS"/>
    <n v="5.1816000000000004"/>
    <n v="129.54"/>
    <n v="5.18"/>
    <x v="42"/>
    <x v="11"/>
    <s v="Jaigaon"/>
    <s v="Road"/>
    <n v="25"/>
    <s v="KGS"/>
    <n v="11500"/>
    <n v="460"/>
    <s v="INR"/>
    <s v=" FRUIT, NUTS AND OTHER EDIBLE PARTS OF PLANTS, OTHERWISE PREPARED OR PRESERVED, WHETHER OR NOT CONTAINING ADDED SUGAR OR OTHER SWEETENING MATTER OR SPIRIT, NOT ELSEWHERE SPECIFIED OR INCLUDED,  including mixtures:"/>
    <n v="20"/>
    <n v="2008"/>
    <x v="414"/>
    <n v="81497766"/>
    <s v="AAOHK6472N"/>
  </r>
  <r>
    <d v="2025-10-23T00:00:00"/>
    <x v="320"/>
    <n v="20081999"/>
    <s v="Pumpkin Seed"/>
    <x v="79"/>
    <x v="146"/>
    <n v="100"/>
    <s v="KGS"/>
    <n v="4.9832999999999998"/>
    <n v="498.33"/>
    <n v="4.9800000000000004"/>
    <x v="14"/>
    <x v="12"/>
    <s v="Tuticorin Sea"/>
    <s v="Sea"/>
    <n v="100"/>
    <s v="KGS"/>
    <n v="537"/>
    <n v="5.37"/>
    <m/>
    <s v=" FRUIT, NUTS AND OTHER EDIBLE PARTS OF PLANTS, OTHERWISE PREPARED OR PRESERVED, WHETHER OR NOT CONTAINING ADDED SUGAR OR OTHER SWEETENING MATTER OR SPIRIT, NOT ELSEWHERE SPECIFIED OR INCLUDED,  including mixtures:"/>
    <n v="20"/>
    <n v="2008"/>
    <x v="415"/>
    <n v="82558382"/>
    <s v="AADCF8309F"/>
  </r>
  <r>
    <d v="2025-10-24T00:00:00"/>
    <x v="321"/>
    <n v="12079990"/>
    <s v="DRIED PUMPKIN SEEDS PKD IN CTN BOXES"/>
    <x v="1"/>
    <x v="1"/>
    <n v="2000"/>
    <s v="KGS"/>
    <n v="1.9944299999999999"/>
    <n v="3988.86"/>
    <n v="1994.43"/>
    <x v="1"/>
    <x v="1"/>
    <s v="Kattupalli"/>
    <s v="Sea"/>
    <n v="2"/>
    <s v="MTS"/>
    <n v="4120"/>
    <n v="2060"/>
    <s v="USD"/>
    <s v=" OTHER OIL SEEDS AND OLEAGINOUS FRUITS, WHETHER OR NOT BROKEN,  Other:, Other"/>
    <n v="12"/>
    <n v="1207"/>
    <x v="416"/>
    <n v="82361536"/>
    <s v="AAPFG4059E"/>
  </r>
  <r>
    <d v="2025-10-24T00:00:00"/>
    <x v="321"/>
    <n v="20081999"/>
    <s v="Pumpkin Seed"/>
    <x v="79"/>
    <x v="146"/>
    <n v="100"/>
    <s v="KGS"/>
    <n v="4.9832999999999998"/>
    <n v="498.33"/>
    <n v="4.9800000000000004"/>
    <x v="14"/>
    <x v="12"/>
    <s v="Tuticorin Sea"/>
    <s v="Sea"/>
    <n v="100"/>
    <s v="KGS"/>
    <n v="537"/>
    <n v="5.37"/>
    <s v="USD"/>
    <s v=" FRUIT, NUTS AND OTHER EDIBLE PARTS OF PLANTS, OTHERWISE PREPARED OR PRESERVED, WHETHER OR NOT CONTAINING ADDED SUGAR OR OTHER SWEETENING MATTER OR SPIRIT, NOT ELSEWHERE SPECIFIED OR INCLUDED,  including mixtures:"/>
    <n v="20"/>
    <n v="2008"/>
    <x v="417"/>
    <n v="82549029"/>
    <s v="AADCF8309F"/>
  </r>
  <r>
    <d v="2025-10-27T00:00:00"/>
    <x v="322"/>
    <n v="20081999"/>
    <s v="PUMPKIN SEED"/>
    <x v="107"/>
    <x v="6"/>
    <n v="25"/>
    <s v="KGS"/>
    <n v="7.1459999999999999"/>
    <n v="178.65"/>
    <n v="7.15"/>
    <x v="53"/>
    <x v="5"/>
    <s v="Delhi Tkd Icd"/>
    <s v="Sea"/>
    <n v="25"/>
    <s v="KGS"/>
    <n v="3250"/>
    <n v="130"/>
    <s v="INR"/>
    <s v=" FRUIT, NUTS AND OTHER EDIBLE PARTS OF PLANTS, OTHERWISE PREPARED OR PRESERVED, WHETHER OR NOT CONTAINING ADDED SUGAR OR OTHER SWEETENING MATTER OR SPIRIT, NOT ELSEWHERE SPECIFIED OR INCLUDED,  including mixtures:"/>
    <n v="20"/>
    <n v="2008"/>
    <x v="418"/>
    <n v="89044082"/>
    <s v="ABBCA7637C"/>
  </r>
  <r>
    <d v="2025-10-29T00:00:00"/>
    <x v="323"/>
    <n v="20089999"/>
    <s v="Ns Sprinkler Big Pumpkin Seeds 200g Mrp350/-"/>
    <x v="75"/>
    <x v="160"/>
    <n v="17"/>
    <s v="KGS"/>
    <n v="1.6894117647058819"/>
    <n v="28.72"/>
    <n v="1.69"/>
    <x v="12"/>
    <x v="11"/>
    <s v="Chamurchi"/>
    <s v="Road"/>
    <n v="17"/>
    <s v="KGS"/>
    <n v="2550"/>
    <n v="150"/>
    <s v="INR"/>
    <s v=" FRUIT, NUTS AND OTHER EDIBLE PARTS OF PLANTS, OTHERWISE PREPARED OR PRESERVED, WHETHER OR NOT CONTAINING ADDED SUGAR OR OTHER SWEETENING MATTER OR SPIRIT, NOT ELSEWHERE SPECIFIED OR INCLUDED,  Other:, Other"/>
    <n v="20"/>
    <n v="2008"/>
    <x v="419"/>
    <n v="85841988"/>
    <s v="AFTPD7480D"/>
  </r>
  <r>
    <d v="2025-10-29T00:00:00"/>
    <x v="323"/>
    <n v="20081991"/>
    <s v="ROASTED PUMPKIN SEED"/>
    <x v="100"/>
    <x v="6"/>
    <n v="50"/>
    <s v="KGS"/>
    <n v="6.0713999999999997"/>
    <n v="303.57"/>
    <n v="6.07"/>
    <x v="42"/>
    <x v="11"/>
    <s v="Jaigaon"/>
    <s v="Road"/>
    <n v="50"/>
    <s v="KGS"/>
    <n v="26950"/>
    <n v="539"/>
    <s v="INR"/>
    <s v=" FRUIT, NUTS AND OTHER EDIBLE PARTS OF PLANTS, OTHERWISE PREPARED OR PRESERVED, WHETHER OR NOT CONTAINING ADDED SUGAR OR OTHER SWEETENING MATTER OR SPIRIT, NOT ELSEWHERE SPECIFIED OR INCLUDED,  including mixtures:"/>
    <n v="20"/>
    <n v="2008"/>
    <x v="420"/>
    <n v="82448933"/>
    <s v="0205031986"/>
  </r>
  <r>
    <d v="2025-10-30T00:00:00"/>
    <x v="324"/>
    <n v="12129990"/>
    <s v="PUMPKIN SEED - OTHER DETAILED AS PER DOCUMENT  &amp; PACKING LIST"/>
    <x v="108"/>
    <x v="6"/>
    <n v="75"/>
    <s v="KGS"/>
    <n v="4.2069333333333327"/>
    <n v="315.52"/>
    <n v="4206.93"/>
    <x v="25"/>
    <x v="4"/>
    <s v="Mundra"/>
    <s v="Sea"/>
    <n v="7.4999999999999997E-2"/>
    <s v="MTS"/>
    <n v="322.5"/>
    <n v="4300"/>
    <s v="USD"/>
    <s v=" LOCUST BEANS, SEAWEEDS AND OTHER ALGAE, SUGAR BEET AND SUGARCANE, FRESH, CHILLED, FROZEN OR DRIED, WHETHER OR NOT GROUND; FRUIT STONES AND KERNELS AND OTHER VEGETABLE PRODUCTS (INCLUDING UNROASTED CHICORY ROOTS OF THE VARIETY CICHORIUM INTYBUS SATIVUM) O,  Other:, Other"/>
    <n v="12"/>
    <n v="1212"/>
    <x v="421"/>
    <n v="82831310"/>
    <s v="2413002715"/>
  </r>
  <r>
    <d v="2025-10-31T00:00:00"/>
    <x v="325"/>
    <n v="12079990"/>
    <s v="PUMPKIN SEEDS"/>
    <x v="109"/>
    <x v="161"/>
    <n v="49.5"/>
    <s v="KGS"/>
    <n v="4.3367676767676766"/>
    <n v="214.67"/>
    <n v="4.34"/>
    <x v="42"/>
    <x v="11"/>
    <s v="Jaigaon"/>
    <s v="Road"/>
    <n v="49.5"/>
    <s v="KGS"/>
    <n v="19057.5"/>
    <n v="385"/>
    <s v="INR"/>
    <s v=" OTHER OIL SEEDS AND OLEAGINOUS FRUITS, WHETHER OR NOT BROKEN,  Other:, Other"/>
    <n v="12"/>
    <n v="1207"/>
    <x v="422"/>
    <n v="82331391"/>
    <s v="AAECB7498J"/>
  </r>
  <r>
    <d v="2025-10-31T00:00:00"/>
    <x v="325"/>
    <n v="20081929"/>
    <s v="PUMPKIN FOOD SEEDS"/>
    <x v="88"/>
    <x v="152"/>
    <n v="50"/>
    <s v="KGS"/>
    <n v="5.069"/>
    <n v="253.45"/>
    <n v="5.07"/>
    <x v="42"/>
    <x v="11"/>
    <s v="Jaigaon"/>
    <s v="Road"/>
    <n v="50"/>
    <s v="KGS"/>
    <n v="22500"/>
    <n v="450"/>
    <s v="INR"/>
    <s v=" FRUIT, NUTS AND OTHER EDIBLE PARTS OF PLANTS, OTHERWISE PREPARED OR PRESERVED, WHETHER OR NOT CONTAINING ADDED SUGAR OR OTHER SWEETENING MATTER OR SPIRIT, NOT ELSEWHERE SPECIFIED OR INCLUDED,  including mixtures:"/>
    <n v="20"/>
    <n v="2008"/>
    <x v="423"/>
    <n v="82470808"/>
    <s v="AAOHK6472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883:DI1047" firstHeaderRow="1" firstDataRow="2" firstDataCol="1"/>
  <pivotFields count="28">
    <pivotField numFmtId="14" showAll="0"/>
    <pivotField numFmtId="166" showAll="0"/>
    <pivotField showAll="0"/>
    <pivotField showAll="0"/>
    <pivotField axis="axisCol" showAll="0">
      <items count="111">
        <item x="96"/>
        <item x="48"/>
        <item x="81"/>
        <item x="30"/>
        <item x="51"/>
        <item x="60"/>
        <item x="7"/>
        <item x="94"/>
        <item x="107"/>
        <item x="80"/>
        <item x="26"/>
        <item x="59"/>
        <item x="12"/>
        <item x="23"/>
        <item x="15"/>
        <item x="74"/>
        <item x="3"/>
        <item x="109"/>
        <item x="65"/>
        <item x="82"/>
        <item x="33"/>
        <item x="56"/>
        <item x="37"/>
        <item x="70"/>
        <item x="22"/>
        <item x="46"/>
        <item x="17"/>
        <item x="103"/>
        <item x="44"/>
        <item x="79"/>
        <item x="77"/>
        <item x="85"/>
        <item x="104"/>
        <item x="14"/>
        <item x="5"/>
        <item x="91"/>
        <item x="97"/>
        <item x="68"/>
        <item x="38"/>
        <item x="71"/>
        <item x="41"/>
        <item x="1"/>
        <item x="47"/>
        <item x="28"/>
        <item x="42"/>
        <item x="66"/>
        <item x="8"/>
        <item x="90"/>
        <item x="58"/>
        <item x="87"/>
        <item x="31"/>
        <item x="95"/>
        <item x="18"/>
        <item x="13"/>
        <item x="88"/>
        <item x="106"/>
        <item x="52"/>
        <item x="6"/>
        <item x="25"/>
        <item x="83"/>
        <item x="89"/>
        <item x="57"/>
        <item x="93"/>
        <item x="0"/>
        <item x="45"/>
        <item x="24"/>
        <item x="98"/>
        <item x="49"/>
        <item x="29"/>
        <item x="2"/>
        <item x="34"/>
        <item x="19"/>
        <item x="9"/>
        <item x="62"/>
        <item x="32"/>
        <item x="72"/>
        <item x="105"/>
        <item x="102"/>
        <item x="99"/>
        <item x="50"/>
        <item x="67"/>
        <item x="78"/>
        <item x="21"/>
        <item x="101"/>
        <item x="92"/>
        <item x="16"/>
        <item x="36"/>
        <item x="53"/>
        <item x="108"/>
        <item x="55"/>
        <item x="63"/>
        <item x="61"/>
        <item x="4"/>
        <item x="69"/>
        <item x="75"/>
        <item x="86"/>
        <item x="40"/>
        <item x="100"/>
        <item x="10"/>
        <item x="64"/>
        <item x="73"/>
        <item x="39"/>
        <item x="11"/>
        <item x="27"/>
        <item x="35"/>
        <item x="43"/>
        <item x="76"/>
        <item x="20"/>
        <item x="84"/>
        <item x="54"/>
        <item t="default"/>
      </items>
    </pivotField>
    <pivotField axis="axisRow" showAll="0">
      <items count="163">
        <item x="122"/>
        <item x="115"/>
        <item x="135"/>
        <item x="17"/>
        <item x="151"/>
        <item x="60"/>
        <item x="141"/>
        <item x="27"/>
        <item x="19"/>
        <item x="37"/>
        <item x="63"/>
        <item x="76"/>
        <item x="47"/>
        <item x="68"/>
        <item x="49"/>
        <item x="23"/>
        <item x="46"/>
        <item x="53"/>
        <item x="87"/>
        <item x="149"/>
        <item x="62"/>
        <item x="130"/>
        <item x="111"/>
        <item x="155"/>
        <item x="120"/>
        <item x="16"/>
        <item x="67"/>
        <item x="96"/>
        <item x="12"/>
        <item x="28"/>
        <item x="7"/>
        <item x="140"/>
        <item x="109"/>
        <item x="103"/>
        <item x="123"/>
        <item x="38"/>
        <item x="57"/>
        <item x="144"/>
        <item x="73"/>
        <item x="8"/>
        <item x="158"/>
        <item x="2"/>
        <item x="5"/>
        <item x="104"/>
        <item x="101"/>
        <item x="127"/>
        <item x="152"/>
        <item x="58"/>
        <item x="139"/>
        <item x="9"/>
        <item x="32"/>
        <item x="36"/>
        <item x="30"/>
        <item x="42"/>
        <item x="15"/>
        <item x="54"/>
        <item x="31"/>
        <item x="43"/>
        <item x="108"/>
        <item x="134"/>
        <item x="118"/>
        <item x="156"/>
        <item x="113"/>
        <item x="143"/>
        <item x="105"/>
        <item x="100"/>
        <item x="98"/>
        <item x="61"/>
        <item x="40"/>
        <item x="20"/>
        <item x="137"/>
        <item x="145"/>
        <item x="106"/>
        <item x="99"/>
        <item x="21"/>
        <item x="89"/>
        <item x="52"/>
        <item x="92"/>
        <item x="83"/>
        <item x="93"/>
        <item x="121"/>
        <item x="129"/>
        <item x="153"/>
        <item x="18"/>
        <item x="59"/>
        <item x="125"/>
        <item x="117"/>
        <item x="56"/>
        <item x="72"/>
        <item x="94"/>
        <item x="13"/>
        <item x="79"/>
        <item x="78"/>
        <item x="142"/>
        <item x="33"/>
        <item x="25"/>
        <item x="161"/>
        <item x="150"/>
        <item x="45"/>
        <item x="75"/>
        <item x="85"/>
        <item x="102"/>
        <item x="88"/>
        <item x="116"/>
        <item x="55"/>
        <item x="119"/>
        <item x="82"/>
        <item x="1"/>
        <item x="90"/>
        <item x="4"/>
        <item x="22"/>
        <item x="26"/>
        <item x="160"/>
        <item x="91"/>
        <item x="80"/>
        <item x="84"/>
        <item x="50"/>
        <item x="133"/>
        <item x="44"/>
        <item x="3"/>
        <item x="132"/>
        <item x="39"/>
        <item x="29"/>
        <item x="112"/>
        <item x="146"/>
        <item x="107"/>
        <item x="51"/>
        <item x="128"/>
        <item x="136"/>
        <item x="48"/>
        <item x="147"/>
        <item x="110"/>
        <item x="86"/>
        <item x="66"/>
        <item x="70"/>
        <item x="131"/>
        <item x="65"/>
        <item x="114"/>
        <item x="77"/>
        <item x="138"/>
        <item x="24"/>
        <item x="124"/>
        <item x="157"/>
        <item x="35"/>
        <item x="74"/>
        <item x="69"/>
        <item x="148"/>
        <item x="97"/>
        <item x="41"/>
        <item x="10"/>
        <item x="71"/>
        <item x="64"/>
        <item x="34"/>
        <item x="14"/>
        <item x="11"/>
        <item x="95"/>
        <item x="0"/>
        <item x="154"/>
        <item x="159"/>
        <item x="126"/>
        <item x="6"/>
        <item x="81"/>
        <item t="default"/>
      </items>
    </pivotField>
    <pivotField numFmtId="4" showAll="0"/>
    <pivotField showAll="0"/>
    <pivotField numFmtId="165" showAll="0"/>
    <pivotField dataField="1"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8" showAll="0"/>
    <pivotField showAll="0"/>
    <pivotField showAll="0"/>
    <pivotField showAll="0" defaultSubtotal="0"/>
    <pivotField showAll="0" defaultSubtotal="0"/>
  </pivotFields>
  <rowFields count="1">
    <field x="5"/>
  </rowFields>
  <rowItems count="1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t="grand">
      <x/>
    </i>
  </rowItems>
  <colFields count="1">
    <field x="4"/>
  </colFields>
  <col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colItems>
  <dataFields count="1">
    <dataField name="Sum of Estimated  F.O.B Valu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ort of Destinations">
  <location ref="B83:C150" firstHeaderRow="1" firstDataRow="1" firstDataCol="1"/>
  <pivotFields count="28">
    <pivotField numFmtId="14" showAll="0"/>
    <pivotField numFmtId="166" showAll="0"/>
    <pivotField showAll="0"/>
    <pivotField showAll="0"/>
    <pivotField showAll="0"/>
    <pivotField showAll="0"/>
    <pivotField numFmtId="4" showAll="0"/>
    <pivotField showAll="0"/>
    <pivotField numFmtId="165" showAll="0"/>
    <pivotField dataField="1" numFmtId="165" showAll="0"/>
    <pivotField showAll="0"/>
    <pivotField axis="axisRow" showAll="0" sortType="descending">
      <items count="67">
        <item x="52"/>
        <item x="51"/>
        <item x="32"/>
        <item x="59"/>
        <item x="7"/>
        <item x="40"/>
        <item x="10"/>
        <item x="39"/>
        <item x="46"/>
        <item x="64"/>
        <item x="15"/>
        <item x="54"/>
        <item x="9"/>
        <item x="12"/>
        <item x="65"/>
        <item x="23"/>
        <item x="50"/>
        <item x="42"/>
        <item x="58"/>
        <item x="57"/>
        <item x="25"/>
        <item x="49"/>
        <item x="44"/>
        <item x="38"/>
        <item x="13"/>
        <item x="4"/>
        <item x="61"/>
        <item x="16"/>
        <item x="36"/>
        <item x="11"/>
        <item x="14"/>
        <item x="56"/>
        <item x="53"/>
        <item x="6"/>
        <item x="33"/>
        <item x="30"/>
        <item x="17"/>
        <item x="37"/>
        <item x="45"/>
        <item x="41"/>
        <item x="60"/>
        <item x="22"/>
        <item x="48"/>
        <item x="0"/>
        <item x="3"/>
        <item x="28"/>
        <item x="27"/>
        <item x="2"/>
        <item x="55"/>
        <item x="62"/>
        <item x="5"/>
        <item x="47"/>
        <item x="18"/>
        <item x="21"/>
        <item x="19"/>
        <item x="1"/>
        <item x="31"/>
        <item x="26"/>
        <item x="29"/>
        <item x="63"/>
        <item x="43"/>
        <item x="34"/>
        <item x="35"/>
        <item x="8"/>
        <item x="24"/>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11"/>
  </rowFields>
  <rowItems count="67">
    <i>
      <x v="37"/>
    </i>
    <i>
      <x v="58"/>
    </i>
    <i>
      <x v="56"/>
    </i>
    <i>
      <x v="55"/>
    </i>
    <i>
      <x v="50"/>
    </i>
    <i>
      <x v="35"/>
    </i>
    <i>
      <x v="60"/>
    </i>
    <i>
      <x v="33"/>
    </i>
    <i>
      <x v="9"/>
    </i>
    <i>
      <x v="16"/>
    </i>
    <i>
      <x v="11"/>
    </i>
    <i>
      <x v="32"/>
    </i>
    <i>
      <x v="47"/>
    </i>
    <i>
      <x v="20"/>
    </i>
    <i>
      <x v="63"/>
    </i>
    <i>
      <x v="30"/>
    </i>
    <i>
      <x v="43"/>
    </i>
    <i>
      <x v="29"/>
    </i>
    <i>
      <x v="42"/>
    </i>
    <i>
      <x v="51"/>
    </i>
    <i>
      <x v="27"/>
    </i>
    <i>
      <x v="36"/>
    </i>
    <i>
      <x v="18"/>
    </i>
    <i>
      <x v="17"/>
    </i>
    <i>
      <x v="44"/>
    </i>
    <i>
      <x v="2"/>
    </i>
    <i>
      <x v="57"/>
    </i>
    <i>
      <x v="31"/>
    </i>
    <i>
      <x v="10"/>
    </i>
    <i>
      <x v="1"/>
    </i>
    <i>
      <x v="62"/>
    </i>
    <i>
      <x v="46"/>
    </i>
    <i>
      <x v="64"/>
    </i>
    <i>
      <x/>
    </i>
    <i>
      <x v="7"/>
    </i>
    <i>
      <x v="65"/>
    </i>
    <i>
      <x v="25"/>
    </i>
    <i>
      <x v="12"/>
    </i>
    <i>
      <x v="5"/>
    </i>
    <i>
      <x v="22"/>
    </i>
    <i>
      <x v="28"/>
    </i>
    <i>
      <x v="53"/>
    </i>
    <i>
      <x v="21"/>
    </i>
    <i>
      <x v="54"/>
    </i>
    <i>
      <x v="39"/>
    </i>
    <i>
      <x v="15"/>
    </i>
    <i>
      <x v="48"/>
    </i>
    <i>
      <x v="38"/>
    </i>
    <i>
      <x v="61"/>
    </i>
    <i>
      <x v="3"/>
    </i>
    <i>
      <x v="49"/>
    </i>
    <i>
      <x v="13"/>
    </i>
    <i>
      <x v="19"/>
    </i>
    <i>
      <x v="8"/>
    </i>
    <i>
      <x v="24"/>
    </i>
    <i>
      <x v="6"/>
    </i>
    <i>
      <x v="4"/>
    </i>
    <i>
      <x v="34"/>
    </i>
    <i>
      <x v="52"/>
    </i>
    <i>
      <x v="23"/>
    </i>
    <i>
      <x v="14"/>
    </i>
    <i>
      <x v="45"/>
    </i>
    <i>
      <x v="26"/>
    </i>
    <i>
      <x v="41"/>
    </i>
    <i>
      <x v="40"/>
    </i>
    <i>
      <x v="59"/>
    </i>
    <i t="grand">
      <x/>
    </i>
  </rowItems>
  <colItems count="1">
    <i/>
  </colItems>
  <dataFields count="1">
    <dataField name="Sum of Estimated  F.O.B Value $" fld="9" baseField="0" baseItem="0" numFmtId="2"/>
  </dataFields>
  <formats count="1">
    <format dxfId="9">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0:E77" firstHeaderRow="0" firstDataRow="1" firstDataCol="1"/>
  <pivotFields count="28">
    <pivotField numFmtId="14" showAll="0"/>
    <pivotField numFmtId="166" showAll="0"/>
    <pivotField showAll="0"/>
    <pivotField showAll="0"/>
    <pivotField showAll="0"/>
    <pivotField showAll="0"/>
    <pivotField dataField="1" numFmtId="4" showAll="0"/>
    <pivotField showAll="0"/>
    <pivotField numFmtId="165" showAll="0"/>
    <pivotField dataField="1" numFmtId="165" showAll="0"/>
    <pivotField showAll="0"/>
    <pivotField showAll="0"/>
    <pivotField axis="axisRow" showAll="0" sortType="descending">
      <items count="37">
        <item x="25"/>
        <item x="17"/>
        <item x="28"/>
        <item x="3"/>
        <item x="11"/>
        <item x="6"/>
        <item x="31"/>
        <item x="23"/>
        <item x="21"/>
        <item x="26"/>
        <item x="14"/>
        <item x="29"/>
        <item x="9"/>
        <item x="32"/>
        <item x="15"/>
        <item x="12"/>
        <item x="5"/>
        <item x="22"/>
        <item x="19"/>
        <item x="34"/>
        <item x="7"/>
        <item x="20"/>
        <item x="33"/>
        <item x="13"/>
        <item x="18"/>
        <item x="30"/>
        <item x="24"/>
        <item x="35"/>
        <item x="4"/>
        <item x="10"/>
        <item x="27"/>
        <item x="1"/>
        <item x="16"/>
        <item x="0"/>
        <item x="2"/>
        <item x="8"/>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s>
  <rowFields count="1">
    <field x="12"/>
  </rowFields>
  <rowItems count="37">
    <i>
      <x v="17"/>
    </i>
    <i>
      <x v="31"/>
    </i>
    <i>
      <x v="3"/>
    </i>
    <i>
      <x v="7"/>
    </i>
    <i>
      <x v="34"/>
    </i>
    <i>
      <x v="16"/>
    </i>
    <i>
      <x v="6"/>
    </i>
    <i>
      <x v="13"/>
    </i>
    <i>
      <x v="26"/>
    </i>
    <i>
      <x v="28"/>
    </i>
    <i>
      <x v="29"/>
    </i>
    <i>
      <x/>
    </i>
    <i>
      <x v="15"/>
    </i>
    <i>
      <x v="30"/>
    </i>
    <i>
      <x v="33"/>
    </i>
    <i>
      <x v="35"/>
    </i>
    <i>
      <x v="20"/>
    </i>
    <i>
      <x v="4"/>
    </i>
    <i>
      <x v="14"/>
    </i>
    <i>
      <x v="25"/>
    </i>
    <i>
      <x v="19"/>
    </i>
    <i>
      <x v="5"/>
    </i>
    <i>
      <x v="24"/>
    </i>
    <i>
      <x v="21"/>
    </i>
    <i>
      <x v="8"/>
    </i>
    <i>
      <x v="23"/>
    </i>
    <i>
      <x v="9"/>
    </i>
    <i>
      <x v="18"/>
    </i>
    <i>
      <x v="1"/>
    </i>
    <i>
      <x v="2"/>
    </i>
    <i>
      <x v="10"/>
    </i>
    <i>
      <x v="32"/>
    </i>
    <i>
      <x v="22"/>
    </i>
    <i>
      <x v="12"/>
    </i>
    <i>
      <x v="11"/>
    </i>
    <i>
      <x v="27"/>
    </i>
    <i t="grand">
      <x/>
    </i>
  </rowItems>
  <colFields count="1">
    <field x="-2"/>
  </colFields>
  <colItems count="3">
    <i>
      <x/>
    </i>
    <i i="1">
      <x v="1"/>
    </i>
    <i i="2">
      <x v="2"/>
    </i>
  </colItems>
  <dataFields count="3">
    <dataField name="FOB Values" fld="9" baseField="12" baseItem="17" numFmtId="2"/>
    <dataField name="Volume" fld="6" baseField="12" baseItem="17"/>
    <dataField name="Shipments" fld="24" subtotal="count" baseField="12" baseItem="17"/>
  </dataFields>
  <formats count="1">
    <format dxfId="1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871:I878" firstHeaderRow="1" firstDataRow="2" firstDataCol="1"/>
  <pivotFields count="28">
    <pivotField numFmtId="14" showAll="0"/>
    <pivotField numFmtId="166" showAll="0"/>
    <pivotField showAll="0"/>
    <pivotField showAll="0"/>
    <pivotField axis="axisRow" showAll="0" sortType="ascending">
      <items count="111">
        <item h="1" x="96"/>
        <item h="1" x="48"/>
        <item h="1" x="81"/>
        <item h="1" x="30"/>
        <item h="1" x="51"/>
        <item h="1" x="60"/>
        <item h="1" x="7"/>
        <item h="1" x="94"/>
        <item h="1" x="107"/>
        <item h="1" x="80"/>
        <item h="1" x="26"/>
        <item h="1" x="59"/>
        <item h="1" x="12"/>
        <item h="1" x="23"/>
        <item h="1" x="15"/>
        <item h="1" x="74"/>
        <item h="1" x="3"/>
        <item h="1" x="109"/>
        <item h="1" x="65"/>
        <item h="1" x="82"/>
        <item h="1" x="33"/>
        <item h="1" x="56"/>
        <item h="1" x="37"/>
        <item h="1" x="70"/>
        <item h="1" x="22"/>
        <item h="1" x="46"/>
        <item h="1" x="17"/>
        <item h="1" x="103"/>
        <item h="1" x="44"/>
        <item h="1" x="79"/>
        <item h="1" x="77"/>
        <item h="1" x="85"/>
        <item h="1" x="104"/>
        <item h="1" x="14"/>
        <item h="1" x="5"/>
        <item h="1" x="91"/>
        <item h="1" x="97"/>
        <item h="1" x="68"/>
        <item h="1" x="38"/>
        <item h="1" x="71"/>
        <item h="1" x="41"/>
        <item x="1"/>
        <item h="1" x="47"/>
        <item h="1" x="28"/>
        <item h="1" x="42"/>
        <item h="1" x="66"/>
        <item h="1" x="8"/>
        <item h="1" x="90"/>
        <item h="1" x="58"/>
        <item h="1" x="87"/>
        <item x="31"/>
        <item h="1" x="95"/>
        <item h="1" x="18"/>
        <item h="1" x="13"/>
        <item h="1" x="88"/>
        <item h="1" x="106"/>
        <item h="1" x="52"/>
        <item h="1" x="6"/>
        <item h="1" x="25"/>
        <item x="83"/>
        <item h="1" x="89"/>
        <item h="1" x="57"/>
        <item h="1" x="93"/>
        <item h="1" x="0"/>
        <item h="1" x="45"/>
        <item h="1" x="24"/>
        <item h="1" x="98"/>
        <item h="1" x="49"/>
        <item h="1" x="29"/>
        <item x="2"/>
        <item h="1" x="34"/>
        <item h="1" x="19"/>
        <item h="1" x="9"/>
        <item h="1" x="62"/>
        <item h="1" x="32"/>
        <item h="1" x="72"/>
        <item h="1" x="105"/>
        <item h="1" x="102"/>
        <item h="1" x="99"/>
        <item h="1" x="50"/>
        <item h="1" x="67"/>
        <item h="1" x="78"/>
        <item h="1" x="21"/>
        <item h="1" x="101"/>
        <item h="1" x="92"/>
        <item h="1" x="16"/>
        <item h="1" x="36"/>
        <item h="1" x="53"/>
        <item h="1" x="108"/>
        <item h="1" x="55"/>
        <item h="1" x="63"/>
        <item h="1" x="61"/>
        <item h="1" x="4"/>
        <item h="1" x="69"/>
        <item h="1" x="75"/>
        <item h="1" x="86"/>
        <item h="1" x="40"/>
        <item h="1" x="100"/>
        <item h="1" x="10"/>
        <item h="1" x="64"/>
        <item h="1" x="73"/>
        <item x="39"/>
        <item h="1" x="11"/>
        <item h="1" x="27"/>
        <item h="1" x="35"/>
        <item h="1" x="43"/>
        <item h="1" x="76"/>
        <item h="1" x="20"/>
        <item h="1" x="84"/>
        <item h="1" x="54"/>
        <item t="default"/>
      </items>
    </pivotField>
    <pivotField showAll="0"/>
    <pivotField numFmtId="4" showAll="0"/>
    <pivotField showAll="0"/>
    <pivotField numFmtId="165" showAll="0"/>
    <pivotField dataField="1" numFmtId="165" showAll="0"/>
    <pivotField showAll="0"/>
    <pivotField showAll="0"/>
    <pivotField axis="axisCol" showAll="0">
      <items count="37">
        <item x="25"/>
        <item x="17"/>
        <item x="28"/>
        <item x="3"/>
        <item x="11"/>
        <item x="6"/>
        <item x="31"/>
        <item x="23"/>
        <item x="21"/>
        <item x="26"/>
        <item x="14"/>
        <item x="29"/>
        <item x="9"/>
        <item x="32"/>
        <item x="15"/>
        <item x="12"/>
        <item x="5"/>
        <item x="22"/>
        <item x="19"/>
        <item x="34"/>
        <item x="7"/>
        <item x="20"/>
        <item x="33"/>
        <item x="13"/>
        <item x="18"/>
        <item x="30"/>
        <item x="24"/>
        <item x="35"/>
        <item x="4"/>
        <item x="10"/>
        <item x="27"/>
        <item x="1"/>
        <item x="16"/>
        <item x="0"/>
        <item x="2"/>
        <item x="8"/>
        <item t="default"/>
      </items>
    </pivotField>
    <pivotField showAll="0"/>
    <pivotField showAll="0"/>
    <pivotField showAll="0"/>
    <pivotField showAll="0"/>
    <pivotField showAll="0"/>
    <pivotField showAll="0"/>
    <pivotField showAll="0"/>
    <pivotField showAll="0"/>
    <pivotField showAll="0"/>
    <pivotField showAll="0"/>
    <pivotField numFmtId="168" showAll="0"/>
    <pivotField showAll="0"/>
    <pivotField showAll="0"/>
    <pivotField showAll="0" defaultSubtotal="0"/>
    <pivotField showAll="0" defaultSubtotal="0"/>
  </pivotFields>
  <rowFields count="1">
    <field x="4"/>
  </rowFields>
  <rowItems count="6">
    <i>
      <x v="41"/>
    </i>
    <i>
      <x v="50"/>
    </i>
    <i>
      <x v="59"/>
    </i>
    <i>
      <x v="69"/>
    </i>
    <i>
      <x v="101"/>
    </i>
    <i t="grand">
      <x/>
    </i>
  </rowItems>
  <colFields count="1">
    <field x="12"/>
  </colFields>
  <colItems count="7">
    <i>
      <x v="6"/>
    </i>
    <i>
      <x v="7"/>
    </i>
    <i>
      <x v="16"/>
    </i>
    <i>
      <x v="17"/>
    </i>
    <i>
      <x v="31"/>
    </i>
    <i>
      <x v="34"/>
    </i>
    <i t="grand">
      <x/>
    </i>
  </colItems>
  <dataFields count="1">
    <dataField name="Sum of Estimated  F.O.B Valu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6:C31" firstHeaderRow="1" firstDataRow="1" firstDataCol="1"/>
  <pivotFields count="28">
    <pivotField numFmtId="14" showAll="0"/>
    <pivotField axis="axisRow" numFmtId="166" showAll="0">
      <items count="15">
        <item x="0"/>
        <item x="1"/>
        <item x="2"/>
        <item x="3"/>
        <item x="4"/>
        <item x="5"/>
        <item x="6"/>
        <item x="7"/>
        <item x="8"/>
        <item x="9"/>
        <item x="10"/>
        <item x="11"/>
        <item x="12"/>
        <item x="13"/>
        <item t="default"/>
      </items>
    </pivotField>
    <pivotField showAll="0"/>
    <pivotField showAll="0"/>
    <pivotField showAll="0"/>
    <pivotField showAll="0"/>
    <pivotField numFmtId="4" showAll="0"/>
    <pivotField showAll="0"/>
    <pivotField dataField="1"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27"/>
    <field x="26"/>
    <field x="1"/>
  </rowFields>
  <rowItems count="5">
    <i>
      <x v="1"/>
    </i>
    <i>
      <x v="2"/>
    </i>
    <i>
      <x v="3"/>
    </i>
    <i>
      <x v="4"/>
    </i>
    <i t="grand">
      <x/>
    </i>
  </rowItems>
  <colItems count="1">
    <i/>
  </colItems>
  <dataFields count="1">
    <dataField name="Average of Standard Unit Rate $" fld="8" subtotal="average" baseField="27" baseItem="1" numFmtId="165"/>
  </dataFields>
  <formats count="8">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54:E865" firstHeaderRow="0" firstDataRow="1" firstDataCol="1"/>
  <pivotFields count="28">
    <pivotField numFmtId="14" showAll="0"/>
    <pivotField numFmtId="166" showAll="0"/>
    <pivotField showAll="0"/>
    <pivotField showAll="0"/>
    <pivotField axis="axisRow" showAll="0" sortType="descending">
      <items count="111">
        <item x="96"/>
        <item x="48"/>
        <item x="81"/>
        <item x="30"/>
        <item x="51"/>
        <item x="60"/>
        <item x="7"/>
        <item x="94"/>
        <item x="107"/>
        <item x="80"/>
        <item x="26"/>
        <item x="59"/>
        <item x="12"/>
        <item x="23"/>
        <item x="15"/>
        <item x="74"/>
        <item x="3"/>
        <item x="109"/>
        <item x="65"/>
        <item x="82"/>
        <item x="33"/>
        <item x="56"/>
        <item x="37"/>
        <item x="70"/>
        <item x="22"/>
        <item x="46"/>
        <item x="17"/>
        <item x="103"/>
        <item x="44"/>
        <item x="79"/>
        <item x="77"/>
        <item x="85"/>
        <item x="104"/>
        <item x="14"/>
        <item x="5"/>
        <item x="91"/>
        <item x="97"/>
        <item x="68"/>
        <item x="38"/>
        <item x="71"/>
        <item x="41"/>
        <item x="1"/>
        <item x="47"/>
        <item x="28"/>
        <item x="42"/>
        <item x="66"/>
        <item x="8"/>
        <item x="90"/>
        <item x="58"/>
        <item x="87"/>
        <item x="31"/>
        <item x="95"/>
        <item x="18"/>
        <item x="13"/>
        <item x="88"/>
        <item x="106"/>
        <item x="52"/>
        <item x="6"/>
        <item x="25"/>
        <item x="83"/>
        <item x="89"/>
        <item x="57"/>
        <item x="93"/>
        <item x="0"/>
        <item x="45"/>
        <item x="24"/>
        <item x="98"/>
        <item x="49"/>
        <item x="29"/>
        <item x="2"/>
        <item x="34"/>
        <item x="19"/>
        <item x="9"/>
        <item x="62"/>
        <item x="32"/>
        <item x="72"/>
        <item x="105"/>
        <item x="102"/>
        <item x="99"/>
        <item x="50"/>
        <item x="67"/>
        <item x="78"/>
        <item x="21"/>
        <item x="101"/>
        <item x="92"/>
        <item x="16"/>
        <item x="36"/>
        <item x="53"/>
        <item x="108"/>
        <item x="55"/>
        <item x="63"/>
        <item x="61"/>
        <item x="4"/>
        <item x="69"/>
        <item x="75"/>
        <item x="86"/>
        <item x="40"/>
        <item x="100"/>
        <item x="10"/>
        <item x="64"/>
        <item x="73"/>
        <item x="39"/>
        <item x="11"/>
        <item x="27"/>
        <item x="35"/>
        <item x="43"/>
        <item x="76"/>
        <item x="20"/>
        <item x="84"/>
        <item x="54"/>
        <item t="default"/>
      </items>
      <autoSortScope>
        <pivotArea dataOnly="0" outline="0" fieldPosition="0">
          <references count="1">
            <reference field="4294967294" count="1" selected="0">
              <x v="0"/>
            </reference>
          </references>
        </pivotArea>
      </autoSortScope>
    </pivotField>
    <pivotField showAll="0"/>
    <pivotField dataField="1" numFmtId="4" showAll="0"/>
    <pivotField showAll="0"/>
    <pivotField numFmtId="165" showAll="0"/>
    <pivotField dataField="1"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8" showAll="0"/>
    <pivotField dataField="1" showAll="0"/>
    <pivotField showAll="0"/>
    <pivotField showAll="0" defaultSubtotal="0"/>
    <pivotField showAll="0" defaultSubtotal="0"/>
  </pivotFields>
  <rowFields count="1">
    <field x="4"/>
  </rowFields>
  <rowItems count="111">
    <i>
      <x v="101"/>
    </i>
    <i>
      <x v="50"/>
    </i>
    <i>
      <x v="69"/>
    </i>
    <i>
      <x v="59"/>
    </i>
    <i>
      <x v="41"/>
    </i>
    <i>
      <x v="12"/>
    </i>
    <i>
      <x v="31"/>
    </i>
    <i>
      <x v="90"/>
    </i>
    <i>
      <x v="76"/>
    </i>
    <i>
      <x v="13"/>
    </i>
    <i>
      <x v="21"/>
    </i>
    <i>
      <x v="87"/>
    </i>
    <i>
      <x v="19"/>
    </i>
    <i>
      <x v="37"/>
    </i>
    <i>
      <x v="68"/>
    </i>
    <i>
      <x v="93"/>
    </i>
    <i>
      <x v="48"/>
    </i>
    <i>
      <x v="71"/>
    </i>
    <i>
      <x v="75"/>
    </i>
    <i>
      <x v="25"/>
    </i>
    <i>
      <x v="22"/>
    </i>
    <i>
      <x v="105"/>
    </i>
    <i>
      <x v="57"/>
    </i>
    <i>
      <x v="2"/>
    </i>
    <i>
      <x v="92"/>
    </i>
    <i>
      <x v="79"/>
    </i>
    <i>
      <x v="81"/>
    </i>
    <i>
      <x v="89"/>
    </i>
    <i>
      <x v="61"/>
    </i>
    <i>
      <x v="30"/>
    </i>
    <i>
      <x v="4"/>
    </i>
    <i>
      <x v="3"/>
    </i>
    <i>
      <x v="85"/>
    </i>
    <i>
      <x v="29"/>
    </i>
    <i>
      <x v="14"/>
    </i>
    <i>
      <x v="103"/>
    </i>
    <i>
      <x v="16"/>
    </i>
    <i>
      <x v="11"/>
    </i>
    <i>
      <x v="54"/>
    </i>
    <i>
      <x v="42"/>
    </i>
    <i>
      <x v="107"/>
    </i>
    <i>
      <x v="70"/>
    </i>
    <i>
      <x v="34"/>
    </i>
    <i>
      <x v="9"/>
    </i>
    <i>
      <x v="56"/>
    </i>
    <i>
      <x v="73"/>
    </i>
    <i>
      <x v="40"/>
    </i>
    <i>
      <x v="44"/>
    </i>
    <i>
      <x v="10"/>
    </i>
    <i>
      <x v="43"/>
    </i>
    <i>
      <x v="98"/>
    </i>
    <i>
      <x v="95"/>
    </i>
    <i>
      <x v="97"/>
    </i>
    <i>
      <x v="66"/>
    </i>
    <i>
      <x v="99"/>
    </i>
    <i>
      <x v="35"/>
    </i>
    <i>
      <x v="18"/>
    </i>
    <i>
      <x v="1"/>
    </i>
    <i>
      <x v="15"/>
    </i>
    <i>
      <x v="91"/>
    </i>
    <i>
      <x v="52"/>
    </i>
    <i>
      <x v="104"/>
    </i>
    <i>
      <x v="108"/>
    </i>
    <i>
      <x v="74"/>
    </i>
    <i>
      <x v="39"/>
    </i>
    <i>
      <x v="62"/>
    </i>
    <i>
      <x v="45"/>
    </i>
    <i>
      <x v="27"/>
    </i>
    <i>
      <x v="72"/>
    </i>
    <i>
      <x v="65"/>
    </i>
    <i>
      <x v="64"/>
    </i>
    <i>
      <x v="24"/>
    </i>
    <i>
      <x v="23"/>
    </i>
    <i>
      <x v="88"/>
    </i>
    <i>
      <x v="84"/>
    </i>
    <i>
      <x v="6"/>
    </i>
    <i>
      <x v="58"/>
    </i>
    <i>
      <x v="36"/>
    </i>
    <i>
      <x v="26"/>
    </i>
    <i>
      <x v="49"/>
    </i>
    <i>
      <x v="17"/>
    </i>
    <i>
      <x v="77"/>
    </i>
    <i>
      <x v="106"/>
    </i>
    <i>
      <x v="32"/>
    </i>
    <i>
      <x v="100"/>
    </i>
    <i>
      <x v="80"/>
    </i>
    <i>
      <x v="8"/>
    </i>
    <i>
      <x v="94"/>
    </i>
    <i>
      <x v="33"/>
    </i>
    <i>
      <x v="82"/>
    </i>
    <i>
      <x v="102"/>
    </i>
    <i>
      <x v="83"/>
    </i>
    <i>
      <x v="46"/>
    </i>
    <i>
      <x v="20"/>
    </i>
    <i>
      <x v="28"/>
    </i>
    <i>
      <x v="51"/>
    </i>
    <i>
      <x v="109"/>
    </i>
    <i>
      <x v="78"/>
    </i>
    <i>
      <x v="53"/>
    </i>
    <i>
      <x v="67"/>
    </i>
    <i>
      <x v="63"/>
    </i>
    <i>
      <x v="7"/>
    </i>
    <i>
      <x v="47"/>
    </i>
    <i>
      <x v="86"/>
    </i>
    <i>
      <x/>
    </i>
    <i>
      <x v="55"/>
    </i>
    <i>
      <x v="38"/>
    </i>
    <i>
      <x v="5"/>
    </i>
    <i>
      <x v="60"/>
    </i>
    <i>
      <x v="96"/>
    </i>
    <i t="grand">
      <x/>
    </i>
  </rowItems>
  <colFields count="1">
    <field x="-2"/>
  </colFields>
  <colItems count="3">
    <i>
      <x/>
    </i>
    <i i="1">
      <x v="1"/>
    </i>
    <i i="2">
      <x v="2"/>
    </i>
  </colItems>
  <dataFields count="3">
    <dataField name="Sum of Estimated  F.O.B Value $" fld="9" baseField="0" baseItem="0"/>
    <dataField name="Sum of Standard Qty" fld="6" baseField="0" baseItem="0"/>
    <dataField name="Count of Record Id" fld="24"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Year">
  <location ref="B15:C20" firstHeaderRow="1" firstDataRow="1" firstDataCol="1"/>
  <pivotFields count="28">
    <pivotField numFmtId="14" showAll="0"/>
    <pivotField axis="axisRow" numFmtId="166" showAll="0">
      <items count="15">
        <item x="0"/>
        <item x="1"/>
        <item x="2"/>
        <item x="3"/>
        <item x="4"/>
        <item x="5"/>
        <item x="6"/>
        <item x="7"/>
        <item x="8"/>
        <item x="9"/>
        <item x="10"/>
        <item x="11"/>
        <item x="12"/>
        <item x="13"/>
        <item t="default"/>
      </items>
    </pivotField>
    <pivotField showAll="0"/>
    <pivotField showAll="0"/>
    <pivotField showAll="0"/>
    <pivotField showAll="0"/>
    <pivotField dataField="1" numFmtId="4"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27"/>
    <field x="26"/>
    <field x="1"/>
  </rowFields>
  <rowItems count="5">
    <i>
      <x v="1"/>
    </i>
    <i>
      <x v="2"/>
    </i>
    <i>
      <x v="3"/>
    </i>
    <i>
      <x v="4"/>
    </i>
    <i t="grand">
      <x/>
    </i>
  </rowItems>
  <colItems count="1">
    <i/>
  </colItems>
  <dataFields count="1">
    <dataField name="Sum of Standard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107:G1145" firstHeaderRow="1" firstDataRow="2" firstDataCol="1"/>
  <pivotFields count="28">
    <pivotField numFmtId="14" showAll="0"/>
    <pivotField numFmtId="166" showAll="0"/>
    <pivotField showAll="0"/>
    <pivotField showAll="0"/>
    <pivotField showAll="0"/>
    <pivotField showAll="0"/>
    <pivotField numFmtId="4" showAll="0"/>
    <pivotField showAll="0"/>
    <pivotField numFmtId="165" showAll="0"/>
    <pivotField dataField="1" numFmtId="165" showAll="0"/>
    <pivotField showAll="0"/>
    <pivotField showAll="0"/>
    <pivotField axis="axisRow" showAll="0">
      <items count="37">
        <item x="25"/>
        <item x="17"/>
        <item x="28"/>
        <item x="3"/>
        <item x="11"/>
        <item x="6"/>
        <item x="31"/>
        <item x="23"/>
        <item x="21"/>
        <item x="26"/>
        <item x="14"/>
        <item x="29"/>
        <item x="9"/>
        <item x="32"/>
        <item x="15"/>
        <item x="12"/>
        <item x="5"/>
        <item x="22"/>
        <item x="19"/>
        <item x="34"/>
        <item x="7"/>
        <item x="20"/>
        <item x="33"/>
        <item x="13"/>
        <item x="18"/>
        <item x="30"/>
        <item x="24"/>
        <item x="35"/>
        <item x="4"/>
        <item x="10"/>
        <item x="27"/>
        <item x="1"/>
        <item x="16"/>
        <item x="0"/>
        <item x="2"/>
        <item x="8"/>
        <item t="default"/>
      </items>
    </pivotField>
    <pivotField showAll="0"/>
    <pivotField showAll="0"/>
    <pivotField showAll="0"/>
    <pivotField showAll="0"/>
    <pivotField showAll="0"/>
    <pivotField showAll="0"/>
    <pivotField showAll="0"/>
    <pivotField showAll="0"/>
    <pivotField showAll="0"/>
    <pivotField showAll="0"/>
    <pivotField numFmtId="168" showAll="0"/>
    <pivotField showAll="0"/>
    <pivotField showAll="0"/>
    <pivotField showAll="0" defaultSubtotal="0"/>
    <pivotField axis="axisCol" showAll="0" defaultSubtotal="0">
      <items count="6">
        <item x="0"/>
        <item x="1"/>
        <item x="2"/>
        <item x="3"/>
        <item x="4"/>
        <item x="5"/>
      </items>
    </pivotField>
  </pivotFields>
  <rowFields count="1">
    <field x="12"/>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7"/>
  </colFields>
  <colItems count="5">
    <i>
      <x v="1"/>
    </i>
    <i>
      <x v="2"/>
    </i>
    <i>
      <x v="3"/>
    </i>
    <i>
      <x v="4"/>
    </i>
    <i t="grand">
      <x/>
    </i>
  </colItems>
  <dataFields count="1">
    <dataField name="Sum of Estimated  F.O.B Value $" fld="9" baseField="0" baseItem="0"/>
  </dataFields>
  <formats count="9">
    <format dxfId="29">
      <pivotArea dataOnly="0" fieldPosition="0">
        <references count="1">
          <reference field="12" count="1">
            <x v="17"/>
          </reference>
        </references>
      </pivotArea>
    </format>
    <format dxfId="28">
      <pivotArea collapsedLevelsAreSubtotals="1" fieldPosition="0">
        <references count="1">
          <reference field="12" count="1">
            <x v="31"/>
          </reference>
        </references>
      </pivotArea>
    </format>
    <format dxfId="27">
      <pivotArea dataOnly="0" labelOnly="1" fieldPosition="0">
        <references count="1">
          <reference field="12" count="1">
            <x v="31"/>
          </reference>
        </references>
      </pivotArea>
    </format>
    <format dxfId="26">
      <pivotArea collapsedLevelsAreSubtotals="1" fieldPosition="0">
        <references count="1">
          <reference field="12" count="1">
            <x v="34"/>
          </reference>
        </references>
      </pivotArea>
    </format>
    <format dxfId="25">
      <pivotArea dataOnly="0" labelOnly="1" fieldPosition="0">
        <references count="1">
          <reference field="12" count="1">
            <x v="34"/>
          </reference>
        </references>
      </pivotArea>
    </format>
    <format dxfId="24">
      <pivotArea collapsedLevelsAreSubtotals="1" fieldPosition="0">
        <references count="1">
          <reference field="12" count="1">
            <x v="16"/>
          </reference>
        </references>
      </pivotArea>
    </format>
    <format dxfId="23">
      <pivotArea dataOnly="0" labelOnly="1" fieldPosition="0">
        <references count="1">
          <reference field="12" count="1">
            <x v="16"/>
          </reference>
        </references>
      </pivotArea>
    </format>
    <format dxfId="22">
      <pivotArea collapsedLevelsAreSubtotals="1" fieldPosition="0">
        <references count="1">
          <reference field="12" count="1">
            <x v="7"/>
          </reference>
        </references>
      </pivotArea>
    </format>
    <format dxfId="21">
      <pivotArea dataOnly="0" labelOnly="1" fieldPosition="0">
        <references count="1">
          <reference field="12"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untry">
  <location ref="B1064:C1101" firstHeaderRow="1" firstDataRow="1" firstDataCol="1"/>
  <pivotFields count="28">
    <pivotField numFmtId="14" showAll="0"/>
    <pivotField numFmtId="166" showAll="0"/>
    <pivotField showAll="0"/>
    <pivotField showAll="0"/>
    <pivotField showAll="0"/>
    <pivotField showAll="0"/>
    <pivotField numFmtId="4" showAll="0"/>
    <pivotField showAll="0"/>
    <pivotField dataField="1" numFmtId="165" showAll="0"/>
    <pivotField numFmtId="165" showAll="0"/>
    <pivotField showAll="0"/>
    <pivotField showAll="0"/>
    <pivotField axis="axisRow" showAll="0" sortType="descending">
      <items count="37">
        <item x="25"/>
        <item x="17"/>
        <item x="28"/>
        <item x="3"/>
        <item x="11"/>
        <item x="6"/>
        <item x="31"/>
        <item x="23"/>
        <item x="21"/>
        <item x="26"/>
        <item x="14"/>
        <item x="29"/>
        <item x="9"/>
        <item x="32"/>
        <item x="15"/>
        <item x="12"/>
        <item x="5"/>
        <item x="22"/>
        <item x="19"/>
        <item x="34"/>
        <item x="7"/>
        <item x="20"/>
        <item x="33"/>
        <item x="13"/>
        <item x="18"/>
        <item x="30"/>
        <item x="24"/>
        <item x="35"/>
        <item x="4"/>
        <item x="10"/>
        <item x="27"/>
        <item x="1"/>
        <item x="16"/>
        <item x="0"/>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68" showAll="0"/>
    <pivotField showAll="0"/>
    <pivotField showAll="0"/>
    <pivotField showAll="0" defaultSubtotal="0"/>
    <pivotField showAll="0" defaultSubtotal="0"/>
  </pivotFields>
  <rowFields count="1">
    <field x="12"/>
  </rowFields>
  <rowItems count="37">
    <i>
      <x v="27"/>
    </i>
    <i>
      <x v="11"/>
    </i>
    <i>
      <x v="10"/>
    </i>
    <i>
      <x v="25"/>
    </i>
    <i>
      <x v="18"/>
    </i>
    <i>
      <x v="21"/>
    </i>
    <i>
      <x v="1"/>
    </i>
    <i>
      <x v="8"/>
    </i>
    <i>
      <x v="23"/>
    </i>
    <i>
      <x v="35"/>
    </i>
    <i>
      <x v="28"/>
    </i>
    <i>
      <x v="20"/>
    </i>
    <i>
      <x v="24"/>
    </i>
    <i>
      <x v="33"/>
    </i>
    <i>
      <x v="14"/>
    </i>
    <i>
      <x v="19"/>
    </i>
    <i>
      <x v="32"/>
    </i>
    <i>
      <x v="26"/>
    </i>
    <i>
      <x v="5"/>
    </i>
    <i>
      <x v="34"/>
    </i>
    <i>
      <x v="9"/>
    </i>
    <i>
      <x v="7"/>
    </i>
    <i>
      <x v="2"/>
    </i>
    <i>
      <x v="15"/>
    </i>
    <i>
      <x v="30"/>
    </i>
    <i>
      <x v="4"/>
    </i>
    <i>
      <x v="16"/>
    </i>
    <i>
      <x v="22"/>
    </i>
    <i>
      <x v="29"/>
    </i>
    <i>
      <x v="31"/>
    </i>
    <i>
      <x v="17"/>
    </i>
    <i>
      <x v="6"/>
    </i>
    <i>
      <x v="12"/>
    </i>
    <i>
      <x v="13"/>
    </i>
    <i>
      <x v="3"/>
    </i>
    <i>
      <x/>
    </i>
    <i t="grand">
      <x/>
    </i>
  </rowItems>
  <colItems count="1">
    <i/>
  </colItems>
  <dataFields count="1">
    <dataField name="Average of Standard Unit Rate $" fld="8"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Year">
  <location ref="B3:C8" firstHeaderRow="1" firstDataRow="1" firstDataCol="1"/>
  <pivotFields count="28">
    <pivotField numFmtId="14" showAll="0"/>
    <pivotField axis="axisRow" numFmtId="166" showAll="0" defaultSubtotal="0">
      <items count="14">
        <item x="0"/>
        <item x="1"/>
        <item x="2"/>
        <item x="3"/>
        <item x="4"/>
        <item x="5"/>
        <item x="6"/>
        <item x="7"/>
        <item x="8"/>
        <item x="9"/>
        <item x="10"/>
        <item x="11"/>
        <item x="12"/>
        <item x="13"/>
      </items>
    </pivotField>
    <pivotField showAll="0"/>
    <pivotField showAll="0"/>
    <pivotField showAll="0"/>
    <pivotField showAll="0"/>
    <pivotField numFmtId="4" showAll="0"/>
    <pivotField showAll="0"/>
    <pivotField numFmtId="165" showAll="0"/>
    <pivotField dataField="1"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27"/>
    <field x="26"/>
    <field x="1"/>
  </rowFields>
  <rowItems count="5">
    <i>
      <x v="1"/>
    </i>
    <i>
      <x v="2"/>
    </i>
    <i>
      <x v="3"/>
    </i>
    <i>
      <x v="4"/>
    </i>
    <i t="grand">
      <x/>
    </i>
  </rowItems>
  <colItems count="1">
    <i/>
  </colItems>
  <dataFields count="1">
    <dataField name="Sum of Estimated  F.O.B Valu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56:E319" firstHeaderRow="0" firstDataRow="1" firstDataCol="1"/>
  <pivotFields count="28">
    <pivotField numFmtId="14" showAll="0"/>
    <pivotField numFmtId="166" showAll="0"/>
    <pivotField showAll="0"/>
    <pivotField showAll="0"/>
    <pivotField showAll="0"/>
    <pivotField axis="axisRow" showAll="0" sortType="descending">
      <items count="163">
        <item x="122"/>
        <item x="115"/>
        <item x="135"/>
        <item x="17"/>
        <item x="151"/>
        <item x="60"/>
        <item x="141"/>
        <item x="27"/>
        <item x="19"/>
        <item x="37"/>
        <item x="63"/>
        <item x="76"/>
        <item x="47"/>
        <item x="68"/>
        <item x="49"/>
        <item x="23"/>
        <item x="46"/>
        <item x="53"/>
        <item x="87"/>
        <item x="149"/>
        <item x="62"/>
        <item x="130"/>
        <item x="111"/>
        <item x="155"/>
        <item x="120"/>
        <item x="16"/>
        <item x="67"/>
        <item x="96"/>
        <item x="12"/>
        <item x="28"/>
        <item x="7"/>
        <item x="140"/>
        <item x="109"/>
        <item x="103"/>
        <item x="123"/>
        <item x="38"/>
        <item x="57"/>
        <item x="144"/>
        <item x="73"/>
        <item x="8"/>
        <item x="158"/>
        <item x="2"/>
        <item x="5"/>
        <item x="104"/>
        <item x="101"/>
        <item x="127"/>
        <item x="152"/>
        <item x="58"/>
        <item x="139"/>
        <item x="9"/>
        <item x="32"/>
        <item x="36"/>
        <item x="30"/>
        <item x="42"/>
        <item x="15"/>
        <item x="54"/>
        <item x="31"/>
        <item x="43"/>
        <item x="108"/>
        <item x="134"/>
        <item x="118"/>
        <item x="156"/>
        <item x="113"/>
        <item x="143"/>
        <item x="105"/>
        <item x="100"/>
        <item x="98"/>
        <item x="61"/>
        <item x="40"/>
        <item x="20"/>
        <item x="137"/>
        <item x="145"/>
        <item x="106"/>
        <item x="99"/>
        <item x="21"/>
        <item x="89"/>
        <item x="52"/>
        <item x="92"/>
        <item x="83"/>
        <item x="93"/>
        <item x="121"/>
        <item x="129"/>
        <item x="153"/>
        <item x="18"/>
        <item x="59"/>
        <item x="125"/>
        <item x="117"/>
        <item x="56"/>
        <item x="72"/>
        <item x="94"/>
        <item x="13"/>
        <item x="79"/>
        <item x="78"/>
        <item x="142"/>
        <item x="33"/>
        <item x="25"/>
        <item x="161"/>
        <item x="150"/>
        <item x="45"/>
        <item x="75"/>
        <item x="85"/>
        <item x="102"/>
        <item x="88"/>
        <item x="116"/>
        <item x="55"/>
        <item x="119"/>
        <item x="82"/>
        <item x="1"/>
        <item x="90"/>
        <item x="4"/>
        <item x="22"/>
        <item x="26"/>
        <item x="160"/>
        <item x="91"/>
        <item x="80"/>
        <item x="84"/>
        <item x="50"/>
        <item x="133"/>
        <item x="44"/>
        <item x="3"/>
        <item x="132"/>
        <item x="39"/>
        <item x="29"/>
        <item x="112"/>
        <item x="146"/>
        <item x="107"/>
        <item x="51"/>
        <item x="128"/>
        <item x="136"/>
        <item x="48"/>
        <item x="147"/>
        <item x="110"/>
        <item x="86"/>
        <item x="66"/>
        <item x="70"/>
        <item x="131"/>
        <item x="65"/>
        <item x="114"/>
        <item x="77"/>
        <item x="138"/>
        <item x="24"/>
        <item x="124"/>
        <item x="157"/>
        <item x="35"/>
        <item x="74"/>
        <item x="69"/>
        <item x="148"/>
        <item x="97"/>
        <item x="41"/>
        <item x="10"/>
        <item x="71"/>
        <item x="64"/>
        <item x="34"/>
        <item x="14"/>
        <item x="11"/>
        <item x="95"/>
        <item x="0"/>
        <item x="154"/>
        <item x="159"/>
        <item x="126"/>
        <item x="6"/>
        <item x="81"/>
        <item t="default"/>
      </items>
      <autoSortScope>
        <pivotArea dataOnly="0" outline="0" fieldPosition="0">
          <references count="1">
            <reference field="4294967294" count="1" selected="0">
              <x v="0"/>
            </reference>
          </references>
        </pivotArea>
      </autoSortScope>
    </pivotField>
    <pivotField dataField="1" numFmtId="4" showAll="0"/>
    <pivotField showAll="0"/>
    <pivotField numFmtId="165" showAll="0"/>
    <pivotField dataField="1"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s>
  <rowFields count="1">
    <field x="5"/>
  </rowFields>
  <rowItems count="163">
    <i>
      <x v="160"/>
    </i>
    <i>
      <x v="73"/>
    </i>
    <i>
      <x v="42"/>
    </i>
    <i>
      <x v="107"/>
    </i>
    <i>
      <x v="26"/>
    </i>
    <i>
      <x v="148"/>
    </i>
    <i>
      <x v="24"/>
    </i>
    <i>
      <x v="61"/>
    </i>
    <i>
      <x v="57"/>
    </i>
    <i>
      <x v="89"/>
    </i>
    <i>
      <x v="136"/>
    </i>
    <i>
      <x v="66"/>
    </i>
    <i>
      <x v="114"/>
    </i>
    <i>
      <x v="15"/>
    </i>
    <i>
      <x v="99"/>
    </i>
    <i>
      <x v="84"/>
    </i>
    <i>
      <x v="41"/>
    </i>
    <i>
      <x v="79"/>
    </i>
    <i>
      <x v="100"/>
    </i>
    <i>
      <x v="80"/>
    </i>
    <i>
      <x v="64"/>
    </i>
    <i>
      <x v="101"/>
    </i>
    <i>
      <x v="17"/>
    </i>
    <i>
      <x v="108"/>
    </i>
    <i>
      <x v="125"/>
    </i>
    <i>
      <x v="11"/>
    </i>
    <i>
      <x v="75"/>
    </i>
    <i>
      <x v="93"/>
    </i>
    <i>
      <x v="19"/>
    </i>
    <i>
      <x v="23"/>
    </i>
    <i>
      <x v="98"/>
    </i>
    <i>
      <x v="78"/>
    </i>
    <i>
      <x v="131"/>
    </i>
    <i>
      <x v="126"/>
    </i>
    <i>
      <x v="151"/>
    </i>
    <i>
      <x v="128"/>
    </i>
    <i>
      <x v="137"/>
    </i>
    <i>
      <x v="122"/>
    </i>
    <i>
      <x v="85"/>
    </i>
    <i>
      <x v="12"/>
    </i>
    <i>
      <x v="6"/>
    </i>
    <i>
      <x v="14"/>
    </i>
    <i>
      <x v="139"/>
    </i>
    <i>
      <x v="1"/>
    </i>
    <i>
      <x v="132"/>
    </i>
    <i>
      <x v="35"/>
    </i>
    <i>
      <x v="119"/>
    </i>
    <i>
      <x v="27"/>
    </i>
    <i>
      <x v="105"/>
    </i>
    <i>
      <x v="67"/>
    </i>
    <i>
      <x v="31"/>
    </i>
    <i>
      <x v="87"/>
    </i>
    <i>
      <x v="51"/>
    </i>
    <i>
      <x v="133"/>
    </i>
    <i>
      <x v="153"/>
    </i>
    <i>
      <x v="7"/>
    </i>
    <i>
      <x v="91"/>
    </i>
    <i>
      <x v="158"/>
    </i>
    <i>
      <x v="145"/>
    </i>
    <i>
      <x v="20"/>
    </i>
    <i>
      <x v="71"/>
    </i>
    <i>
      <x v="52"/>
    </i>
    <i>
      <x v="92"/>
    </i>
    <i>
      <x v="138"/>
    </i>
    <i>
      <x v="18"/>
    </i>
    <i>
      <x v="147"/>
    </i>
    <i>
      <x v="76"/>
    </i>
    <i>
      <x v="83"/>
    </i>
    <i>
      <x v="159"/>
    </i>
    <i>
      <x v="53"/>
    </i>
    <i>
      <x v="155"/>
    </i>
    <i>
      <x v="124"/>
    </i>
    <i>
      <x v="94"/>
    </i>
    <i>
      <x v="144"/>
    </i>
    <i>
      <x v="70"/>
    </i>
    <i>
      <x v="118"/>
    </i>
    <i>
      <x v="16"/>
    </i>
    <i>
      <x v="111"/>
    </i>
    <i>
      <x v="88"/>
    </i>
    <i>
      <x v="21"/>
    </i>
    <i>
      <x v="63"/>
    </i>
    <i>
      <x/>
    </i>
    <i>
      <x v="65"/>
    </i>
    <i>
      <x v="45"/>
    </i>
    <i>
      <x v="86"/>
    </i>
    <i>
      <x v="149"/>
    </i>
    <i>
      <x v="34"/>
    </i>
    <i>
      <x v="103"/>
    </i>
    <i>
      <x v="36"/>
    </i>
    <i>
      <x v="123"/>
    </i>
    <i>
      <x v="37"/>
    </i>
    <i>
      <x v="161"/>
    </i>
    <i>
      <x v="46"/>
    </i>
    <i>
      <x v="4"/>
    </i>
    <i>
      <x v="59"/>
    </i>
    <i>
      <x v="13"/>
    </i>
    <i>
      <x v="38"/>
    </i>
    <i>
      <x v="3"/>
    </i>
    <i>
      <x v="109"/>
    </i>
    <i>
      <x v="56"/>
    </i>
    <i>
      <x v="8"/>
    </i>
    <i>
      <x v="152"/>
    </i>
    <i>
      <x v="60"/>
    </i>
    <i>
      <x v="77"/>
    </i>
    <i>
      <x v="62"/>
    </i>
    <i>
      <x v="106"/>
    </i>
    <i>
      <x v="82"/>
    </i>
    <i>
      <x v="127"/>
    </i>
    <i>
      <x v="49"/>
    </i>
    <i>
      <x v="140"/>
    </i>
    <i>
      <x v="116"/>
    </i>
    <i>
      <x v="74"/>
    </i>
    <i>
      <x v="134"/>
    </i>
    <i>
      <x v="113"/>
    </i>
    <i>
      <x v="58"/>
    </i>
    <i>
      <x v="47"/>
    </i>
    <i>
      <x v="117"/>
    </i>
    <i>
      <x v="130"/>
    </i>
    <i>
      <x v="142"/>
    </i>
    <i>
      <x v="25"/>
    </i>
    <i>
      <x v="141"/>
    </i>
    <i>
      <x v="96"/>
    </i>
    <i>
      <x v="72"/>
    </i>
    <i>
      <x v="157"/>
    </i>
    <i>
      <x v="44"/>
    </i>
    <i>
      <x v="115"/>
    </i>
    <i>
      <x v="143"/>
    </i>
    <i>
      <x v="102"/>
    </i>
    <i>
      <x v="90"/>
    </i>
    <i>
      <x v="135"/>
    </i>
    <i>
      <x v="97"/>
    </i>
    <i>
      <x v="69"/>
    </i>
    <i>
      <x v="154"/>
    </i>
    <i>
      <x v="10"/>
    </i>
    <i>
      <x v="146"/>
    </i>
    <i>
      <x v="55"/>
    </i>
    <i>
      <x v="30"/>
    </i>
    <i>
      <x v="39"/>
    </i>
    <i>
      <x v="22"/>
    </i>
    <i>
      <x v="50"/>
    </i>
    <i>
      <x v="129"/>
    </i>
    <i>
      <x v="68"/>
    </i>
    <i>
      <x v="5"/>
    </i>
    <i>
      <x v="95"/>
    </i>
    <i>
      <x v="121"/>
    </i>
    <i>
      <x v="110"/>
    </i>
    <i>
      <x v="104"/>
    </i>
    <i>
      <x v="156"/>
    </i>
    <i>
      <x v="54"/>
    </i>
    <i>
      <x v="2"/>
    </i>
    <i>
      <x v="28"/>
    </i>
    <i>
      <x v="120"/>
    </i>
    <i>
      <x v="9"/>
    </i>
    <i>
      <x v="43"/>
    </i>
    <i>
      <x v="48"/>
    </i>
    <i>
      <x v="40"/>
    </i>
    <i>
      <x v="32"/>
    </i>
    <i>
      <x v="33"/>
    </i>
    <i>
      <x v="29"/>
    </i>
    <i>
      <x v="112"/>
    </i>
    <i>
      <x v="150"/>
    </i>
    <i>
      <x v="81"/>
    </i>
    <i t="grand">
      <x/>
    </i>
  </rowItems>
  <colFields count="1">
    <field x="-2"/>
  </colFields>
  <colItems count="3">
    <i>
      <x/>
    </i>
    <i i="1">
      <x v="1"/>
    </i>
    <i i="2">
      <x v="2"/>
    </i>
  </colItems>
  <dataFields count="3">
    <dataField name="Sum of Estimated  F.O.B Value $" fld="9" baseField="0" baseItem="0"/>
    <dataField name="Sum of Standard Qty" fld="6" baseField="0" baseItem="0"/>
    <dataField name="Count of Record Id" fld="24"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441" totalsRowShown="0" headerRowDxfId="8" headerRowBorderDxfId="7" tableBorderDxfId="6">
  <autoFilter ref="A1:Z441" xr:uid="{00000000-0009-0000-0100-000001000000}"/>
  <tableColumns count="26">
    <tableColumn id="1" xr3:uid="{00000000-0010-0000-0000-000001000000}" name="Date" dataDxfId="5"/>
    <tableColumn id="26" xr3:uid="{00000000-0010-0000-0000-00001A000000}" name="Year" dataDxfId="4"/>
    <tableColumn id="2" xr3:uid="{00000000-0010-0000-0000-000002000000}" name="HS Code"/>
    <tableColumn id="3" xr3:uid="{00000000-0010-0000-0000-000003000000}" name="Product Description"/>
    <tableColumn id="4" xr3:uid="{00000000-0010-0000-0000-000004000000}" name="Shipper Name"/>
    <tableColumn id="5" xr3:uid="{00000000-0010-0000-0000-000005000000}" name="Consignee Name"/>
    <tableColumn id="6" xr3:uid="{00000000-0010-0000-0000-000006000000}" name="Standard Qty" dataDxfId="3"/>
    <tableColumn id="7" xr3:uid="{00000000-0010-0000-0000-000007000000}" name="Standard Unit"/>
    <tableColumn id="8" xr3:uid="{00000000-0010-0000-0000-000008000000}" name="Standard Unit Rate $" dataDxfId="2"/>
    <tableColumn id="9" xr3:uid="{00000000-0010-0000-0000-000009000000}" name="Estimated  F.O.B Value $" dataDxfId="1"/>
    <tableColumn id="10" xr3:uid="{00000000-0010-0000-0000-00000A000000}" name="Estimated Unit Rate $"/>
    <tableColumn id="11" xr3:uid="{00000000-0010-0000-0000-00000B000000}" name="Port of Destination"/>
    <tableColumn id="12" xr3:uid="{00000000-0010-0000-0000-00000C000000}" name="Country of Destination"/>
    <tableColumn id="13" xr3:uid="{00000000-0010-0000-0000-00000D000000}" name="Port of Origin"/>
    <tableColumn id="14" xr3:uid="{00000000-0010-0000-0000-00000E000000}" name="Shipment mode"/>
    <tableColumn id="15" xr3:uid="{00000000-0010-0000-0000-00000F000000}" name="QTY"/>
    <tableColumn id="16" xr3:uid="{00000000-0010-0000-0000-000010000000}" name="Unit"/>
    <tableColumn id="17" xr3:uid="{00000000-0010-0000-0000-000011000000}" name="Value in FC"/>
    <tableColumn id="18" xr3:uid="{00000000-0010-0000-0000-000012000000}" name="Rate In FC"/>
    <tableColumn id="19" xr3:uid="{00000000-0010-0000-0000-000013000000}" name="Rate Currency"/>
    <tableColumn id="20" xr3:uid="{00000000-0010-0000-0000-000014000000}" name="HS Description"/>
    <tableColumn id="21" xr3:uid="{00000000-0010-0000-0000-000015000000}" name="HS2"/>
    <tableColumn id="22" xr3:uid="{00000000-0010-0000-0000-000016000000}" name="HS4"/>
    <tableColumn id="23" xr3:uid="{00000000-0010-0000-0000-000017000000}" name="Month" dataDxfId="0"/>
    <tableColumn id="24" xr3:uid="{00000000-0010-0000-0000-000018000000}" name="Record Id"/>
    <tableColumn id="25" xr3:uid="{00000000-0010-0000-0000-000019000000}" name="IEC"/>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4EF17C2-3A6C-4D08-8148-52A4D5F9E164}">
  <we:reference id="wa200010725" version="1.0.0.1" store="en-US" storeType="OMEX"/>
  <we:alternateReferences>
    <we:reference id="WA200010725" version="1.0.0.1" store="WA200010725" storeType="OMEX"/>
  </we:alternateReferences>
  <we:properties>
    <we:property name="claude.fileId" value="&quot;06458361-705a-407d-b18e-363cf3e3d19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447"/>
  <sheetViews>
    <sheetView topLeftCell="E1" workbookViewId="0">
      <pane ySplit="1" topLeftCell="A2" activePane="bottomLeft" state="frozen"/>
      <selection pane="bottomLeft" activeCell="G1" sqref="G1:G1048576"/>
    </sheetView>
  </sheetViews>
  <sheetFormatPr defaultRowHeight="14.4" x14ac:dyDescent="0.3"/>
  <cols>
    <col min="1" max="1" width="21" customWidth="1"/>
    <col min="2" max="2" width="10" customWidth="1"/>
    <col min="3" max="5" width="42" customWidth="1"/>
    <col min="6" max="6" width="56.88671875" bestFit="1" customWidth="1"/>
    <col min="7" max="7" width="15" customWidth="1"/>
    <col min="8" max="8" width="22" style="10" customWidth="1"/>
    <col min="9" max="9" width="26" style="10" customWidth="1"/>
    <col min="10" max="10" width="23" customWidth="1"/>
    <col min="11" max="11" width="21" customWidth="1"/>
    <col min="12" max="12" width="24" customWidth="1"/>
    <col min="13" max="13" width="16" customWidth="1"/>
    <col min="14" max="14" width="16.33203125" customWidth="1"/>
    <col min="15" max="16" width="10" customWidth="1"/>
    <col min="17" max="17" width="13" customWidth="1"/>
    <col min="18" max="18" width="12" customWidth="1"/>
    <col min="19" max="19" width="15" customWidth="1"/>
    <col min="20" max="20" width="42" customWidth="1"/>
    <col min="21" max="23" width="10" customWidth="1"/>
    <col min="24" max="24" width="11.21875" bestFit="1" customWidth="1"/>
    <col min="25" max="25" width="12" customWidth="1"/>
    <col min="26" max="26" width="12.33203125" bestFit="1" customWidth="1"/>
  </cols>
  <sheetData>
    <row r="1" spans="1:53" ht="30" customHeight="1" x14ac:dyDescent="0.3">
      <c r="A1" s="5" t="s">
        <v>0</v>
      </c>
      <c r="B1" s="5" t="s">
        <v>1379</v>
      </c>
      <c r="C1" s="3" t="s">
        <v>1</v>
      </c>
      <c r="D1" s="3" t="s">
        <v>2</v>
      </c>
      <c r="E1" s="3" t="s">
        <v>3</v>
      </c>
      <c r="F1" s="3" t="s">
        <v>4</v>
      </c>
      <c r="G1" s="7" t="s">
        <v>5</v>
      </c>
      <c r="H1" s="3" t="s">
        <v>6</v>
      </c>
      <c r="I1" s="9" t="s">
        <v>7</v>
      </c>
      <c r="J1" s="9" t="s">
        <v>8</v>
      </c>
      <c r="K1" s="4" t="s">
        <v>9</v>
      </c>
      <c r="L1" s="4" t="s">
        <v>10</v>
      </c>
      <c r="M1" s="4" t="s">
        <v>11</v>
      </c>
      <c r="N1" s="3" t="s">
        <v>12</v>
      </c>
      <c r="O1" s="3" t="s">
        <v>13</v>
      </c>
      <c r="P1" s="3" t="s">
        <v>14</v>
      </c>
      <c r="Q1" s="3" t="s">
        <v>15</v>
      </c>
      <c r="R1" s="3" t="s">
        <v>16</v>
      </c>
      <c r="S1" s="3" t="s">
        <v>17</v>
      </c>
      <c r="T1" s="3" t="s">
        <v>18</v>
      </c>
      <c r="U1" s="3" t="s">
        <v>19</v>
      </c>
      <c r="V1" s="3" t="s">
        <v>20</v>
      </c>
      <c r="W1" s="3" t="s">
        <v>21</v>
      </c>
      <c r="X1" s="4" t="s">
        <v>22</v>
      </c>
      <c r="Y1" s="4" t="s">
        <v>23</v>
      </c>
      <c r="Z1" s="3" t="s">
        <v>24</v>
      </c>
    </row>
    <row r="2" spans="1:53" x14ac:dyDescent="0.3">
      <c r="A2" s="6">
        <v>44566</v>
      </c>
      <c r="B2" s="11">
        <v>44566</v>
      </c>
      <c r="C2">
        <v>12077090</v>
      </c>
      <c r="D2" t="s">
        <v>25</v>
      </c>
      <c r="E2" t="s">
        <v>26</v>
      </c>
      <c r="F2" t="s">
        <v>27</v>
      </c>
      <c r="G2" s="8">
        <v>50</v>
      </c>
      <c r="H2" t="s">
        <v>28</v>
      </c>
      <c r="I2" s="10">
        <v>1.8841337112997021</v>
      </c>
      <c r="J2" s="10">
        <v>94.206685564985094</v>
      </c>
      <c r="K2">
        <v>1.8839999999999999</v>
      </c>
      <c r="L2" t="s">
        <v>29</v>
      </c>
      <c r="M2" t="s">
        <v>30</v>
      </c>
      <c r="N2" t="s">
        <v>31</v>
      </c>
      <c r="O2" t="s">
        <v>32</v>
      </c>
      <c r="P2">
        <v>50</v>
      </c>
      <c r="Q2" t="s">
        <v>28</v>
      </c>
      <c r="R2">
        <v>100</v>
      </c>
      <c r="S2">
        <v>2</v>
      </c>
      <c r="T2" t="s">
        <v>33</v>
      </c>
      <c r="U2" t="s">
        <v>34</v>
      </c>
      <c r="V2">
        <v>12</v>
      </c>
      <c r="W2">
        <v>1207</v>
      </c>
      <c r="X2" s="17">
        <v>44562</v>
      </c>
      <c r="Y2">
        <v>313032</v>
      </c>
      <c r="Z2" t="s">
        <v>36</v>
      </c>
      <c r="AC2" s="5"/>
      <c r="AD2" s="5"/>
      <c r="AE2" s="5"/>
      <c r="AF2" s="5"/>
      <c r="AG2" s="5"/>
      <c r="AH2" s="5"/>
      <c r="AI2" s="5"/>
      <c r="AJ2" s="5"/>
      <c r="AK2" s="5"/>
      <c r="AL2" s="5"/>
      <c r="AM2" s="5"/>
      <c r="AN2" s="5"/>
      <c r="AO2" s="5"/>
      <c r="AP2" s="5"/>
      <c r="AQ2" s="5"/>
      <c r="AR2" s="5"/>
      <c r="AS2" s="5"/>
      <c r="AT2" s="5"/>
      <c r="AU2" s="5"/>
      <c r="AV2" s="5"/>
      <c r="AW2" s="5"/>
      <c r="AX2" s="5"/>
      <c r="AY2" s="5"/>
      <c r="AZ2" s="5"/>
      <c r="BA2" s="5"/>
    </row>
    <row r="3" spans="1:53" x14ac:dyDescent="0.3">
      <c r="A3" s="6">
        <v>44583</v>
      </c>
      <c r="B3" s="11">
        <v>44583</v>
      </c>
      <c r="C3">
        <v>20081920</v>
      </c>
      <c r="D3" t="s">
        <v>37</v>
      </c>
      <c r="E3" t="s">
        <v>38</v>
      </c>
      <c r="F3" t="s">
        <v>39</v>
      </c>
      <c r="G3" s="8">
        <v>1500</v>
      </c>
      <c r="H3" t="s">
        <v>28</v>
      </c>
      <c r="I3" s="10">
        <v>2.445875716596841</v>
      </c>
      <c r="J3" s="10">
        <v>3668.8135748952609</v>
      </c>
      <c r="K3">
        <v>2445.8760000000002</v>
      </c>
      <c r="L3" t="s">
        <v>40</v>
      </c>
      <c r="M3" t="s">
        <v>41</v>
      </c>
      <c r="N3" t="s">
        <v>42</v>
      </c>
      <c r="O3" t="s">
        <v>32</v>
      </c>
      <c r="P3">
        <v>1.5</v>
      </c>
      <c r="Q3" t="s">
        <v>43</v>
      </c>
      <c r="R3">
        <v>3802.5</v>
      </c>
      <c r="S3">
        <v>2535</v>
      </c>
      <c r="T3" t="s">
        <v>33</v>
      </c>
      <c r="U3" t="s">
        <v>44</v>
      </c>
      <c r="V3">
        <v>20</v>
      </c>
      <c r="W3">
        <v>2008</v>
      </c>
      <c r="X3" s="17">
        <v>44562</v>
      </c>
      <c r="Y3">
        <v>2665105</v>
      </c>
      <c r="Z3" t="s">
        <v>45</v>
      </c>
      <c r="AC3" s="6"/>
      <c r="AH3" s="8"/>
      <c r="AJ3" s="10"/>
      <c r="AK3" s="10"/>
    </row>
    <row r="4" spans="1:53" x14ac:dyDescent="0.3">
      <c r="A4" s="6">
        <v>44589</v>
      </c>
      <c r="B4" s="11">
        <v>44589</v>
      </c>
      <c r="C4">
        <v>20081920</v>
      </c>
      <c r="D4" t="s">
        <v>46</v>
      </c>
      <c r="E4" t="s">
        <v>47</v>
      </c>
      <c r="F4" t="s">
        <v>48</v>
      </c>
      <c r="G4" s="8">
        <v>745</v>
      </c>
      <c r="H4" t="s">
        <v>28</v>
      </c>
      <c r="I4" s="10">
        <v>5.1554585463320919</v>
      </c>
      <c r="J4" s="10">
        <v>3840.816617017409</v>
      </c>
      <c r="K4">
        <v>5.1550000000000002</v>
      </c>
      <c r="L4" t="s">
        <v>49</v>
      </c>
      <c r="M4" t="s">
        <v>50</v>
      </c>
      <c r="N4" t="s">
        <v>51</v>
      </c>
      <c r="O4" t="s">
        <v>32</v>
      </c>
      <c r="P4">
        <v>745</v>
      </c>
      <c r="Q4" t="s">
        <v>28</v>
      </c>
      <c r="R4">
        <v>3598.35</v>
      </c>
      <c r="S4">
        <v>4.83</v>
      </c>
      <c r="T4" t="s">
        <v>52</v>
      </c>
      <c r="U4" t="s">
        <v>44</v>
      </c>
      <c r="V4">
        <v>20</v>
      </c>
      <c r="W4">
        <v>2008</v>
      </c>
      <c r="X4" s="17">
        <v>44562</v>
      </c>
      <c r="Y4">
        <v>2922150</v>
      </c>
      <c r="Z4" t="s">
        <v>53</v>
      </c>
      <c r="AC4" s="6"/>
      <c r="AH4" s="8"/>
      <c r="AJ4" s="10"/>
      <c r="AK4" s="10"/>
    </row>
    <row r="5" spans="1:53" x14ac:dyDescent="0.3">
      <c r="A5" s="6">
        <v>44606</v>
      </c>
      <c r="B5" s="11">
        <v>44606</v>
      </c>
      <c r="C5">
        <v>20081990</v>
      </c>
      <c r="D5" t="s">
        <v>54</v>
      </c>
      <c r="E5" t="s">
        <v>55</v>
      </c>
      <c r="F5" t="s">
        <v>56</v>
      </c>
      <c r="G5" s="8">
        <v>1500</v>
      </c>
      <c r="H5" t="s">
        <v>28</v>
      </c>
      <c r="I5" s="10">
        <v>1.268981148803872</v>
      </c>
      <c r="J5" s="10">
        <v>1903.471723205809</v>
      </c>
      <c r="K5">
        <v>1.2689999999999999</v>
      </c>
      <c r="L5" t="s">
        <v>57</v>
      </c>
      <c r="M5" t="s">
        <v>58</v>
      </c>
      <c r="N5" t="s">
        <v>59</v>
      </c>
      <c r="O5" t="s">
        <v>60</v>
      </c>
      <c r="P5">
        <v>1500</v>
      </c>
      <c r="Q5" t="s">
        <v>28</v>
      </c>
      <c r="R5">
        <v>1950</v>
      </c>
      <c r="S5">
        <v>1.3</v>
      </c>
      <c r="T5" t="s">
        <v>33</v>
      </c>
      <c r="U5" t="s">
        <v>44</v>
      </c>
      <c r="V5">
        <v>20</v>
      </c>
      <c r="W5">
        <v>2008</v>
      </c>
      <c r="X5" s="17">
        <v>44593</v>
      </c>
      <c r="Y5">
        <v>7454929</v>
      </c>
      <c r="Z5" t="s">
        <v>62</v>
      </c>
      <c r="AC5" s="6"/>
      <c r="AH5" s="8"/>
      <c r="AJ5" s="10"/>
      <c r="AK5" s="10"/>
    </row>
    <row r="6" spans="1:53" x14ac:dyDescent="0.3">
      <c r="A6" s="6">
        <v>44609</v>
      </c>
      <c r="B6" s="11">
        <v>44609</v>
      </c>
      <c r="C6">
        <v>20081990</v>
      </c>
      <c r="D6" t="s">
        <v>63</v>
      </c>
      <c r="E6" t="s">
        <v>64</v>
      </c>
      <c r="F6" t="s">
        <v>65</v>
      </c>
      <c r="G6" s="8">
        <v>32</v>
      </c>
      <c r="H6" t="s">
        <v>28</v>
      </c>
      <c r="I6" s="10">
        <v>7.910932122798898</v>
      </c>
      <c r="J6" s="10">
        <v>253.14982792956471</v>
      </c>
      <c r="K6">
        <v>7.9109999999999996</v>
      </c>
      <c r="L6" t="s">
        <v>66</v>
      </c>
      <c r="M6" t="s">
        <v>67</v>
      </c>
      <c r="N6" t="s">
        <v>51</v>
      </c>
      <c r="O6" t="s">
        <v>32</v>
      </c>
      <c r="P6">
        <v>32</v>
      </c>
      <c r="Q6" t="s">
        <v>28</v>
      </c>
      <c r="R6">
        <v>261.44</v>
      </c>
      <c r="S6">
        <v>8.17</v>
      </c>
      <c r="T6" t="s">
        <v>33</v>
      </c>
      <c r="U6" t="s">
        <v>44</v>
      </c>
      <c r="V6">
        <v>20</v>
      </c>
      <c r="W6">
        <v>2008</v>
      </c>
      <c r="X6" s="17">
        <v>44593</v>
      </c>
      <c r="Y6">
        <v>5828044</v>
      </c>
      <c r="Z6" t="s">
        <v>68</v>
      </c>
      <c r="AC6" s="6"/>
      <c r="AH6" s="8"/>
      <c r="AJ6" s="10"/>
      <c r="AK6" s="10"/>
    </row>
    <row r="7" spans="1:53" x14ac:dyDescent="0.3">
      <c r="A7" s="6">
        <v>44628</v>
      </c>
      <c r="B7" s="11">
        <v>44628</v>
      </c>
      <c r="C7">
        <v>20081990</v>
      </c>
      <c r="D7" t="s">
        <v>69</v>
      </c>
      <c r="E7" t="s">
        <v>70</v>
      </c>
      <c r="F7" t="s">
        <v>56</v>
      </c>
      <c r="G7" s="8">
        <v>1000</v>
      </c>
      <c r="H7" t="s">
        <v>28</v>
      </c>
      <c r="I7" s="10">
        <v>1.3475130492</v>
      </c>
      <c r="J7" s="10">
        <v>1347.5130492000001</v>
      </c>
      <c r="K7">
        <v>1.3480000000000001</v>
      </c>
      <c r="L7" t="s">
        <v>57</v>
      </c>
      <c r="M7" t="s">
        <v>58</v>
      </c>
      <c r="N7" t="s">
        <v>59</v>
      </c>
      <c r="O7" t="s">
        <v>60</v>
      </c>
      <c r="P7">
        <v>1000</v>
      </c>
      <c r="Q7" t="s">
        <v>28</v>
      </c>
      <c r="R7">
        <v>1350</v>
      </c>
      <c r="S7">
        <v>1.349</v>
      </c>
      <c r="T7" t="s">
        <v>33</v>
      </c>
      <c r="U7" t="s">
        <v>44</v>
      </c>
      <c r="V7">
        <v>20</v>
      </c>
      <c r="W7">
        <v>2008</v>
      </c>
      <c r="X7" s="17">
        <v>44621</v>
      </c>
      <c r="Y7">
        <v>23294841</v>
      </c>
      <c r="Z7" t="s">
        <v>72</v>
      </c>
      <c r="AC7" s="6"/>
      <c r="AH7" s="8"/>
      <c r="AJ7" s="10"/>
      <c r="AK7" s="10"/>
    </row>
    <row r="8" spans="1:53" x14ac:dyDescent="0.3">
      <c r="A8" s="6">
        <v>44631</v>
      </c>
      <c r="B8" s="11">
        <v>44631</v>
      </c>
      <c r="C8">
        <v>20081990</v>
      </c>
      <c r="D8" t="s">
        <v>63</v>
      </c>
      <c r="E8" t="s">
        <v>64</v>
      </c>
      <c r="F8" t="s">
        <v>65</v>
      </c>
      <c r="G8" s="8">
        <v>32</v>
      </c>
      <c r="H8" t="s">
        <v>28</v>
      </c>
      <c r="I8" s="10">
        <v>8.158244348483235</v>
      </c>
      <c r="J8" s="10">
        <v>261.06381915146352</v>
      </c>
      <c r="K8">
        <v>8.1579999999999995</v>
      </c>
      <c r="L8" t="s">
        <v>66</v>
      </c>
      <c r="M8" t="s">
        <v>67</v>
      </c>
      <c r="N8" t="s">
        <v>51</v>
      </c>
      <c r="O8" t="s">
        <v>32</v>
      </c>
      <c r="P8">
        <v>32</v>
      </c>
      <c r="Q8" t="s">
        <v>28</v>
      </c>
      <c r="R8">
        <v>261.44</v>
      </c>
      <c r="S8">
        <v>8.17</v>
      </c>
      <c r="T8" t="s">
        <v>33</v>
      </c>
      <c r="U8" t="s">
        <v>44</v>
      </c>
      <c r="V8">
        <v>20</v>
      </c>
      <c r="W8">
        <v>2008</v>
      </c>
      <c r="X8" s="17">
        <v>44621</v>
      </c>
      <c r="Y8">
        <v>9114343</v>
      </c>
      <c r="Z8" t="s">
        <v>68</v>
      </c>
      <c r="AC8" s="6"/>
      <c r="AH8" s="8"/>
      <c r="AJ8" s="10"/>
      <c r="AK8" s="10"/>
    </row>
    <row r="9" spans="1:53" x14ac:dyDescent="0.3">
      <c r="A9" s="6">
        <v>44643</v>
      </c>
      <c r="B9" s="11">
        <v>44643</v>
      </c>
      <c r="C9">
        <v>20081920</v>
      </c>
      <c r="D9" t="s">
        <v>73</v>
      </c>
      <c r="E9" t="s">
        <v>47</v>
      </c>
      <c r="F9" t="s">
        <v>74</v>
      </c>
      <c r="G9" s="8">
        <v>510</v>
      </c>
      <c r="H9" t="s">
        <v>28</v>
      </c>
      <c r="I9" s="10">
        <v>5.0321346494117636</v>
      </c>
      <c r="J9" s="10">
        <v>2566.3886711999999</v>
      </c>
      <c r="K9">
        <v>5.032</v>
      </c>
      <c r="L9" t="s">
        <v>75</v>
      </c>
      <c r="M9" t="s">
        <v>50</v>
      </c>
      <c r="N9" t="s">
        <v>51</v>
      </c>
      <c r="O9" t="s">
        <v>32</v>
      </c>
      <c r="P9">
        <v>510</v>
      </c>
      <c r="Q9" t="s">
        <v>28</v>
      </c>
      <c r="R9">
        <v>2463.3000000000002</v>
      </c>
      <c r="S9">
        <v>4.8250000000000002</v>
      </c>
      <c r="T9" t="s">
        <v>52</v>
      </c>
      <c r="U9" t="s">
        <v>44</v>
      </c>
      <c r="V9">
        <v>20</v>
      </c>
      <c r="W9">
        <v>2008</v>
      </c>
      <c r="X9" s="17">
        <v>44621</v>
      </c>
      <c r="Y9">
        <v>23177273</v>
      </c>
      <c r="Z9" t="s">
        <v>53</v>
      </c>
      <c r="AC9" s="6"/>
      <c r="AH9" s="8"/>
      <c r="AJ9" s="10"/>
      <c r="AK9" s="10"/>
    </row>
    <row r="10" spans="1:53" x14ac:dyDescent="0.3">
      <c r="A10" s="6">
        <v>44643</v>
      </c>
      <c r="B10" s="11">
        <v>44643</v>
      </c>
      <c r="C10">
        <v>20081920</v>
      </c>
      <c r="D10" t="s">
        <v>76</v>
      </c>
      <c r="E10" t="s">
        <v>47</v>
      </c>
      <c r="F10" t="s">
        <v>74</v>
      </c>
      <c r="G10" s="8">
        <v>405</v>
      </c>
      <c r="H10" t="s">
        <v>28</v>
      </c>
      <c r="I10" s="10">
        <v>4.9577773856790124</v>
      </c>
      <c r="J10" s="10">
        <v>2007.8998412000001</v>
      </c>
      <c r="K10">
        <v>4.9580000000000002</v>
      </c>
      <c r="L10" t="s">
        <v>75</v>
      </c>
      <c r="M10" t="s">
        <v>50</v>
      </c>
      <c r="N10" t="s">
        <v>51</v>
      </c>
      <c r="O10" t="s">
        <v>32</v>
      </c>
      <c r="P10">
        <v>405</v>
      </c>
      <c r="Q10" t="s">
        <v>28</v>
      </c>
      <c r="R10">
        <v>1919.7</v>
      </c>
      <c r="S10">
        <v>4.7350000000000003</v>
      </c>
      <c r="T10" t="s">
        <v>52</v>
      </c>
      <c r="U10" t="s">
        <v>44</v>
      </c>
      <c r="V10">
        <v>20</v>
      </c>
      <c r="W10">
        <v>2008</v>
      </c>
      <c r="X10" s="17">
        <v>44621</v>
      </c>
      <c r="Y10">
        <v>23176851</v>
      </c>
      <c r="Z10" t="s">
        <v>53</v>
      </c>
      <c r="AC10" s="6"/>
      <c r="AH10" s="8"/>
      <c r="AJ10" s="10"/>
      <c r="AK10" s="10"/>
    </row>
    <row r="11" spans="1:53" x14ac:dyDescent="0.3">
      <c r="A11" s="6">
        <v>44653</v>
      </c>
      <c r="B11" s="11">
        <v>44653</v>
      </c>
      <c r="C11">
        <v>20081920</v>
      </c>
      <c r="D11" t="s">
        <v>77</v>
      </c>
      <c r="E11" t="s">
        <v>78</v>
      </c>
      <c r="F11" t="s">
        <v>79</v>
      </c>
      <c r="G11" s="8">
        <v>50</v>
      </c>
      <c r="H11" t="s">
        <v>28</v>
      </c>
      <c r="I11" s="10">
        <v>6.9148000000000014</v>
      </c>
      <c r="J11" s="10">
        <v>345.74</v>
      </c>
      <c r="K11">
        <v>6.91</v>
      </c>
      <c r="L11" t="s">
        <v>80</v>
      </c>
      <c r="M11" t="s">
        <v>81</v>
      </c>
      <c r="N11" t="s">
        <v>51</v>
      </c>
      <c r="O11" t="s">
        <v>32</v>
      </c>
      <c r="P11">
        <v>50</v>
      </c>
      <c r="Q11" t="s">
        <v>28</v>
      </c>
      <c r="R11">
        <v>376</v>
      </c>
      <c r="S11">
        <v>7.52</v>
      </c>
      <c r="T11" t="s">
        <v>33</v>
      </c>
      <c r="U11" t="s">
        <v>44</v>
      </c>
      <c r="V11">
        <v>20</v>
      </c>
      <c r="W11">
        <v>2008</v>
      </c>
      <c r="X11" s="17">
        <v>44652</v>
      </c>
      <c r="Y11">
        <v>24722246</v>
      </c>
      <c r="Z11" t="s">
        <v>83</v>
      </c>
      <c r="AC11" s="6"/>
      <c r="AH11" s="8"/>
      <c r="AJ11" s="10"/>
      <c r="AK11" s="10"/>
    </row>
    <row r="12" spans="1:53" x14ac:dyDescent="0.3">
      <c r="A12" s="6">
        <v>44691</v>
      </c>
      <c r="B12" s="11">
        <v>44691</v>
      </c>
      <c r="C12">
        <v>20081990</v>
      </c>
      <c r="D12" t="s">
        <v>84</v>
      </c>
      <c r="E12" t="s">
        <v>85</v>
      </c>
      <c r="F12" t="s">
        <v>86</v>
      </c>
      <c r="G12" s="8">
        <v>20</v>
      </c>
      <c r="H12" t="s">
        <v>28</v>
      </c>
      <c r="I12" s="10">
        <v>6.6355000000000004</v>
      </c>
      <c r="J12" s="10">
        <v>132.71</v>
      </c>
      <c r="K12">
        <v>6.64</v>
      </c>
      <c r="L12" t="s">
        <v>87</v>
      </c>
      <c r="M12" t="s">
        <v>88</v>
      </c>
      <c r="N12" t="s">
        <v>89</v>
      </c>
      <c r="O12" t="s">
        <v>32</v>
      </c>
      <c r="P12">
        <v>20</v>
      </c>
      <c r="Q12" t="s">
        <v>28</v>
      </c>
      <c r="R12">
        <v>171.6</v>
      </c>
      <c r="S12">
        <v>8.58</v>
      </c>
      <c r="T12" t="s">
        <v>90</v>
      </c>
      <c r="U12" t="s">
        <v>44</v>
      </c>
      <c r="V12">
        <v>20</v>
      </c>
      <c r="W12">
        <v>2008</v>
      </c>
      <c r="X12" s="17">
        <v>44682</v>
      </c>
      <c r="Y12">
        <v>30772877</v>
      </c>
      <c r="Z12" t="s">
        <v>92</v>
      </c>
      <c r="AC12" s="6"/>
      <c r="AH12" s="8"/>
      <c r="AJ12" s="10"/>
      <c r="AK12" s="10"/>
    </row>
    <row r="13" spans="1:53" x14ac:dyDescent="0.3">
      <c r="A13" s="6">
        <v>44693</v>
      </c>
      <c r="B13" s="11">
        <v>44693</v>
      </c>
      <c r="C13">
        <v>20081920</v>
      </c>
      <c r="D13" t="s">
        <v>93</v>
      </c>
      <c r="E13" t="s">
        <v>47</v>
      </c>
      <c r="F13" t="s">
        <v>48</v>
      </c>
      <c r="G13" s="8">
        <v>195</v>
      </c>
      <c r="H13" t="s">
        <v>28</v>
      </c>
      <c r="I13" s="10">
        <v>5.376615384615385</v>
      </c>
      <c r="J13" s="10">
        <v>1048.44</v>
      </c>
      <c r="K13">
        <v>5.38</v>
      </c>
      <c r="L13" t="s">
        <v>75</v>
      </c>
      <c r="M13" t="s">
        <v>50</v>
      </c>
      <c r="N13" t="s">
        <v>51</v>
      </c>
      <c r="O13" t="s">
        <v>32</v>
      </c>
      <c r="P13">
        <v>195</v>
      </c>
      <c r="Q13" t="s">
        <v>28</v>
      </c>
      <c r="R13">
        <v>1014</v>
      </c>
      <c r="S13">
        <v>5.2</v>
      </c>
      <c r="T13" t="s">
        <v>52</v>
      </c>
      <c r="U13" t="s">
        <v>44</v>
      </c>
      <c r="V13">
        <v>20</v>
      </c>
      <c r="W13">
        <v>2008</v>
      </c>
      <c r="X13" s="17">
        <v>44682</v>
      </c>
      <c r="Y13">
        <v>29207200</v>
      </c>
      <c r="Z13" t="s">
        <v>53</v>
      </c>
      <c r="AC13" s="6"/>
      <c r="AH13" s="8"/>
      <c r="AJ13" s="10"/>
      <c r="AK13" s="10"/>
    </row>
    <row r="14" spans="1:53" x14ac:dyDescent="0.3">
      <c r="A14" s="6">
        <v>44693</v>
      </c>
      <c r="B14" s="11">
        <v>44693</v>
      </c>
      <c r="C14">
        <v>12129990</v>
      </c>
      <c r="D14" t="s">
        <v>94</v>
      </c>
      <c r="E14" t="s">
        <v>47</v>
      </c>
      <c r="F14" t="s">
        <v>48</v>
      </c>
      <c r="G14" s="8">
        <v>800</v>
      </c>
      <c r="H14" t="s">
        <v>28</v>
      </c>
      <c r="I14" s="10">
        <v>5.4910375</v>
      </c>
      <c r="J14" s="10">
        <v>4392.83</v>
      </c>
      <c r="K14">
        <v>5.49</v>
      </c>
      <c r="L14" t="s">
        <v>75</v>
      </c>
      <c r="M14" t="s">
        <v>50</v>
      </c>
      <c r="N14" t="s">
        <v>51</v>
      </c>
      <c r="O14" t="s">
        <v>32</v>
      </c>
      <c r="P14">
        <v>800</v>
      </c>
      <c r="Q14" t="s">
        <v>28</v>
      </c>
      <c r="R14">
        <v>4232</v>
      </c>
      <c r="S14">
        <v>5.29</v>
      </c>
      <c r="T14" t="s">
        <v>52</v>
      </c>
      <c r="U14" t="s">
        <v>95</v>
      </c>
      <c r="V14">
        <v>12</v>
      </c>
      <c r="W14">
        <v>1212</v>
      </c>
      <c r="X14" s="17">
        <v>44682</v>
      </c>
      <c r="Y14">
        <v>29206843</v>
      </c>
      <c r="Z14" t="s">
        <v>53</v>
      </c>
      <c r="AC14" s="6"/>
      <c r="AH14" s="8"/>
      <c r="AJ14" s="10"/>
      <c r="AK14" s="10"/>
    </row>
    <row r="15" spans="1:53" x14ac:dyDescent="0.3">
      <c r="A15" s="6">
        <v>44698</v>
      </c>
      <c r="B15" s="11">
        <v>44698</v>
      </c>
      <c r="C15">
        <v>20081990</v>
      </c>
      <c r="D15" t="s">
        <v>96</v>
      </c>
      <c r="E15" t="s">
        <v>97</v>
      </c>
      <c r="F15" t="s">
        <v>98</v>
      </c>
      <c r="G15" s="8">
        <v>12</v>
      </c>
      <c r="H15" t="s">
        <v>28</v>
      </c>
      <c r="I15" s="10">
        <v>11.05916666666667</v>
      </c>
      <c r="J15" s="10">
        <v>132.71</v>
      </c>
      <c r="K15">
        <v>11.06</v>
      </c>
      <c r="L15" t="s">
        <v>66</v>
      </c>
      <c r="M15" t="s">
        <v>67</v>
      </c>
      <c r="N15" t="s">
        <v>51</v>
      </c>
      <c r="O15" t="s">
        <v>32</v>
      </c>
      <c r="P15">
        <v>12</v>
      </c>
      <c r="Q15" t="s">
        <v>28</v>
      </c>
      <c r="R15">
        <v>128.52000000000001</v>
      </c>
      <c r="S15">
        <v>10.71</v>
      </c>
      <c r="T15" t="s">
        <v>33</v>
      </c>
      <c r="U15" t="s">
        <v>44</v>
      </c>
      <c r="V15">
        <v>20</v>
      </c>
      <c r="W15">
        <v>2008</v>
      </c>
      <c r="X15" s="17">
        <v>44682</v>
      </c>
      <c r="Y15">
        <v>29768999</v>
      </c>
      <c r="Z15" t="s">
        <v>99</v>
      </c>
      <c r="AC15" s="6"/>
      <c r="AH15" s="8"/>
      <c r="AJ15" s="10"/>
      <c r="AK15" s="10"/>
    </row>
    <row r="16" spans="1:53" x14ac:dyDescent="0.3">
      <c r="A16" s="6">
        <v>44721</v>
      </c>
      <c r="B16" s="11">
        <v>44721</v>
      </c>
      <c r="C16">
        <v>20081990</v>
      </c>
      <c r="D16" t="s">
        <v>100</v>
      </c>
      <c r="E16" t="s">
        <v>101</v>
      </c>
      <c r="F16" t="s">
        <v>102</v>
      </c>
      <c r="G16" s="8">
        <v>45</v>
      </c>
      <c r="H16" t="s">
        <v>28</v>
      </c>
      <c r="I16" s="10">
        <v>8.6806666666666672</v>
      </c>
      <c r="J16" s="10">
        <v>390.63</v>
      </c>
      <c r="K16">
        <v>8.68</v>
      </c>
      <c r="L16" t="s">
        <v>103</v>
      </c>
      <c r="M16" t="s">
        <v>104</v>
      </c>
      <c r="N16" t="s">
        <v>105</v>
      </c>
      <c r="O16" t="s">
        <v>32</v>
      </c>
      <c r="P16">
        <v>45</v>
      </c>
      <c r="Q16" t="s">
        <v>28</v>
      </c>
      <c r="R16">
        <v>405</v>
      </c>
      <c r="S16">
        <v>9</v>
      </c>
      <c r="T16" t="s">
        <v>33</v>
      </c>
      <c r="U16" t="s">
        <v>44</v>
      </c>
      <c r="V16">
        <v>20</v>
      </c>
      <c r="W16">
        <v>2008</v>
      </c>
      <c r="X16" s="17">
        <v>44713</v>
      </c>
      <c r="Y16">
        <v>37036181</v>
      </c>
      <c r="Z16" t="s">
        <v>107</v>
      </c>
      <c r="AC16" s="6"/>
      <c r="AH16" s="8"/>
      <c r="AJ16" s="10"/>
      <c r="AK16" s="10"/>
    </row>
    <row r="17" spans="1:37" x14ac:dyDescent="0.3">
      <c r="A17" s="6">
        <v>44748</v>
      </c>
      <c r="B17" s="11">
        <v>44748</v>
      </c>
      <c r="C17">
        <v>20081990</v>
      </c>
      <c r="D17" t="s">
        <v>108</v>
      </c>
      <c r="E17" t="s">
        <v>109</v>
      </c>
      <c r="F17" t="s">
        <v>110</v>
      </c>
      <c r="G17" s="8">
        <v>20</v>
      </c>
      <c r="H17" t="s">
        <v>28</v>
      </c>
      <c r="I17" s="10">
        <v>9.708499999999999</v>
      </c>
      <c r="J17" s="10">
        <v>194.17</v>
      </c>
      <c r="K17">
        <v>9.7100000000000009</v>
      </c>
      <c r="L17" t="s">
        <v>111</v>
      </c>
      <c r="M17" t="s">
        <v>112</v>
      </c>
      <c r="N17" t="s">
        <v>113</v>
      </c>
      <c r="O17" t="s">
        <v>32</v>
      </c>
      <c r="P17">
        <v>20</v>
      </c>
      <c r="Q17" t="s">
        <v>28</v>
      </c>
      <c r="R17">
        <v>16000</v>
      </c>
      <c r="S17">
        <v>800</v>
      </c>
      <c r="T17" t="s">
        <v>114</v>
      </c>
      <c r="U17" t="s">
        <v>44</v>
      </c>
      <c r="V17">
        <v>20</v>
      </c>
      <c r="W17">
        <v>2008</v>
      </c>
      <c r="X17" s="17">
        <v>44743</v>
      </c>
      <c r="Y17">
        <v>38425129</v>
      </c>
      <c r="Z17" t="s">
        <v>116</v>
      </c>
      <c r="AC17" s="6"/>
      <c r="AH17" s="8"/>
      <c r="AJ17" s="10"/>
      <c r="AK17" s="10"/>
    </row>
    <row r="18" spans="1:37" x14ac:dyDescent="0.3">
      <c r="A18" s="6">
        <v>44748</v>
      </c>
      <c r="B18" s="11">
        <v>44748</v>
      </c>
      <c r="C18">
        <v>20081920</v>
      </c>
      <c r="D18" t="s">
        <v>117</v>
      </c>
      <c r="E18" t="s">
        <v>109</v>
      </c>
      <c r="F18" t="s">
        <v>110</v>
      </c>
      <c r="G18" s="8">
        <v>20</v>
      </c>
      <c r="H18" t="s">
        <v>28</v>
      </c>
      <c r="I18" s="10">
        <v>9.708499999999999</v>
      </c>
      <c r="J18" s="10">
        <v>194.17</v>
      </c>
      <c r="K18">
        <v>9.7100000000000009</v>
      </c>
      <c r="L18" t="s">
        <v>111</v>
      </c>
      <c r="M18" t="s">
        <v>112</v>
      </c>
      <c r="N18" t="s">
        <v>113</v>
      </c>
      <c r="O18" t="s">
        <v>32</v>
      </c>
      <c r="P18">
        <v>20</v>
      </c>
      <c r="Q18" t="s">
        <v>28</v>
      </c>
      <c r="R18">
        <v>16000</v>
      </c>
      <c r="S18">
        <v>800</v>
      </c>
      <c r="T18" t="s">
        <v>114</v>
      </c>
      <c r="U18" t="s">
        <v>44</v>
      </c>
      <c r="V18">
        <v>20</v>
      </c>
      <c r="W18">
        <v>2008</v>
      </c>
      <c r="X18" s="17">
        <v>44743</v>
      </c>
      <c r="Y18">
        <v>38464160</v>
      </c>
      <c r="Z18" t="s">
        <v>116</v>
      </c>
      <c r="AC18" s="6"/>
      <c r="AH18" s="8"/>
      <c r="AJ18" s="10"/>
      <c r="AK18" s="10"/>
    </row>
    <row r="19" spans="1:37" x14ac:dyDescent="0.3">
      <c r="A19" s="6">
        <v>44750</v>
      </c>
      <c r="B19" s="11">
        <v>44750</v>
      </c>
      <c r="C19">
        <v>20081990</v>
      </c>
      <c r="D19" t="s">
        <v>108</v>
      </c>
      <c r="E19" t="s">
        <v>109</v>
      </c>
      <c r="F19" t="s">
        <v>110</v>
      </c>
      <c r="G19" s="8">
        <v>20</v>
      </c>
      <c r="H19" t="s">
        <v>28</v>
      </c>
      <c r="I19" s="10">
        <v>10.356</v>
      </c>
      <c r="J19" s="10">
        <v>207.12</v>
      </c>
      <c r="K19">
        <v>10.36</v>
      </c>
      <c r="L19" t="s">
        <v>111</v>
      </c>
      <c r="M19" t="s">
        <v>112</v>
      </c>
      <c r="N19" t="s">
        <v>113</v>
      </c>
      <c r="O19" t="s">
        <v>32</v>
      </c>
      <c r="P19">
        <v>20</v>
      </c>
      <c r="Q19" t="s">
        <v>28</v>
      </c>
      <c r="R19">
        <v>16000</v>
      </c>
      <c r="S19">
        <v>800</v>
      </c>
      <c r="T19" t="s">
        <v>114</v>
      </c>
      <c r="U19" t="s">
        <v>44</v>
      </c>
      <c r="V19">
        <v>20</v>
      </c>
      <c r="W19">
        <v>2008</v>
      </c>
      <c r="X19" s="17">
        <v>44743</v>
      </c>
      <c r="Y19">
        <v>38242579</v>
      </c>
      <c r="Z19" t="s">
        <v>116</v>
      </c>
      <c r="AC19" s="6"/>
      <c r="AH19" s="8"/>
      <c r="AJ19" s="10"/>
      <c r="AK19" s="10"/>
    </row>
    <row r="20" spans="1:37" x14ac:dyDescent="0.3">
      <c r="A20" s="6">
        <v>44750</v>
      </c>
      <c r="B20" s="11">
        <v>44750</v>
      </c>
      <c r="C20">
        <v>20081920</v>
      </c>
      <c r="D20" t="s">
        <v>118</v>
      </c>
      <c r="E20" t="s">
        <v>109</v>
      </c>
      <c r="F20" t="s">
        <v>110</v>
      </c>
      <c r="G20" s="8">
        <v>20</v>
      </c>
      <c r="H20" t="s">
        <v>28</v>
      </c>
      <c r="I20" s="10">
        <v>10.356</v>
      </c>
      <c r="J20" s="10">
        <v>207.12</v>
      </c>
      <c r="K20">
        <v>10.36</v>
      </c>
      <c r="L20" t="s">
        <v>111</v>
      </c>
      <c r="M20" t="s">
        <v>112</v>
      </c>
      <c r="N20" t="s">
        <v>113</v>
      </c>
      <c r="O20" t="s">
        <v>32</v>
      </c>
      <c r="P20">
        <v>20</v>
      </c>
      <c r="Q20" t="s">
        <v>28</v>
      </c>
      <c r="R20">
        <v>16000</v>
      </c>
      <c r="S20">
        <v>800</v>
      </c>
      <c r="T20" t="s">
        <v>114</v>
      </c>
      <c r="U20" t="s">
        <v>44</v>
      </c>
      <c r="V20">
        <v>20</v>
      </c>
      <c r="W20">
        <v>2008</v>
      </c>
      <c r="X20" s="17">
        <v>44743</v>
      </c>
      <c r="Y20">
        <v>38276730</v>
      </c>
      <c r="Z20" t="s">
        <v>116</v>
      </c>
      <c r="AC20" s="6"/>
      <c r="AH20" s="8"/>
      <c r="AJ20" s="10"/>
      <c r="AK20" s="10"/>
    </row>
    <row r="21" spans="1:37" x14ac:dyDescent="0.3">
      <c r="A21" s="6">
        <v>44767</v>
      </c>
      <c r="B21" s="11">
        <v>44767</v>
      </c>
      <c r="C21">
        <v>12077090</v>
      </c>
      <c r="D21" t="s">
        <v>119</v>
      </c>
      <c r="E21" t="s">
        <v>120</v>
      </c>
      <c r="F21" t="s">
        <v>121</v>
      </c>
      <c r="G21" s="8">
        <v>20.5</v>
      </c>
      <c r="H21" t="s">
        <v>28</v>
      </c>
      <c r="I21" s="10">
        <v>3.6956097560975611</v>
      </c>
      <c r="J21" s="10">
        <v>75.760000000000005</v>
      </c>
      <c r="K21">
        <v>3.7</v>
      </c>
      <c r="L21" t="s">
        <v>122</v>
      </c>
      <c r="M21" t="s">
        <v>123</v>
      </c>
      <c r="N21" t="s">
        <v>124</v>
      </c>
      <c r="O21" t="s">
        <v>32</v>
      </c>
      <c r="P21">
        <v>20.5</v>
      </c>
      <c r="Q21" t="s">
        <v>28</v>
      </c>
      <c r="R21">
        <v>69.290000000000006</v>
      </c>
      <c r="S21">
        <v>3.38</v>
      </c>
      <c r="T21" t="s">
        <v>33</v>
      </c>
      <c r="U21" t="s">
        <v>34</v>
      </c>
      <c r="V21">
        <v>12</v>
      </c>
      <c r="W21">
        <v>1207</v>
      </c>
      <c r="X21" s="17">
        <v>44743</v>
      </c>
      <c r="Y21">
        <v>41101777</v>
      </c>
      <c r="Z21" t="s">
        <v>125</v>
      </c>
      <c r="AC21" s="6"/>
      <c r="AH21" s="8"/>
      <c r="AJ21" s="10"/>
      <c r="AK21" s="10"/>
    </row>
    <row r="22" spans="1:37" x14ac:dyDescent="0.3">
      <c r="A22" s="6">
        <v>44773</v>
      </c>
      <c r="B22" s="11">
        <v>44773</v>
      </c>
      <c r="C22">
        <v>20081920</v>
      </c>
      <c r="D22" t="s">
        <v>126</v>
      </c>
      <c r="E22" t="s">
        <v>127</v>
      </c>
      <c r="F22" t="s">
        <v>79</v>
      </c>
      <c r="G22" s="8">
        <v>250</v>
      </c>
      <c r="H22" t="s">
        <v>28</v>
      </c>
      <c r="I22" s="10">
        <v>5.5050400000000002</v>
      </c>
      <c r="J22" s="10">
        <v>1376.26</v>
      </c>
      <c r="K22">
        <v>5.51</v>
      </c>
      <c r="L22" t="s">
        <v>128</v>
      </c>
      <c r="M22" t="s">
        <v>129</v>
      </c>
      <c r="N22" t="s">
        <v>51</v>
      </c>
      <c r="O22" t="s">
        <v>32</v>
      </c>
      <c r="P22">
        <v>250</v>
      </c>
      <c r="Q22" t="s">
        <v>28</v>
      </c>
      <c r="R22">
        <v>1375</v>
      </c>
      <c r="S22">
        <v>5.5</v>
      </c>
      <c r="T22" t="s">
        <v>33</v>
      </c>
      <c r="U22" t="s">
        <v>44</v>
      </c>
      <c r="V22">
        <v>20</v>
      </c>
      <c r="W22">
        <v>2008</v>
      </c>
      <c r="X22" s="17">
        <v>44743</v>
      </c>
      <c r="Y22">
        <v>41048800</v>
      </c>
      <c r="Z22" t="s">
        <v>130</v>
      </c>
      <c r="AC22" s="6"/>
      <c r="AH22" s="8"/>
      <c r="AJ22" s="10"/>
      <c r="AK22" s="10"/>
    </row>
    <row r="23" spans="1:37" x14ac:dyDescent="0.3">
      <c r="A23" s="6">
        <v>44805</v>
      </c>
      <c r="B23" s="11">
        <v>44805</v>
      </c>
      <c r="C23">
        <v>12077090</v>
      </c>
      <c r="D23" t="s">
        <v>119</v>
      </c>
      <c r="E23" t="s">
        <v>120</v>
      </c>
      <c r="F23" t="s">
        <v>121</v>
      </c>
      <c r="G23" s="8">
        <v>20.5</v>
      </c>
      <c r="H23" t="s">
        <v>28</v>
      </c>
      <c r="I23" s="10">
        <v>3.718969845352837</v>
      </c>
      <c r="J23" s="10">
        <v>76.23888182973316</v>
      </c>
      <c r="K23">
        <v>3.7189999999999999</v>
      </c>
      <c r="L23" t="s">
        <v>122</v>
      </c>
      <c r="M23" t="s">
        <v>123</v>
      </c>
      <c r="N23" t="s">
        <v>124</v>
      </c>
      <c r="O23" t="s">
        <v>32</v>
      </c>
      <c r="P23">
        <v>20.5</v>
      </c>
      <c r="Q23" t="s">
        <v>28</v>
      </c>
      <c r="R23">
        <v>69.290000000000006</v>
      </c>
      <c r="S23">
        <v>3.38</v>
      </c>
      <c r="T23" t="s">
        <v>33</v>
      </c>
      <c r="U23" t="s">
        <v>34</v>
      </c>
      <c r="V23">
        <v>12</v>
      </c>
      <c r="W23">
        <v>1207</v>
      </c>
      <c r="X23" s="17">
        <v>44805</v>
      </c>
      <c r="Y23">
        <v>47493003</v>
      </c>
      <c r="Z23" t="s">
        <v>125</v>
      </c>
      <c r="AC23" s="6"/>
      <c r="AH23" s="8"/>
      <c r="AJ23" s="10"/>
      <c r="AK23" s="10"/>
    </row>
    <row r="24" spans="1:37" x14ac:dyDescent="0.3">
      <c r="A24" s="6">
        <v>44813</v>
      </c>
      <c r="B24" s="11">
        <v>44813</v>
      </c>
      <c r="C24">
        <v>20081990</v>
      </c>
      <c r="D24" t="s">
        <v>132</v>
      </c>
      <c r="E24" t="s">
        <v>133</v>
      </c>
      <c r="F24" t="s">
        <v>134</v>
      </c>
      <c r="G24" s="8">
        <v>4</v>
      </c>
      <c r="H24" t="s">
        <v>28</v>
      </c>
      <c r="I24" s="10">
        <v>3.1766200762388821</v>
      </c>
      <c r="J24" s="10">
        <v>12.70648030495553</v>
      </c>
      <c r="K24">
        <v>3.177</v>
      </c>
      <c r="L24" t="s">
        <v>135</v>
      </c>
      <c r="M24" t="s">
        <v>136</v>
      </c>
      <c r="N24" t="s">
        <v>137</v>
      </c>
      <c r="O24" t="s">
        <v>60</v>
      </c>
      <c r="P24">
        <v>4</v>
      </c>
      <c r="Q24" t="s">
        <v>28</v>
      </c>
      <c r="R24">
        <v>1032</v>
      </c>
      <c r="S24">
        <v>258</v>
      </c>
      <c r="T24" t="s">
        <v>114</v>
      </c>
      <c r="U24" t="s">
        <v>44</v>
      </c>
      <c r="V24">
        <v>20</v>
      </c>
      <c r="W24">
        <v>2008</v>
      </c>
      <c r="X24" s="17">
        <v>44806</v>
      </c>
      <c r="Y24">
        <v>50956033</v>
      </c>
      <c r="Z24" t="s">
        <v>138</v>
      </c>
      <c r="AC24" s="6"/>
      <c r="AH24" s="8"/>
      <c r="AJ24" s="10"/>
      <c r="AK24" s="10"/>
    </row>
    <row r="25" spans="1:37" x14ac:dyDescent="0.3">
      <c r="A25" s="6">
        <v>44818</v>
      </c>
      <c r="B25" s="11">
        <v>44818</v>
      </c>
      <c r="C25">
        <v>20081920</v>
      </c>
      <c r="D25" t="s">
        <v>139</v>
      </c>
      <c r="E25" t="s">
        <v>38</v>
      </c>
      <c r="F25" t="s">
        <v>39</v>
      </c>
      <c r="G25" s="8">
        <v>1000</v>
      </c>
      <c r="H25" t="s">
        <v>28</v>
      </c>
      <c r="I25" s="10">
        <v>2.4269377382465049</v>
      </c>
      <c r="J25" s="10">
        <v>2426.937738246505</v>
      </c>
      <c r="K25">
        <v>2426.9380000000001</v>
      </c>
      <c r="L25" t="s">
        <v>40</v>
      </c>
      <c r="M25" t="s">
        <v>41</v>
      </c>
      <c r="N25" t="s">
        <v>42</v>
      </c>
      <c r="O25" t="s">
        <v>32</v>
      </c>
      <c r="P25">
        <v>1</v>
      </c>
      <c r="Q25" t="s">
        <v>43</v>
      </c>
      <c r="R25">
        <v>2535</v>
      </c>
      <c r="S25">
        <v>2535</v>
      </c>
      <c r="T25" t="s">
        <v>33</v>
      </c>
      <c r="U25" t="s">
        <v>44</v>
      </c>
      <c r="V25">
        <v>20</v>
      </c>
      <c r="W25">
        <v>2008</v>
      </c>
      <c r="X25" s="17">
        <v>44807</v>
      </c>
      <c r="Y25">
        <v>47779810</v>
      </c>
      <c r="Z25" t="s">
        <v>45</v>
      </c>
      <c r="AC25" s="6"/>
      <c r="AH25" s="8"/>
      <c r="AJ25" s="10"/>
      <c r="AK25" s="10"/>
    </row>
    <row r="26" spans="1:37" x14ac:dyDescent="0.3">
      <c r="A26" s="6">
        <v>44825</v>
      </c>
      <c r="B26" s="11">
        <v>44825</v>
      </c>
      <c r="C26">
        <v>20081990</v>
      </c>
      <c r="D26" t="s">
        <v>140</v>
      </c>
      <c r="E26" t="s">
        <v>141</v>
      </c>
      <c r="F26" t="s">
        <v>142</v>
      </c>
      <c r="G26" s="8">
        <v>18</v>
      </c>
      <c r="H26" t="s">
        <v>28</v>
      </c>
      <c r="I26" s="10">
        <v>9.1769024424678811</v>
      </c>
      <c r="J26" s="10">
        <v>165.18424396442191</v>
      </c>
      <c r="K26">
        <v>9.1769999999999996</v>
      </c>
      <c r="L26" t="s">
        <v>143</v>
      </c>
      <c r="M26" t="s">
        <v>112</v>
      </c>
      <c r="N26" t="s">
        <v>144</v>
      </c>
      <c r="O26" t="s">
        <v>32</v>
      </c>
      <c r="P26">
        <v>18</v>
      </c>
      <c r="Q26" t="s">
        <v>28</v>
      </c>
      <c r="R26">
        <v>149.76</v>
      </c>
      <c r="S26">
        <v>8.32</v>
      </c>
      <c r="T26" t="s">
        <v>33</v>
      </c>
      <c r="U26" t="s">
        <v>44</v>
      </c>
      <c r="V26">
        <v>20</v>
      </c>
      <c r="W26">
        <v>2008</v>
      </c>
      <c r="X26" s="17">
        <v>44808</v>
      </c>
      <c r="Y26">
        <v>50971742</v>
      </c>
      <c r="Z26" t="s">
        <v>145</v>
      </c>
      <c r="AC26" s="6"/>
      <c r="AH26" s="8"/>
      <c r="AJ26" s="10"/>
      <c r="AK26" s="10"/>
    </row>
    <row r="27" spans="1:37" x14ac:dyDescent="0.3">
      <c r="A27" s="6">
        <v>44831</v>
      </c>
      <c r="B27" s="11">
        <v>44831</v>
      </c>
      <c r="C27">
        <v>12129990</v>
      </c>
      <c r="D27" t="s">
        <v>146</v>
      </c>
      <c r="E27" t="s">
        <v>147</v>
      </c>
      <c r="F27" t="s">
        <v>148</v>
      </c>
      <c r="G27" s="8">
        <v>210</v>
      </c>
      <c r="H27" t="s">
        <v>28</v>
      </c>
      <c r="I27" s="10">
        <v>6.4742542506201968</v>
      </c>
      <c r="J27" s="10">
        <v>1359.5933926302409</v>
      </c>
      <c r="K27">
        <v>6.4740000000000002</v>
      </c>
      <c r="L27" t="s">
        <v>149</v>
      </c>
      <c r="M27" t="s">
        <v>150</v>
      </c>
      <c r="N27" t="s">
        <v>89</v>
      </c>
      <c r="O27" t="s">
        <v>32</v>
      </c>
      <c r="P27">
        <v>210</v>
      </c>
      <c r="Q27" t="s">
        <v>28</v>
      </c>
      <c r="R27">
        <v>1358.7</v>
      </c>
      <c r="S27">
        <v>6.47</v>
      </c>
      <c r="T27" t="s">
        <v>33</v>
      </c>
      <c r="U27" t="s">
        <v>95</v>
      </c>
      <c r="V27">
        <v>12</v>
      </c>
      <c r="W27">
        <v>1212</v>
      </c>
      <c r="X27" s="17">
        <v>44809</v>
      </c>
      <c r="Y27">
        <v>49024569</v>
      </c>
      <c r="Z27" t="s">
        <v>151</v>
      </c>
      <c r="AC27" s="6"/>
      <c r="AH27" s="8"/>
      <c r="AJ27" s="10"/>
      <c r="AK27" s="10"/>
    </row>
    <row r="28" spans="1:37" x14ac:dyDescent="0.3">
      <c r="A28" s="6">
        <v>44831</v>
      </c>
      <c r="B28" s="11">
        <v>44831</v>
      </c>
      <c r="C28">
        <v>12129990</v>
      </c>
      <c r="D28" t="s">
        <v>152</v>
      </c>
      <c r="E28" t="s">
        <v>147</v>
      </c>
      <c r="F28" t="s">
        <v>148</v>
      </c>
      <c r="G28" s="8">
        <v>90</v>
      </c>
      <c r="H28" t="s">
        <v>28</v>
      </c>
      <c r="I28" s="10">
        <v>7.3415219539743042</v>
      </c>
      <c r="J28" s="10">
        <v>660.73697585768741</v>
      </c>
      <c r="K28">
        <v>7.3419999999999996</v>
      </c>
      <c r="L28" t="s">
        <v>149</v>
      </c>
      <c r="M28" t="s">
        <v>150</v>
      </c>
      <c r="N28" t="s">
        <v>89</v>
      </c>
      <c r="O28" t="s">
        <v>32</v>
      </c>
      <c r="P28">
        <v>90</v>
      </c>
      <c r="Q28" t="s">
        <v>28</v>
      </c>
      <c r="R28">
        <v>667.8</v>
      </c>
      <c r="S28">
        <v>7.42</v>
      </c>
      <c r="T28" t="s">
        <v>33</v>
      </c>
      <c r="U28" t="s">
        <v>95</v>
      </c>
      <c r="V28">
        <v>12</v>
      </c>
      <c r="W28">
        <v>1212</v>
      </c>
      <c r="X28" s="17">
        <v>44810</v>
      </c>
      <c r="Y28">
        <v>49024541</v>
      </c>
      <c r="Z28" t="s">
        <v>151</v>
      </c>
      <c r="AC28" s="6"/>
      <c r="AH28" s="8"/>
      <c r="AJ28" s="10"/>
      <c r="AK28" s="10"/>
    </row>
    <row r="29" spans="1:37" x14ac:dyDescent="0.3">
      <c r="A29" s="6">
        <v>44832</v>
      </c>
      <c r="B29" s="11">
        <v>44832</v>
      </c>
      <c r="C29">
        <v>12079990</v>
      </c>
      <c r="D29" t="s">
        <v>153</v>
      </c>
      <c r="E29" t="s">
        <v>154</v>
      </c>
      <c r="F29" t="s">
        <v>155</v>
      </c>
      <c r="G29" s="8">
        <v>9.6</v>
      </c>
      <c r="H29" t="s">
        <v>28</v>
      </c>
      <c r="I29" s="10">
        <v>9.2651418890300725</v>
      </c>
      <c r="J29" s="10">
        <v>88.945362134688693</v>
      </c>
      <c r="K29">
        <v>9.2650000000000006</v>
      </c>
      <c r="L29" t="s">
        <v>156</v>
      </c>
      <c r="M29" t="s">
        <v>157</v>
      </c>
      <c r="N29" t="s">
        <v>51</v>
      </c>
      <c r="O29" t="s">
        <v>32</v>
      </c>
      <c r="P29">
        <v>9.6</v>
      </c>
      <c r="Q29" t="s">
        <v>28</v>
      </c>
      <c r="R29">
        <v>89.86</v>
      </c>
      <c r="S29">
        <v>9.36</v>
      </c>
      <c r="T29" t="s">
        <v>33</v>
      </c>
      <c r="U29" t="s">
        <v>34</v>
      </c>
      <c r="V29">
        <v>12</v>
      </c>
      <c r="W29">
        <v>1207</v>
      </c>
      <c r="X29" s="17">
        <v>44811</v>
      </c>
      <c r="Y29">
        <v>48918823</v>
      </c>
      <c r="Z29" t="s">
        <v>158</v>
      </c>
      <c r="AC29" s="6"/>
      <c r="AH29" s="8"/>
      <c r="AJ29" s="10"/>
      <c r="AK29" s="10"/>
    </row>
    <row r="30" spans="1:37" x14ac:dyDescent="0.3">
      <c r="A30" s="6">
        <v>44862</v>
      </c>
      <c r="B30" s="11">
        <v>44862</v>
      </c>
      <c r="C30">
        <v>12099910</v>
      </c>
      <c r="D30" t="s">
        <v>159</v>
      </c>
      <c r="E30" t="s">
        <v>160</v>
      </c>
      <c r="F30" t="s">
        <v>161</v>
      </c>
      <c r="G30" s="8">
        <v>19.2</v>
      </c>
      <c r="H30" t="s">
        <v>28</v>
      </c>
      <c r="I30" s="10">
        <v>6.3361719383617201</v>
      </c>
      <c r="J30" s="10">
        <v>121.654501216545</v>
      </c>
      <c r="K30">
        <v>6.3360000000000003</v>
      </c>
      <c r="L30" t="s">
        <v>66</v>
      </c>
      <c r="M30" t="s">
        <v>162</v>
      </c>
      <c r="N30" t="s">
        <v>42</v>
      </c>
      <c r="O30" t="s">
        <v>32</v>
      </c>
      <c r="P30">
        <v>19.2</v>
      </c>
      <c r="Q30" t="s">
        <v>28</v>
      </c>
      <c r="R30">
        <v>128.06</v>
      </c>
      <c r="S30">
        <v>6.67</v>
      </c>
      <c r="T30" t="s">
        <v>33</v>
      </c>
      <c r="U30" t="s">
        <v>163</v>
      </c>
      <c r="V30">
        <v>12</v>
      </c>
      <c r="W30">
        <v>1209</v>
      </c>
      <c r="X30" s="17">
        <v>44835</v>
      </c>
      <c r="Y30">
        <v>54279814</v>
      </c>
      <c r="Z30" t="s">
        <v>165</v>
      </c>
      <c r="AC30" s="6"/>
      <c r="AH30" s="8"/>
      <c r="AJ30" s="10"/>
      <c r="AK30" s="10"/>
    </row>
    <row r="31" spans="1:37" x14ac:dyDescent="0.3">
      <c r="A31" s="6">
        <v>44863</v>
      </c>
      <c r="B31" s="11">
        <v>44863</v>
      </c>
      <c r="C31">
        <v>7099310</v>
      </c>
      <c r="D31" t="s">
        <v>166</v>
      </c>
      <c r="E31" t="s">
        <v>167</v>
      </c>
      <c r="F31" t="s">
        <v>168</v>
      </c>
      <c r="G31" s="8">
        <v>20</v>
      </c>
      <c r="H31" t="s">
        <v>28</v>
      </c>
      <c r="I31" s="10">
        <v>7.9075425790754252</v>
      </c>
      <c r="J31" s="10">
        <v>158.1508515815085</v>
      </c>
      <c r="K31">
        <v>7.9080000000000004</v>
      </c>
      <c r="L31" t="s">
        <v>103</v>
      </c>
      <c r="M31" t="s">
        <v>104</v>
      </c>
      <c r="N31" t="s">
        <v>113</v>
      </c>
      <c r="O31" t="s">
        <v>32</v>
      </c>
      <c r="P31">
        <v>20</v>
      </c>
      <c r="Q31" t="s">
        <v>28</v>
      </c>
      <c r="R31">
        <v>160</v>
      </c>
      <c r="S31">
        <v>8</v>
      </c>
      <c r="T31" t="s">
        <v>33</v>
      </c>
      <c r="U31" t="s">
        <v>169</v>
      </c>
      <c r="V31">
        <v>7</v>
      </c>
      <c r="W31">
        <v>709</v>
      </c>
      <c r="X31" s="17">
        <v>44835</v>
      </c>
      <c r="Y31">
        <v>54130567</v>
      </c>
      <c r="Z31" t="s">
        <v>170</v>
      </c>
      <c r="AC31" s="6"/>
      <c r="AH31" s="8"/>
      <c r="AJ31" s="10"/>
      <c r="AK31" s="10"/>
    </row>
    <row r="32" spans="1:37" x14ac:dyDescent="0.3">
      <c r="A32" s="6">
        <v>44867</v>
      </c>
      <c r="B32" s="11">
        <v>44867</v>
      </c>
      <c r="C32">
        <v>12099990</v>
      </c>
      <c r="D32" t="s">
        <v>159</v>
      </c>
      <c r="E32" t="s">
        <v>160</v>
      </c>
      <c r="F32" t="s">
        <v>161</v>
      </c>
      <c r="G32" s="8">
        <v>19.2</v>
      </c>
      <c r="H32" t="s">
        <v>28</v>
      </c>
      <c r="I32" s="10">
        <v>6.3361719383617201</v>
      </c>
      <c r="J32" s="10">
        <v>121.654501216545</v>
      </c>
      <c r="K32">
        <v>6.3360000000000003</v>
      </c>
      <c r="L32" t="s">
        <v>66</v>
      </c>
      <c r="M32" t="s">
        <v>162</v>
      </c>
      <c r="N32" t="s">
        <v>42</v>
      </c>
      <c r="O32" t="s">
        <v>32</v>
      </c>
      <c r="P32">
        <v>19.2</v>
      </c>
      <c r="Q32" t="s">
        <v>28</v>
      </c>
      <c r="R32">
        <v>127.87</v>
      </c>
      <c r="S32">
        <v>6.66</v>
      </c>
      <c r="T32" t="s">
        <v>33</v>
      </c>
      <c r="U32" t="s">
        <v>163</v>
      </c>
      <c r="V32">
        <v>12</v>
      </c>
      <c r="W32">
        <v>1209</v>
      </c>
      <c r="X32" s="17">
        <v>44866</v>
      </c>
      <c r="Y32">
        <v>58701299</v>
      </c>
      <c r="Z32" t="s">
        <v>165</v>
      </c>
      <c r="AC32" s="6"/>
      <c r="AH32" s="8"/>
      <c r="AJ32" s="10"/>
      <c r="AK32" s="10"/>
    </row>
    <row r="33" spans="1:37" x14ac:dyDescent="0.3">
      <c r="A33" s="6">
        <v>44899</v>
      </c>
      <c r="B33" s="11">
        <v>44899</v>
      </c>
      <c r="C33">
        <v>20081990</v>
      </c>
      <c r="D33" t="s">
        <v>172</v>
      </c>
      <c r="E33" t="s">
        <v>173</v>
      </c>
      <c r="F33" t="s">
        <v>79</v>
      </c>
      <c r="G33" s="8">
        <v>360</v>
      </c>
      <c r="H33" t="s">
        <v>28</v>
      </c>
      <c r="I33" s="10">
        <v>7.5757500000000002</v>
      </c>
      <c r="J33" s="10">
        <v>2727.27</v>
      </c>
      <c r="K33">
        <v>7.58</v>
      </c>
      <c r="L33" t="s">
        <v>75</v>
      </c>
      <c r="M33" t="s">
        <v>50</v>
      </c>
      <c r="N33" t="s">
        <v>174</v>
      </c>
      <c r="O33" t="s">
        <v>32</v>
      </c>
      <c r="P33">
        <v>360</v>
      </c>
      <c r="Q33" t="s">
        <v>28</v>
      </c>
      <c r="R33">
        <v>2847.6</v>
      </c>
      <c r="S33">
        <v>7.91</v>
      </c>
      <c r="T33" t="s">
        <v>33</v>
      </c>
      <c r="U33" t="s">
        <v>44</v>
      </c>
      <c r="V33">
        <v>20</v>
      </c>
      <c r="W33">
        <v>2008</v>
      </c>
      <c r="X33" s="17">
        <v>44896</v>
      </c>
      <c r="Y33">
        <v>67313259</v>
      </c>
      <c r="Z33" t="s">
        <v>176</v>
      </c>
      <c r="AC33" s="6"/>
      <c r="AH33" s="8"/>
      <c r="AJ33" s="10"/>
      <c r="AK33" s="10"/>
    </row>
    <row r="34" spans="1:37" x14ac:dyDescent="0.3">
      <c r="A34" s="6">
        <v>44899</v>
      </c>
      <c r="B34" s="11">
        <v>44899</v>
      </c>
      <c r="C34">
        <v>20081990</v>
      </c>
      <c r="D34" t="s">
        <v>172</v>
      </c>
      <c r="E34" t="s">
        <v>173</v>
      </c>
      <c r="F34" t="s">
        <v>79</v>
      </c>
      <c r="G34" s="8">
        <v>360</v>
      </c>
      <c r="H34" t="s">
        <v>28</v>
      </c>
      <c r="I34" s="10">
        <v>7.6449444444444437</v>
      </c>
      <c r="J34" s="10">
        <v>2752.18</v>
      </c>
      <c r="K34">
        <v>7.64</v>
      </c>
      <c r="L34" t="s">
        <v>75</v>
      </c>
      <c r="M34" t="s">
        <v>50</v>
      </c>
      <c r="N34" t="s">
        <v>174</v>
      </c>
      <c r="O34" t="s">
        <v>32</v>
      </c>
      <c r="P34">
        <v>360</v>
      </c>
      <c r="Q34" t="s">
        <v>28</v>
      </c>
      <c r="R34">
        <v>2847.6</v>
      </c>
      <c r="S34">
        <v>7.91</v>
      </c>
      <c r="T34" t="s">
        <v>33</v>
      </c>
      <c r="U34" t="s">
        <v>44</v>
      </c>
      <c r="V34">
        <v>20</v>
      </c>
      <c r="W34">
        <v>2008</v>
      </c>
      <c r="X34" s="17">
        <v>44897</v>
      </c>
      <c r="Y34">
        <v>67182429</v>
      </c>
      <c r="Z34" t="s">
        <v>176</v>
      </c>
      <c r="AC34" s="6"/>
      <c r="AH34" s="8"/>
      <c r="AJ34" s="10"/>
      <c r="AK34" s="10"/>
    </row>
    <row r="35" spans="1:37" x14ac:dyDescent="0.3">
      <c r="A35" s="6">
        <v>44913</v>
      </c>
      <c r="B35" s="11">
        <v>44913</v>
      </c>
      <c r="C35">
        <v>20081920</v>
      </c>
      <c r="D35" t="s">
        <v>177</v>
      </c>
      <c r="E35" t="s">
        <v>178</v>
      </c>
      <c r="F35" t="s">
        <v>179</v>
      </c>
      <c r="G35" s="8">
        <v>250</v>
      </c>
      <c r="H35" t="s">
        <v>28</v>
      </c>
      <c r="I35" s="10">
        <v>6.4547600000000003</v>
      </c>
      <c r="J35" s="10">
        <v>1613.69</v>
      </c>
      <c r="K35">
        <v>6.45</v>
      </c>
      <c r="L35" t="s">
        <v>180</v>
      </c>
      <c r="M35" t="s">
        <v>112</v>
      </c>
      <c r="N35" t="s">
        <v>89</v>
      </c>
      <c r="O35" t="s">
        <v>32</v>
      </c>
      <c r="P35">
        <v>250</v>
      </c>
      <c r="Q35" t="s">
        <v>28</v>
      </c>
      <c r="R35">
        <v>1612.5</v>
      </c>
      <c r="S35">
        <v>6.45</v>
      </c>
      <c r="T35" t="s">
        <v>33</v>
      </c>
      <c r="U35" t="s">
        <v>44</v>
      </c>
      <c r="V35">
        <v>20</v>
      </c>
      <c r="W35">
        <v>2008</v>
      </c>
      <c r="X35" s="17">
        <v>44898</v>
      </c>
      <c r="Y35">
        <v>67811405</v>
      </c>
      <c r="Z35" t="s">
        <v>181</v>
      </c>
      <c r="AC35" s="6"/>
      <c r="AH35" s="8"/>
      <c r="AJ35" s="10"/>
      <c r="AK35" s="10"/>
    </row>
    <row r="36" spans="1:37" x14ac:dyDescent="0.3">
      <c r="A36" s="6">
        <v>44915</v>
      </c>
      <c r="B36" s="11">
        <v>44915</v>
      </c>
      <c r="C36">
        <v>20081920</v>
      </c>
      <c r="D36" t="s">
        <v>182</v>
      </c>
      <c r="E36" t="s">
        <v>127</v>
      </c>
      <c r="F36" t="s">
        <v>183</v>
      </c>
      <c r="G36" s="8">
        <v>100</v>
      </c>
      <c r="H36" t="s">
        <v>28</v>
      </c>
      <c r="I36" s="10">
        <v>4.6455000000000002</v>
      </c>
      <c r="J36" s="10">
        <v>464.55</v>
      </c>
      <c r="K36">
        <v>4.6500000000000004</v>
      </c>
      <c r="L36" t="s">
        <v>128</v>
      </c>
      <c r="M36" t="s">
        <v>129</v>
      </c>
      <c r="N36" t="s">
        <v>51</v>
      </c>
      <c r="O36" t="s">
        <v>32</v>
      </c>
      <c r="P36">
        <v>100</v>
      </c>
      <c r="Q36" t="s">
        <v>28</v>
      </c>
      <c r="R36">
        <v>500</v>
      </c>
      <c r="S36">
        <v>5</v>
      </c>
      <c r="T36" t="s">
        <v>33</v>
      </c>
      <c r="U36" t="s">
        <v>44</v>
      </c>
      <c r="V36">
        <v>20</v>
      </c>
      <c r="W36">
        <v>2008</v>
      </c>
      <c r="X36" s="17">
        <v>44899</v>
      </c>
      <c r="Y36">
        <v>67535054</v>
      </c>
      <c r="Z36" t="s">
        <v>130</v>
      </c>
      <c r="AC36" s="6"/>
      <c r="AH36" s="8"/>
      <c r="AJ36" s="10"/>
      <c r="AK36" s="10"/>
    </row>
    <row r="37" spans="1:37" x14ac:dyDescent="0.3">
      <c r="A37" s="6">
        <v>44920</v>
      </c>
      <c r="B37" s="11">
        <v>44920</v>
      </c>
      <c r="C37">
        <v>12129990</v>
      </c>
      <c r="D37" t="s">
        <v>184</v>
      </c>
      <c r="E37" t="s">
        <v>47</v>
      </c>
      <c r="F37" t="s">
        <v>74</v>
      </c>
      <c r="G37" s="8">
        <v>255</v>
      </c>
      <c r="H37" t="s">
        <v>28</v>
      </c>
      <c r="I37" s="10">
        <v>6.0405490196078429</v>
      </c>
      <c r="J37" s="10">
        <v>1540.34</v>
      </c>
      <c r="K37">
        <v>6.04</v>
      </c>
      <c r="L37" t="s">
        <v>75</v>
      </c>
      <c r="M37" t="s">
        <v>50</v>
      </c>
      <c r="N37" t="s">
        <v>51</v>
      </c>
      <c r="O37" t="s">
        <v>32</v>
      </c>
      <c r="P37">
        <v>255</v>
      </c>
      <c r="Q37" t="s">
        <v>28</v>
      </c>
      <c r="R37">
        <v>1287.75</v>
      </c>
      <c r="S37">
        <v>5.05</v>
      </c>
      <c r="T37" t="s">
        <v>52</v>
      </c>
      <c r="U37" t="s">
        <v>95</v>
      </c>
      <c r="V37">
        <v>12</v>
      </c>
      <c r="W37">
        <v>1212</v>
      </c>
      <c r="X37" s="17">
        <v>44900</v>
      </c>
      <c r="Y37">
        <v>70015826</v>
      </c>
      <c r="Z37" t="s">
        <v>53</v>
      </c>
      <c r="AC37" s="6"/>
      <c r="AH37" s="8"/>
      <c r="AJ37" s="10"/>
      <c r="AK37" s="10"/>
    </row>
    <row r="38" spans="1:37" x14ac:dyDescent="0.3">
      <c r="A38" s="6">
        <v>44920</v>
      </c>
      <c r="B38" s="11">
        <v>44920</v>
      </c>
      <c r="C38">
        <v>12129990</v>
      </c>
      <c r="D38" t="s">
        <v>185</v>
      </c>
      <c r="E38" t="s">
        <v>47</v>
      </c>
      <c r="F38" t="s">
        <v>74</v>
      </c>
      <c r="G38" s="8">
        <v>300</v>
      </c>
      <c r="H38" t="s">
        <v>28</v>
      </c>
      <c r="I38" s="10">
        <v>5.6642333333333337</v>
      </c>
      <c r="J38" s="10">
        <v>1699.27</v>
      </c>
      <c r="K38">
        <v>5.66</v>
      </c>
      <c r="L38" t="s">
        <v>75</v>
      </c>
      <c r="M38" t="s">
        <v>50</v>
      </c>
      <c r="N38" t="s">
        <v>51</v>
      </c>
      <c r="O38" t="s">
        <v>32</v>
      </c>
      <c r="P38">
        <v>300</v>
      </c>
      <c r="Q38" t="s">
        <v>28</v>
      </c>
      <c r="R38">
        <v>1419</v>
      </c>
      <c r="S38">
        <v>4.7300000000000004</v>
      </c>
      <c r="T38" t="s">
        <v>52</v>
      </c>
      <c r="U38" t="s">
        <v>95</v>
      </c>
      <c r="V38">
        <v>12</v>
      </c>
      <c r="W38">
        <v>1212</v>
      </c>
      <c r="X38" s="17">
        <v>44901</v>
      </c>
      <c r="Y38">
        <v>70015833</v>
      </c>
      <c r="Z38" t="s">
        <v>53</v>
      </c>
      <c r="AC38" s="6"/>
      <c r="AH38" s="8"/>
      <c r="AJ38" s="10"/>
      <c r="AK38" s="10"/>
    </row>
    <row r="39" spans="1:37" x14ac:dyDescent="0.3">
      <c r="A39" s="6">
        <v>44928</v>
      </c>
      <c r="B39" s="11">
        <v>44928</v>
      </c>
      <c r="C39">
        <v>20081920</v>
      </c>
      <c r="D39" t="s">
        <v>186</v>
      </c>
      <c r="E39" t="s">
        <v>187</v>
      </c>
      <c r="F39" t="s">
        <v>188</v>
      </c>
      <c r="G39" s="8">
        <v>9.6</v>
      </c>
      <c r="H39" t="s">
        <v>28</v>
      </c>
      <c r="I39" s="10">
        <v>8.7354166666666675</v>
      </c>
      <c r="J39" s="10">
        <v>83.86</v>
      </c>
      <c r="K39">
        <v>8.74</v>
      </c>
      <c r="L39" t="s">
        <v>189</v>
      </c>
      <c r="M39" t="s">
        <v>190</v>
      </c>
      <c r="N39" t="s">
        <v>51</v>
      </c>
      <c r="O39" t="s">
        <v>32</v>
      </c>
      <c r="P39">
        <v>9.6</v>
      </c>
      <c r="Q39" t="s">
        <v>28</v>
      </c>
      <c r="R39">
        <v>89.28</v>
      </c>
      <c r="S39">
        <v>9.3000000000000007</v>
      </c>
      <c r="T39" t="s">
        <v>33</v>
      </c>
      <c r="U39" t="s">
        <v>44</v>
      </c>
      <c r="V39">
        <v>20</v>
      </c>
      <c r="W39">
        <v>2008</v>
      </c>
      <c r="X39" s="17">
        <v>44927</v>
      </c>
      <c r="Y39">
        <v>353572</v>
      </c>
      <c r="Z39" t="s">
        <v>192</v>
      </c>
      <c r="AC39" s="6"/>
      <c r="AH39" s="8"/>
      <c r="AJ39" s="10"/>
      <c r="AK39" s="10"/>
    </row>
    <row r="40" spans="1:37" x14ac:dyDescent="0.3">
      <c r="A40" s="6">
        <v>44928</v>
      </c>
      <c r="B40" s="11">
        <v>44928</v>
      </c>
      <c r="C40">
        <v>20081990</v>
      </c>
      <c r="D40" t="s">
        <v>193</v>
      </c>
      <c r="E40" t="s">
        <v>187</v>
      </c>
      <c r="F40" t="s">
        <v>188</v>
      </c>
      <c r="G40" s="8">
        <v>9.6</v>
      </c>
      <c r="H40" t="s">
        <v>28</v>
      </c>
      <c r="I40" s="10">
        <v>7.4874999999999998</v>
      </c>
      <c r="J40" s="10">
        <v>71.88</v>
      </c>
      <c r="K40">
        <v>7.49</v>
      </c>
      <c r="L40" t="s">
        <v>189</v>
      </c>
      <c r="M40" t="s">
        <v>190</v>
      </c>
      <c r="N40" t="s">
        <v>51</v>
      </c>
      <c r="O40" t="s">
        <v>32</v>
      </c>
      <c r="P40">
        <v>9.6</v>
      </c>
      <c r="Q40" t="s">
        <v>28</v>
      </c>
      <c r="R40">
        <v>76.319999999999993</v>
      </c>
      <c r="S40">
        <v>7.95</v>
      </c>
      <c r="T40" t="s">
        <v>33</v>
      </c>
      <c r="U40" t="s">
        <v>44</v>
      </c>
      <c r="V40">
        <v>20</v>
      </c>
      <c r="W40">
        <v>2008</v>
      </c>
      <c r="X40" s="17">
        <v>44928</v>
      </c>
      <c r="Y40">
        <v>353589</v>
      </c>
      <c r="Z40" t="s">
        <v>192</v>
      </c>
      <c r="AC40" s="6"/>
      <c r="AH40" s="8"/>
      <c r="AJ40" s="10"/>
      <c r="AK40" s="10"/>
    </row>
    <row r="41" spans="1:37" x14ac:dyDescent="0.3">
      <c r="A41" s="6">
        <v>44935</v>
      </c>
      <c r="B41" s="11">
        <v>44935</v>
      </c>
      <c r="C41">
        <v>12129990</v>
      </c>
      <c r="D41" t="s">
        <v>194</v>
      </c>
      <c r="E41" t="s">
        <v>195</v>
      </c>
      <c r="F41" t="s">
        <v>196</v>
      </c>
      <c r="G41" s="8">
        <v>16</v>
      </c>
      <c r="H41" t="s">
        <v>28</v>
      </c>
      <c r="I41" s="10">
        <v>6.7262500000000003</v>
      </c>
      <c r="J41" s="10">
        <v>107.62</v>
      </c>
      <c r="K41">
        <v>6.73</v>
      </c>
      <c r="L41" t="s">
        <v>103</v>
      </c>
      <c r="M41" t="s">
        <v>104</v>
      </c>
      <c r="N41" t="s">
        <v>51</v>
      </c>
      <c r="O41" t="s">
        <v>32</v>
      </c>
      <c r="P41">
        <v>16</v>
      </c>
      <c r="Q41" t="s">
        <v>28</v>
      </c>
      <c r="R41">
        <v>108</v>
      </c>
      <c r="S41">
        <v>6.75</v>
      </c>
      <c r="T41" t="s">
        <v>33</v>
      </c>
      <c r="U41" t="s">
        <v>95</v>
      </c>
      <c r="V41">
        <v>12</v>
      </c>
      <c r="W41">
        <v>1212</v>
      </c>
      <c r="X41" s="17">
        <v>44929</v>
      </c>
      <c r="Y41">
        <v>498721</v>
      </c>
      <c r="Z41" t="s">
        <v>197</v>
      </c>
      <c r="AC41" s="6"/>
      <c r="AH41" s="8"/>
      <c r="AJ41" s="10"/>
      <c r="AK41" s="10"/>
    </row>
    <row r="42" spans="1:37" x14ac:dyDescent="0.3">
      <c r="A42" s="6">
        <v>44935</v>
      </c>
      <c r="B42" s="11">
        <v>44935</v>
      </c>
      <c r="C42">
        <v>12129990</v>
      </c>
      <c r="D42" t="s">
        <v>177</v>
      </c>
      <c r="E42" t="s">
        <v>195</v>
      </c>
      <c r="F42" t="s">
        <v>196</v>
      </c>
      <c r="G42" s="8">
        <v>40</v>
      </c>
      <c r="H42" t="s">
        <v>28</v>
      </c>
      <c r="I42" s="10">
        <v>5.68025</v>
      </c>
      <c r="J42" s="10">
        <v>227.21</v>
      </c>
      <c r="K42">
        <v>5.68</v>
      </c>
      <c r="L42" t="s">
        <v>103</v>
      </c>
      <c r="M42" t="s">
        <v>104</v>
      </c>
      <c r="N42" t="s">
        <v>51</v>
      </c>
      <c r="O42" t="s">
        <v>32</v>
      </c>
      <c r="P42">
        <v>40</v>
      </c>
      <c r="Q42" t="s">
        <v>28</v>
      </c>
      <c r="R42">
        <v>237.2</v>
      </c>
      <c r="S42">
        <v>5.93</v>
      </c>
      <c r="T42" t="s">
        <v>33</v>
      </c>
      <c r="U42" t="s">
        <v>95</v>
      </c>
      <c r="V42">
        <v>12</v>
      </c>
      <c r="W42">
        <v>1212</v>
      </c>
      <c r="X42" s="17">
        <v>44930</v>
      </c>
      <c r="Y42">
        <v>498722</v>
      </c>
      <c r="Z42" t="s">
        <v>197</v>
      </c>
      <c r="AC42" s="6"/>
      <c r="AH42" s="8"/>
      <c r="AJ42" s="10"/>
      <c r="AK42" s="10"/>
    </row>
    <row r="43" spans="1:37" x14ac:dyDescent="0.3">
      <c r="A43" s="6">
        <v>44938</v>
      </c>
      <c r="B43" s="11">
        <v>44938</v>
      </c>
      <c r="C43">
        <v>20081990</v>
      </c>
      <c r="D43" t="s">
        <v>198</v>
      </c>
      <c r="E43" t="s">
        <v>109</v>
      </c>
      <c r="F43" t="s">
        <v>199</v>
      </c>
      <c r="G43" s="8">
        <v>8</v>
      </c>
      <c r="H43" t="s">
        <v>28</v>
      </c>
      <c r="I43" s="10">
        <v>7.4737499999999999</v>
      </c>
      <c r="J43" s="10">
        <v>59.79</v>
      </c>
      <c r="K43">
        <v>7.47</v>
      </c>
      <c r="L43" t="s">
        <v>200</v>
      </c>
      <c r="M43" t="s">
        <v>30</v>
      </c>
      <c r="N43" t="s">
        <v>201</v>
      </c>
      <c r="O43" t="s">
        <v>202</v>
      </c>
      <c r="P43">
        <v>8</v>
      </c>
      <c r="Q43" t="s">
        <v>28</v>
      </c>
      <c r="R43">
        <v>5440</v>
      </c>
      <c r="S43">
        <v>680</v>
      </c>
      <c r="T43" t="s">
        <v>114</v>
      </c>
      <c r="U43" t="s">
        <v>44</v>
      </c>
      <c r="V43">
        <v>20</v>
      </c>
      <c r="W43">
        <v>2008</v>
      </c>
      <c r="X43" s="17">
        <v>44931</v>
      </c>
      <c r="Y43">
        <v>2040986</v>
      </c>
      <c r="Z43" t="s">
        <v>116</v>
      </c>
      <c r="AC43" s="6"/>
      <c r="AH43" s="8"/>
      <c r="AJ43" s="10"/>
      <c r="AK43" s="10"/>
    </row>
    <row r="44" spans="1:37" x14ac:dyDescent="0.3">
      <c r="A44" s="6">
        <v>44940</v>
      </c>
      <c r="B44" s="11">
        <v>44940</v>
      </c>
      <c r="C44">
        <v>20081920</v>
      </c>
      <c r="D44" t="s">
        <v>203</v>
      </c>
      <c r="E44" t="s">
        <v>204</v>
      </c>
      <c r="F44" t="s">
        <v>205</v>
      </c>
      <c r="G44" s="8">
        <v>220</v>
      </c>
      <c r="H44" t="s">
        <v>28</v>
      </c>
      <c r="I44" s="10">
        <v>7.4729999999999999</v>
      </c>
      <c r="J44" s="10">
        <v>1644.06</v>
      </c>
      <c r="K44">
        <v>7.47</v>
      </c>
      <c r="L44" t="s">
        <v>40</v>
      </c>
      <c r="M44" t="s">
        <v>41</v>
      </c>
      <c r="N44" t="s">
        <v>51</v>
      </c>
      <c r="O44" t="s">
        <v>32</v>
      </c>
      <c r="P44">
        <v>220</v>
      </c>
      <c r="Q44" t="s">
        <v>28</v>
      </c>
      <c r="R44">
        <v>1656.6</v>
      </c>
      <c r="S44">
        <v>7.53</v>
      </c>
      <c r="T44" t="s">
        <v>33</v>
      </c>
      <c r="U44" t="s">
        <v>44</v>
      </c>
      <c r="V44">
        <v>20</v>
      </c>
      <c r="W44">
        <v>2008</v>
      </c>
      <c r="X44" s="17">
        <v>44932</v>
      </c>
      <c r="Y44">
        <v>2464310</v>
      </c>
      <c r="Z44" t="s">
        <v>206</v>
      </c>
      <c r="AC44" s="6"/>
      <c r="AH44" s="8"/>
      <c r="AJ44" s="10"/>
      <c r="AK44" s="10"/>
    </row>
    <row r="45" spans="1:37" x14ac:dyDescent="0.3">
      <c r="A45" s="6">
        <v>44943</v>
      </c>
      <c r="B45" s="11">
        <v>44943</v>
      </c>
      <c r="C45">
        <v>12079990</v>
      </c>
      <c r="D45" t="s">
        <v>207</v>
      </c>
      <c r="E45" t="s">
        <v>208</v>
      </c>
      <c r="F45" t="s">
        <v>209</v>
      </c>
      <c r="G45" s="8">
        <v>62.4</v>
      </c>
      <c r="H45" t="s">
        <v>28</v>
      </c>
      <c r="I45" s="10">
        <v>6.1325320512820518</v>
      </c>
      <c r="J45" s="10">
        <v>382.67</v>
      </c>
      <c r="K45">
        <v>6.13</v>
      </c>
      <c r="L45" t="s">
        <v>210</v>
      </c>
      <c r="M45" t="s">
        <v>211</v>
      </c>
      <c r="N45" t="s">
        <v>89</v>
      </c>
      <c r="O45" t="s">
        <v>32</v>
      </c>
      <c r="P45">
        <v>62.4</v>
      </c>
      <c r="Q45" t="s">
        <v>28</v>
      </c>
      <c r="R45">
        <v>395.62</v>
      </c>
      <c r="S45">
        <v>6.34</v>
      </c>
      <c r="T45" t="s">
        <v>33</v>
      </c>
      <c r="U45" t="s">
        <v>34</v>
      </c>
      <c r="V45">
        <v>12</v>
      </c>
      <c r="W45">
        <v>1207</v>
      </c>
      <c r="X45" s="17">
        <v>44933</v>
      </c>
      <c r="Y45">
        <v>1705664</v>
      </c>
      <c r="Z45" t="s">
        <v>212</v>
      </c>
      <c r="AC45" s="6"/>
      <c r="AH45" s="8"/>
      <c r="AJ45" s="10"/>
      <c r="AK45" s="10"/>
    </row>
    <row r="46" spans="1:37" x14ac:dyDescent="0.3">
      <c r="A46" s="6">
        <v>44964</v>
      </c>
      <c r="B46" s="11">
        <v>44964</v>
      </c>
      <c r="C46">
        <v>12060090</v>
      </c>
      <c r="D46" t="s">
        <v>132</v>
      </c>
      <c r="E46" t="s">
        <v>213</v>
      </c>
      <c r="F46" t="s">
        <v>214</v>
      </c>
      <c r="G46" s="8">
        <v>20</v>
      </c>
      <c r="H46" t="s">
        <v>28</v>
      </c>
      <c r="I46" s="10">
        <v>5.4409999999999998</v>
      </c>
      <c r="J46" s="10">
        <v>108.82</v>
      </c>
      <c r="K46">
        <v>5.44</v>
      </c>
      <c r="L46" t="s">
        <v>149</v>
      </c>
      <c r="M46" t="s">
        <v>150</v>
      </c>
      <c r="N46" t="s">
        <v>174</v>
      </c>
      <c r="O46" t="s">
        <v>32</v>
      </c>
      <c r="P46">
        <v>20</v>
      </c>
      <c r="Q46" t="s">
        <v>28</v>
      </c>
      <c r="R46">
        <v>112.8</v>
      </c>
      <c r="S46">
        <v>5.64</v>
      </c>
      <c r="T46" t="s">
        <v>33</v>
      </c>
      <c r="U46" t="s">
        <v>215</v>
      </c>
      <c r="V46">
        <v>12</v>
      </c>
      <c r="W46">
        <v>1206</v>
      </c>
      <c r="X46" s="17">
        <v>44958</v>
      </c>
      <c r="Y46">
        <v>42401272</v>
      </c>
      <c r="Z46" t="s">
        <v>217</v>
      </c>
      <c r="AC46" s="6"/>
      <c r="AH46" s="8"/>
      <c r="AJ46" s="10"/>
      <c r="AK46" s="10"/>
    </row>
    <row r="47" spans="1:37" x14ac:dyDescent="0.3">
      <c r="A47" s="6">
        <v>44965</v>
      </c>
      <c r="B47" s="11">
        <v>44965</v>
      </c>
      <c r="C47">
        <v>20081920</v>
      </c>
      <c r="D47" t="s">
        <v>218</v>
      </c>
      <c r="E47" t="s">
        <v>38</v>
      </c>
      <c r="F47" t="s">
        <v>39</v>
      </c>
      <c r="G47" s="8">
        <v>2000</v>
      </c>
      <c r="H47" t="s">
        <v>28</v>
      </c>
      <c r="I47" s="10">
        <v>2.1425299999999998</v>
      </c>
      <c r="J47" s="10">
        <v>4285.0600000000004</v>
      </c>
      <c r="K47">
        <v>2142.5300000000002</v>
      </c>
      <c r="L47" t="s">
        <v>40</v>
      </c>
      <c r="M47" t="s">
        <v>41</v>
      </c>
      <c r="N47" t="s">
        <v>219</v>
      </c>
      <c r="O47" t="s">
        <v>32</v>
      </c>
      <c r="P47">
        <v>2</v>
      </c>
      <c r="Q47" t="s">
        <v>43</v>
      </c>
      <c r="R47">
        <v>4370</v>
      </c>
      <c r="S47">
        <v>2185</v>
      </c>
      <c r="T47" t="s">
        <v>33</v>
      </c>
      <c r="U47" t="s">
        <v>44</v>
      </c>
      <c r="V47">
        <v>20</v>
      </c>
      <c r="W47">
        <v>2008</v>
      </c>
      <c r="X47" s="17">
        <v>44959</v>
      </c>
      <c r="Y47">
        <v>43365793</v>
      </c>
      <c r="Z47" t="s">
        <v>45</v>
      </c>
      <c r="AC47" s="6"/>
      <c r="AH47" s="8"/>
      <c r="AJ47" s="10"/>
      <c r="AK47" s="10"/>
    </row>
    <row r="48" spans="1:37" x14ac:dyDescent="0.3">
      <c r="A48" s="6">
        <v>44979</v>
      </c>
      <c r="B48" s="11">
        <v>44979</v>
      </c>
      <c r="C48">
        <v>12129990</v>
      </c>
      <c r="D48" t="s">
        <v>177</v>
      </c>
      <c r="E48" t="s">
        <v>47</v>
      </c>
      <c r="F48" t="s">
        <v>74</v>
      </c>
      <c r="G48" s="8">
        <v>105</v>
      </c>
      <c r="H48" t="s">
        <v>28</v>
      </c>
      <c r="I48" s="10">
        <v>5.4700952380952383</v>
      </c>
      <c r="J48" s="10">
        <v>574.36</v>
      </c>
      <c r="K48">
        <v>5.47</v>
      </c>
      <c r="L48" t="s">
        <v>75</v>
      </c>
      <c r="M48" t="s">
        <v>50</v>
      </c>
      <c r="N48" t="s">
        <v>51</v>
      </c>
      <c r="O48" t="s">
        <v>32</v>
      </c>
      <c r="P48">
        <v>105</v>
      </c>
      <c r="Q48" t="s">
        <v>28</v>
      </c>
      <c r="R48">
        <v>496.65</v>
      </c>
      <c r="S48">
        <v>4.7300000000000004</v>
      </c>
      <c r="T48" t="s">
        <v>52</v>
      </c>
      <c r="U48" t="s">
        <v>95</v>
      </c>
      <c r="V48">
        <v>12</v>
      </c>
      <c r="W48">
        <v>1212</v>
      </c>
      <c r="X48" s="17">
        <v>44960</v>
      </c>
      <c r="Y48">
        <v>45029257</v>
      </c>
      <c r="Z48" t="s">
        <v>53</v>
      </c>
      <c r="AC48" s="6"/>
      <c r="AH48" s="8"/>
      <c r="AJ48" s="10"/>
      <c r="AK48" s="10"/>
    </row>
    <row r="49" spans="1:37" x14ac:dyDescent="0.3">
      <c r="A49" s="6">
        <v>44979</v>
      </c>
      <c r="B49" s="11">
        <v>44979</v>
      </c>
      <c r="C49">
        <v>12129990</v>
      </c>
      <c r="D49" t="s">
        <v>220</v>
      </c>
      <c r="E49" t="s">
        <v>47</v>
      </c>
      <c r="F49" t="s">
        <v>74</v>
      </c>
      <c r="G49" s="8">
        <v>250</v>
      </c>
      <c r="H49" t="s">
        <v>28</v>
      </c>
      <c r="I49" s="10">
        <v>5.8978400000000004</v>
      </c>
      <c r="J49" s="10">
        <v>1474.46</v>
      </c>
      <c r="K49">
        <v>5.9</v>
      </c>
      <c r="L49" t="s">
        <v>75</v>
      </c>
      <c r="M49" t="s">
        <v>50</v>
      </c>
      <c r="N49" t="s">
        <v>51</v>
      </c>
      <c r="O49" t="s">
        <v>32</v>
      </c>
      <c r="P49">
        <v>250</v>
      </c>
      <c r="Q49" t="s">
        <v>28</v>
      </c>
      <c r="R49">
        <v>1262.5</v>
      </c>
      <c r="S49">
        <v>5.05</v>
      </c>
      <c r="T49" t="s">
        <v>52</v>
      </c>
      <c r="U49" t="s">
        <v>95</v>
      </c>
      <c r="V49">
        <v>12</v>
      </c>
      <c r="W49">
        <v>1212</v>
      </c>
      <c r="X49" s="17">
        <v>44961</v>
      </c>
      <c r="Y49">
        <v>45029251</v>
      </c>
      <c r="Z49" t="s">
        <v>53</v>
      </c>
      <c r="AC49" s="6"/>
      <c r="AH49" s="8"/>
      <c r="AJ49" s="10"/>
      <c r="AK49" s="10"/>
    </row>
    <row r="50" spans="1:37" x14ac:dyDescent="0.3">
      <c r="A50" s="6">
        <v>44996</v>
      </c>
      <c r="B50" s="11">
        <v>44996</v>
      </c>
      <c r="C50">
        <v>20081990</v>
      </c>
      <c r="D50" t="s">
        <v>221</v>
      </c>
      <c r="E50" t="s">
        <v>204</v>
      </c>
      <c r="F50" t="s">
        <v>205</v>
      </c>
      <c r="G50" s="8">
        <v>120</v>
      </c>
      <c r="H50" t="s">
        <v>28</v>
      </c>
      <c r="I50" s="10">
        <v>6.5932500000000003</v>
      </c>
      <c r="J50" s="10">
        <v>791.19</v>
      </c>
      <c r="K50">
        <v>6.59</v>
      </c>
      <c r="L50" t="s">
        <v>40</v>
      </c>
      <c r="M50" t="s">
        <v>41</v>
      </c>
      <c r="N50" t="s">
        <v>51</v>
      </c>
      <c r="O50" t="s">
        <v>32</v>
      </c>
      <c r="P50">
        <v>120</v>
      </c>
      <c r="Q50" t="s">
        <v>28</v>
      </c>
      <c r="R50">
        <v>817.2</v>
      </c>
      <c r="S50">
        <v>6.81</v>
      </c>
      <c r="T50" t="s">
        <v>33</v>
      </c>
      <c r="U50" t="s">
        <v>44</v>
      </c>
      <c r="V50">
        <v>20</v>
      </c>
      <c r="W50">
        <v>2008</v>
      </c>
      <c r="X50" s="17">
        <v>44986</v>
      </c>
      <c r="Y50">
        <v>51461338</v>
      </c>
      <c r="Z50" t="s">
        <v>206</v>
      </c>
      <c r="AC50" s="6"/>
      <c r="AH50" s="8"/>
      <c r="AJ50" s="10"/>
      <c r="AK50" s="10"/>
    </row>
    <row r="51" spans="1:37" x14ac:dyDescent="0.3">
      <c r="A51" s="6">
        <v>45000</v>
      </c>
      <c r="B51" s="11">
        <v>45000</v>
      </c>
      <c r="C51">
        <v>12129990</v>
      </c>
      <c r="D51" t="s">
        <v>220</v>
      </c>
      <c r="E51" t="s">
        <v>47</v>
      </c>
      <c r="F51" t="s">
        <v>74</v>
      </c>
      <c r="G51" s="8">
        <v>250</v>
      </c>
      <c r="H51" t="s">
        <v>28</v>
      </c>
      <c r="I51" s="10">
        <v>5.8109999999999999</v>
      </c>
      <c r="J51" s="10">
        <v>1452.75</v>
      </c>
      <c r="K51">
        <v>5.81</v>
      </c>
      <c r="L51" t="s">
        <v>75</v>
      </c>
      <c r="M51" t="s">
        <v>50</v>
      </c>
      <c r="N51" t="s">
        <v>51</v>
      </c>
      <c r="O51" t="s">
        <v>32</v>
      </c>
      <c r="P51">
        <v>250</v>
      </c>
      <c r="Q51" t="s">
        <v>28</v>
      </c>
      <c r="R51">
        <v>1262.5</v>
      </c>
      <c r="S51">
        <v>5.05</v>
      </c>
      <c r="T51" t="s">
        <v>52</v>
      </c>
      <c r="U51" t="s">
        <v>95</v>
      </c>
      <c r="V51">
        <v>12</v>
      </c>
      <c r="W51">
        <v>1212</v>
      </c>
      <c r="X51" s="17">
        <v>44987</v>
      </c>
      <c r="Y51">
        <v>52023863</v>
      </c>
      <c r="Z51" t="s">
        <v>53</v>
      </c>
      <c r="AC51" s="6"/>
      <c r="AH51" s="8"/>
      <c r="AJ51" s="10"/>
      <c r="AK51" s="10"/>
    </row>
    <row r="52" spans="1:37" x14ac:dyDescent="0.3">
      <c r="A52" s="6">
        <v>45008</v>
      </c>
      <c r="B52" s="11">
        <v>45008</v>
      </c>
      <c r="C52">
        <v>20081990</v>
      </c>
      <c r="D52" t="s">
        <v>223</v>
      </c>
      <c r="E52" t="s">
        <v>204</v>
      </c>
      <c r="F52" t="s">
        <v>205</v>
      </c>
      <c r="G52" s="8">
        <v>120</v>
      </c>
      <c r="H52" t="s">
        <v>28</v>
      </c>
      <c r="I52" s="10">
        <v>6.5771666666666668</v>
      </c>
      <c r="J52" s="10">
        <v>789.26</v>
      </c>
      <c r="K52">
        <v>6.58</v>
      </c>
      <c r="L52" t="s">
        <v>40</v>
      </c>
      <c r="M52" t="s">
        <v>41</v>
      </c>
      <c r="N52" t="s">
        <v>51</v>
      </c>
      <c r="O52" t="s">
        <v>32</v>
      </c>
      <c r="P52">
        <v>120</v>
      </c>
      <c r="Q52" t="s">
        <v>28</v>
      </c>
      <c r="R52">
        <v>819.6</v>
      </c>
      <c r="S52">
        <v>6.83</v>
      </c>
      <c r="T52" t="s">
        <v>33</v>
      </c>
      <c r="U52" t="s">
        <v>44</v>
      </c>
      <c r="V52">
        <v>20</v>
      </c>
      <c r="W52">
        <v>2008</v>
      </c>
      <c r="X52" s="17">
        <v>44988</v>
      </c>
      <c r="Y52">
        <v>53890479</v>
      </c>
      <c r="Z52" t="s">
        <v>206</v>
      </c>
      <c r="AC52" s="6"/>
      <c r="AH52" s="8"/>
      <c r="AJ52" s="10"/>
      <c r="AK52" s="10"/>
    </row>
    <row r="53" spans="1:37" x14ac:dyDescent="0.3">
      <c r="A53" s="6">
        <v>45010</v>
      </c>
      <c r="B53" s="11">
        <v>45010</v>
      </c>
      <c r="C53">
        <v>20081990</v>
      </c>
      <c r="D53" t="s">
        <v>224</v>
      </c>
      <c r="E53" t="s">
        <v>225</v>
      </c>
      <c r="F53" t="s">
        <v>226</v>
      </c>
      <c r="G53" s="8">
        <v>111.6</v>
      </c>
      <c r="H53" t="s">
        <v>28</v>
      </c>
      <c r="I53" s="10">
        <v>9.166397849462367</v>
      </c>
      <c r="J53" s="10">
        <v>1022.97</v>
      </c>
      <c r="K53">
        <v>9.17</v>
      </c>
      <c r="L53" t="s">
        <v>227</v>
      </c>
      <c r="M53" t="s">
        <v>228</v>
      </c>
      <c r="N53" t="s">
        <v>229</v>
      </c>
      <c r="O53" t="s">
        <v>32</v>
      </c>
      <c r="P53">
        <v>111.6</v>
      </c>
      <c r="Q53" t="s">
        <v>28</v>
      </c>
      <c r="R53">
        <v>1598.11</v>
      </c>
      <c r="S53">
        <v>14.32</v>
      </c>
      <c r="T53" t="s">
        <v>230</v>
      </c>
      <c r="U53" t="s">
        <v>44</v>
      </c>
      <c r="V53">
        <v>20</v>
      </c>
      <c r="W53">
        <v>2008</v>
      </c>
      <c r="X53" s="17">
        <v>44989</v>
      </c>
      <c r="Y53">
        <v>58330237</v>
      </c>
      <c r="Z53" t="s">
        <v>231</v>
      </c>
      <c r="AC53" s="6"/>
      <c r="AH53" s="8"/>
      <c r="AJ53" s="10"/>
      <c r="AK53" s="10"/>
    </row>
    <row r="54" spans="1:37" x14ac:dyDescent="0.3">
      <c r="A54" s="6">
        <v>45012</v>
      </c>
      <c r="B54" s="11">
        <v>45012</v>
      </c>
      <c r="C54">
        <v>12060010</v>
      </c>
      <c r="D54" t="s">
        <v>232</v>
      </c>
      <c r="E54" t="s">
        <v>233</v>
      </c>
      <c r="F54" t="s">
        <v>234</v>
      </c>
      <c r="G54" s="8">
        <v>100</v>
      </c>
      <c r="H54" t="s">
        <v>28</v>
      </c>
      <c r="I54" s="10">
        <v>6.4576000000000002</v>
      </c>
      <c r="J54" s="10">
        <v>645.76</v>
      </c>
      <c r="K54">
        <v>6.46</v>
      </c>
      <c r="L54" t="s">
        <v>235</v>
      </c>
      <c r="M54" t="s">
        <v>236</v>
      </c>
      <c r="N54" t="s">
        <v>51</v>
      </c>
      <c r="O54" t="s">
        <v>32</v>
      </c>
      <c r="P54">
        <v>100</v>
      </c>
      <c r="Q54" t="s">
        <v>28</v>
      </c>
      <c r="R54">
        <v>690</v>
      </c>
      <c r="S54">
        <v>6.9</v>
      </c>
      <c r="T54" t="s">
        <v>33</v>
      </c>
      <c r="U54" t="s">
        <v>215</v>
      </c>
      <c r="V54">
        <v>12</v>
      </c>
      <c r="W54">
        <v>1206</v>
      </c>
      <c r="X54" s="17">
        <v>44990</v>
      </c>
      <c r="Y54">
        <v>53725421</v>
      </c>
      <c r="Z54" t="s">
        <v>237</v>
      </c>
      <c r="AC54" s="6"/>
      <c r="AH54" s="8"/>
      <c r="AJ54" s="10"/>
      <c r="AK54" s="10"/>
    </row>
    <row r="55" spans="1:37" x14ac:dyDescent="0.3">
      <c r="A55" s="6">
        <v>45021</v>
      </c>
      <c r="B55" s="11">
        <v>45021</v>
      </c>
      <c r="C55">
        <v>20081990</v>
      </c>
      <c r="D55" t="s">
        <v>132</v>
      </c>
      <c r="E55" t="s">
        <v>133</v>
      </c>
      <c r="F55" t="s">
        <v>238</v>
      </c>
      <c r="G55" s="8">
        <v>10</v>
      </c>
      <c r="H55" t="s">
        <v>28</v>
      </c>
      <c r="I55" s="10">
        <v>3.2290000000000001</v>
      </c>
      <c r="J55" s="10">
        <v>32.29</v>
      </c>
      <c r="K55">
        <v>3.23</v>
      </c>
      <c r="L55" t="s">
        <v>239</v>
      </c>
      <c r="M55" t="s">
        <v>136</v>
      </c>
      <c r="N55" t="s">
        <v>240</v>
      </c>
      <c r="O55" t="s">
        <v>60</v>
      </c>
      <c r="P55">
        <v>10</v>
      </c>
      <c r="Q55" t="s">
        <v>28</v>
      </c>
      <c r="R55">
        <v>34.5</v>
      </c>
      <c r="S55">
        <v>3.45</v>
      </c>
      <c r="T55" t="s">
        <v>33</v>
      </c>
      <c r="U55" t="s">
        <v>44</v>
      </c>
      <c r="V55">
        <v>20</v>
      </c>
      <c r="W55">
        <v>2008</v>
      </c>
      <c r="X55" s="17">
        <v>45017</v>
      </c>
      <c r="Y55">
        <v>64295703</v>
      </c>
      <c r="Z55" t="s">
        <v>138</v>
      </c>
      <c r="AC55" s="6"/>
      <c r="AH55" s="8"/>
      <c r="AJ55" s="10"/>
      <c r="AK55" s="10"/>
    </row>
    <row r="56" spans="1:37" x14ac:dyDescent="0.3">
      <c r="A56" s="6">
        <v>45028</v>
      </c>
      <c r="B56" s="11">
        <v>45028</v>
      </c>
      <c r="C56">
        <v>20081990</v>
      </c>
      <c r="D56" t="s">
        <v>242</v>
      </c>
      <c r="E56" t="s">
        <v>243</v>
      </c>
      <c r="F56" t="s">
        <v>244</v>
      </c>
      <c r="G56" s="8">
        <v>750</v>
      </c>
      <c r="H56" t="s">
        <v>28</v>
      </c>
      <c r="I56" s="10">
        <v>1.305053333333333</v>
      </c>
      <c r="J56" s="10">
        <v>978.79</v>
      </c>
      <c r="K56">
        <v>1.31</v>
      </c>
      <c r="L56" t="s">
        <v>40</v>
      </c>
      <c r="M56" t="s">
        <v>41</v>
      </c>
      <c r="N56" t="s">
        <v>51</v>
      </c>
      <c r="O56" t="s">
        <v>32</v>
      </c>
      <c r="P56">
        <v>750</v>
      </c>
      <c r="Q56" t="s">
        <v>28</v>
      </c>
      <c r="R56">
        <v>997.5</v>
      </c>
      <c r="S56">
        <v>1.33</v>
      </c>
      <c r="T56" t="s">
        <v>33</v>
      </c>
      <c r="U56" t="s">
        <v>44</v>
      </c>
      <c r="V56">
        <v>20</v>
      </c>
      <c r="W56">
        <v>2008</v>
      </c>
      <c r="X56" s="17">
        <v>45018</v>
      </c>
      <c r="Y56">
        <v>59792949</v>
      </c>
      <c r="Z56" t="s">
        <v>245</v>
      </c>
      <c r="AC56" s="6"/>
      <c r="AH56" s="8"/>
      <c r="AJ56" s="10"/>
      <c r="AK56" s="10"/>
    </row>
    <row r="57" spans="1:37" x14ac:dyDescent="0.3">
      <c r="A57" s="6">
        <v>45037</v>
      </c>
      <c r="B57" s="11">
        <v>45037</v>
      </c>
      <c r="C57">
        <v>20081990</v>
      </c>
      <c r="D57" t="s">
        <v>246</v>
      </c>
      <c r="E57" t="s">
        <v>204</v>
      </c>
      <c r="F57" t="s">
        <v>205</v>
      </c>
      <c r="G57" s="8">
        <v>100</v>
      </c>
      <c r="H57" t="s">
        <v>28</v>
      </c>
      <c r="I57" s="10">
        <v>6.7420000000000009</v>
      </c>
      <c r="J57" s="10">
        <v>674.2</v>
      </c>
      <c r="K57">
        <v>6.74</v>
      </c>
      <c r="L57" t="s">
        <v>40</v>
      </c>
      <c r="M57" t="s">
        <v>41</v>
      </c>
      <c r="N57" t="s">
        <v>51</v>
      </c>
      <c r="O57" t="s">
        <v>32</v>
      </c>
      <c r="P57">
        <v>100</v>
      </c>
      <c r="Q57" t="s">
        <v>28</v>
      </c>
      <c r="R57">
        <v>697</v>
      </c>
      <c r="S57">
        <v>6.97</v>
      </c>
      <c r="T57" t="s">
        <v>33</v>
      </c>
      <c r="U57" t="s">
        <v>44</v>
      </c>
      <c r="V57">
        <v>20</v>
      </c>
      <c r="W57">
        <v>2008</v>
      </c>
      <c r="X57" s="17">
        <v>45019</v>
      </c>
      <c r="Y57">
        <v>61942133</v>
      </c>
      <c r="Z57" t="s">
        <v>206</v>
      </c>
      <c r="AC57" s="6"/>
      <c r="AH57" s="8"/>
      <c r="AJ57" s="10"/>
      <c r="AK57" s="10"/>
    </row>
    <row r="58" spans="1:37" x14ac:dyDescent="0.3">
      <c r="A58" s="6">
        <v>45058</v>
      </c>
      <c r="B58" s="11">
        <v>45058</v>
      </c>
      <c r="C58">
        <v>12129990</v>
      </c>
      <c r="D58" t="s">
        <v>220</v>
      </c>
      <c r="E58" t="s">
        <v>47</v>
      </c>
      <c r="F58" t="s">
        <v>74</v>
      </c>
      <c r="G58" s="8">
        <v>495</v>
      </c>
      <c r="H58" t="s">
        <v>28</v>
      </c>
      <c r="I58" s="10">
        <v>6.1844040404040408</v>
      </c>
      <c r="J58" s="10">
        <v>3061.28</v>
      </c>
      <c r="K58">
        <v>6.18</v>
      </c>
      <c r="L58" t="s">
        <v>75</v>
      </c>
      <c r="M58" t="s">
        <v>50</v>
      </c>
      <c r="N58" t="s">
        <v>51</v>
      </c>
      <c r="O58" t="s">
        <v>32</v>
      </c>
      <c r="P58">
        <v>495</v>
      </c>
      <c r="Q58" t="s">
        <v>28</v>
      </c>
      <c r="R58">
        <v>2499.75</v>
      </c>
      <c r="S58">
        <v>5.05</v>
      </c>
      <c r="T58" t="s">
        <v>52</v>
      </c>
      <c r="U58" t="s">
        <v>95</v>
      </c>
      <c r="V58">
        <v>12</v>
      </c>
      <c r="W58">
        <v>1212</v>
      </c>
      <c r="X58" s="17">
        <v>45047</v>
      </c>
      <c r="Y58">
        <v>68413494</v>
      </c>
      <c r="Z58" t="s">
        <v>53</v>
      </c>
      <c r="AC58" s="6"/>
      <c r="AH58" s="8"/>
      <c r="AJ58" s="10"/>
      <c r="AK58" s="10"/>
    </row>
    <row r="59" spans="1:37" x14ac:dyDescent="0.3">
      <c r="A59" s="6">
        <v>45063</v>
      </c>
      <c r="B59" s="11">
        <v>45063</v>
      </c>
      <c r="C59">
        <v>20081920</v>
      </c>
      <c r="D59" t="s">
        <v>248</v>
      </c>
      <c r="E59" t="s">
        <v>249</v>
      </c>
      <c r="F59" t="s">
        <v>250</v>
      </c>
      <c r="G59" s="8">
        <v>56</v>
      </c>
      <c r="H59" t="s">
        <v>28</v>
      </c>
      <c r="I59" s="10">
        <v>8.2251785714285717</v>
      </c>
      <c r="J59" s="10">
        <v>460.61</v>
      </c>
      <c r="K59">
        <v>8.23</v>
      </c>
      <c r="L59" t="s">
        <v>251</v>
      </c>
      <c r="M59" t="s">
        <v>252</v>
      </c>
      <c r="N59" t="s">
        <v>89</v>
      </c>
      <c r="O59" t="s">
        <v>32</v>
      </c>
      <c r="P59">
        <v>56</v>
      </c>
      <c r="Q59" t="s">
        <v>28</v>
      </c>
      <c r="R59">
        <v>472.08</v>
      </c>
      <c r="S59">
        <v>8.43</v>
      </c>
      <c r="T59" t="s">
        <v>33</v>
      </c>
      <c r="U59" t="s">
        <v>44</v>
      </c>
      <c r="V59">
        <v>20</v>
      </c>
      <c r="W59">
        <v>2008</v>
      </c>
      <c r="X59" s="17">
        <v>45048</v>
      </c>
      <c r="Y59">
        <v>68273754</v>
      </c>
      <c r="Z59" t="s">
        <v>253</v>
      </c>
      <c r="AC59" s="6"/>
      <c r="AH59" s="8"/>
      <c r="AJ59" s="10"/>
      <c r="AK59" s="10"/>
    </row>
    <row r="60" spans="1:37" x14ac:dyDescent="0.3">
      <c r="A60" s="6">
        <v>45069</v>
      </c>
      <c r="B60" s="11">
        <v>45069</v>
      </c>
      <c r="C60">
        <v>20081990</v>
      </c>
      <c r="D60" t="s">
        <v>254</v>
      </c>
      <c r="E60" t="s">
        <v>109</v>
      </c>
      <c r="F60" t="s">
        <v>199</v>
      </c>
      <c r="G60" s="8">
        <v>4</v>
      </c>
      <c r="H60" t="s">
        <v>28</v>
      </c>
      <c r="I60" s="10">
        <v>9.0124999999999993</v>
      </c>
      <c r="J60" s="10">
        <v>36.049999999999997</v>
      </c>
      <c r="K60">
        <v>9.01</v>
      </c>
      <c r="L60" t="s">
        <v>200</v>
      </c>
      <c r="M60" t="s">
        <v>30</v>
      </c>
      <c r="N60" t="s">
        <v>113</v>
      </c>
      <c r="O60" t="s">
        <v>32</v>
      </c>
      <c r="P60">
        <v>4</v>
      </c>
      <c r="Q60" t="s">
        <v>28</v>
      </c>
      <c r="R60">
        <v>2720</v>
      </c>
      <c r="S60">
        <v>680</v>
      </c>
      <c r="T60" t="s">
        <v>114</v>
      </c>
      <c r="U60" t="s">
        <v>44</v>
      </c>
      <c r="V60">
        <v>20</v>
      </c>
      <c r="W60">
        <v>2008</v>
      </c>
      <c r="X60" s="17">
        <v>45049</v>
      </c>
      <c r="Y60">
        <v>69491601</v>
      </c>
      <c r="Z60" t="s">
        <v>116</v>
      </c>
      <c r="AC60" s="6"/>
      <c r="AH60" s="8"/>
      <c r="AJ60" s="10"/>
      <c r="AK60" s="10"/>
    </row>
    <row r="61" spans="1:37" x14ac:dyDescent="0.3">
      <c r="A61" s="6">
        <v>45080</v>
      </c>
      <c r="B61" s="11">
        <v>45080</v>
      </c>
      <c r="C61">
        <v>20081920</v>
      </c>
      <c r="D61" t="s">
        <v>255</v>
      </c>
      <c r="E61" t="s">
        <v>256</v>
      </c>
      <c r="F61" t="s">
        <v>257</v>
      </c>
      <c r="G61" s="8">
        <v>13</v>
      </c>
      <c r="H61" t="s">
        <v>28</v>
      </c>
      <c r="I61" s="10">
        <v>5.5361538461538462</v>
      </c>
      <c r="J61" s="10">
        <v>71.97</v>
      </c>
      <c r="K61">
        <v>5.54</v>
      </c>
      <c r="L61" t="s">
        <v>189</v>
      </c>
      <c r="M61" t="s">
        <v>190</v>
      </c>
      <c r="N61" t="s">
        <v>51</v>
      </c>
      <c r="O61" t="s">
        <v>32</v>
      </c>
      <c r="P61">
        <v>13</v>
      </c>
      <c r="Q61" t="s">
        <v>28</v>
      </c>
      <c r="R61">
        <v>73.45</v>
      </c>
      <c r="S61">
        <v>5.65</v>
      </c>
      <c r="T61" t="s">
        <v>33</v>
      </c>
      <c r="U61" t="s">
        <v>44</v>
      </c>
      <c r="V61">
        <v>20</v>
      </c>
      <c r="W61">
        <v>2008</v>
      </c>
      <c r="X61" s="17">
        <v>45078</v>
      </c>
      <c r="Y61">
        <v>75605230</v>
      </c>
      <c r="Z61" t="s">
        <v>259</v>
      </c>
      <c r="AC61" s="6"/>
      <c r="AH61" s="8"/>
      <c r="AJ61" s="10"/>
      <c r="AK61" s="10"/>
    </row>
    <row r="62" spans="1:37" x14ac:dyDescent="0.3">
      <c r="A62" s="6">
        <v>45083</v>
      </c>
      <c r="B62" s="11">
        <v>45083</v>
      </c>
      <c r="C62">
        <v>12079990</v>
      </c>
      <c r="D62" t="s">
        <v>166</v>
      </c>
      <c r="E62" t="s">
        <v>167</v>
      </c>
      <c r="F62" t="s">
        <v>168</v>
      </c>
      <c r="G62" s="8">
        <v>50</v>
      </c>
      <c r="H62" t="s">
        <v>28</v>
      </c>
      <c r="I62" s="10">
        <v>7.9167999999999994</v>
      </c>
      <c r="J62" s="10">
        <v>395.84</v>
      </c>
      <c r="K62">
        <v>7.92</v>
      </c>
      <c r="L62" t="s">
        <v>103</v>
      </c>
      <c r="M62" t="s">
        <v>104</v>
      </c>
      <c r="N62" t="s">
        <v>113</v>
      </c>
      <c r="O62" t="s">
        <v>32</v>
      </c>
      <c r="P62">
        <v>50</v>
      </c>
      <c r="Q62" t="s">
        <v>28</v>
      </c>
      <c r="R62">
        <v>400</v>
      </c>
      <c r="S62">
        <v>8</v>
      </c>
      <c r="T62" t="s">
        <v>33</v>
      </c>
      <c r="U62" t="s">
        <v>34</v>
      </c>
      <c r="V62">
        <v>12</v>
      </c>
      <c r="W62">
        <v>1207</v>
      </c>
      <c r="X62" s="17">
        <v>45079</v>
      </c>
      <c r="Y62">
        <v>75112110</v>
      </c>
      <c r="Z62" t="s">
        <v>170</v>
      </c>
      <c r="AC62" s="6"/>
      <c r="AH62" s="8"/>
      <c r="AJ62" s="10"/>
      <c r="AK62" s="10"/>
    </row>
    <row r="63" spans="1:37" x14ac:dyDescent="0.3">
      <c r="A63" s="6">
        <v>45084</v>
      </c>
      <c r="B63" s="11">
        <v>45084</v>
      </c>
      <c r="C63">
        <v>20081990</v>
      </c>
      <c r="D63" t="s">
        <v>260</v>
      </c>
      <c r="E63" t="s">
        <v>261</v>
      </c>
      <c r="F63" t="s">
        <v>79</v>
      </c>
      <c r="G63" s="8">
        <v>1000</v>
      </c>
      <c r="H63" t="s">
        <v>28</v>
      </c>
      <c r="I63" s="10">
        <v>5.5091599999999996</v>
      </c>
      <c r="J63" s="10">
        <v>5509.16</v>
      </c>
      <c r="K63">
        <v>5509.16</v>
      </c>
      <c r="L63" t="s">
        <v>80</v>
      </c>
      <c r="M63" t="s">
        <v>81</v>
      </c>
      <c r="N63" t="s">
        <v>89</v>
      </c>
      <c r="O63" t="s">
        <v>32</v>
      </c>
      <c r="P63">
        <v>1</v>
      </c>
      <c r="Q63" t="s">
        <v>43</v>
      </c>
      <c r="R63">
        <v>5610</v>
      </c>
      <c r="S63">
        <v>5610</v>
      </c>
      <c r="T63" t="s">
        <v>33</v>
      </c>
      <c r="U63" t="s">
        <v>44</v>
      </c>
      <c r="V63">
        <v>20</v>
      </c>
      <c r="W63">
        <v>2008</v>
      </c>
      <c r="X63" s="17">
        <v>45080</v>
      </c>
      <c r="Y63">
        <v>74737818</v>
      </c>
      <c r="Z63" t="s">
        <v>262</v>
      </c>
      <c r="AC63" s="6"/>
      <c r="AH63" s="8"/>
      <c r="AJ63" s="10"/>
      <c r="AK63" s="10"/>
    </row>
    <row r="64" spans="1:37" x14ac:dyDescent="0.3">
      <c r="A64" s="6">
        <v>45086</v>
      </c>
      <c r="B64" s="11">
        <v>45086</v>
      </c>
      <c r="C64">
        <v>20081920</v>
      </c>
      <c r="D64" t="s">
        <v>177</v>
      </c>
      <c r="E64" t="s">
        <v>263</v>
      </c>
      <c r="F64" t="s">
        <v>79</v>
      </c>
      <c r="G64" s="8">
        <v>100</v>
      </c>
      <c r="H64" t="s">
        <v>28</v>
      </c>
      <c r="I64" s="10">
        <v>4.4382000000000001</v>
      </c>
      <c r="J64" s="10">
        <v>443.82</v>
      </c>
      <c r="K64">
        <v>4.4400000000000004</v>
      </c>
      <c r="L64" t="s">
        <v>264</v>
      </c>
      <c r="M64" t="s">
        <v>265</v>
      </c>
      <c r="N64" t="s">
        <v>266</v>
      </c>
      <c r="O64" t="s">
        <v>32</v>
      </c>
      <c r="P64">
        <v>100</v>
      </c>
      <c r="Q64" t="s">
        <v>28</v>
      </c>
      <c r="R64">
        <v>457</v>
      </c>
      <c r="S64">
        <v>4.57</v>
      </c>
      <c r="T64" t="s">
        <v>33</v>
      </c>
      <c r="U64" t="s">
        <v>44</v>
      </c>
      <c r="V64">
        <v>20</v>
      </c>
      <c r="W64">
        <v>2008</v>
      </c>
      <c r="X64" s="17">
        <v>45081</v>
      </c>
      <c r="Y64">
        <v>75080523</v>
      </c>
      <c r="Z64" t="s">
        <v>267</v>
      </c>
      <c r="AC64" s="6"/>
      <c r="AH64" s="8"/>
      <c r="AJ64" s="10"/>
      <c r="AK64" s="10"/>
    </row>
    <row r="65" spans="1:37" x14ac:dyDescent="0.3">
      <c r="A65" s="6">
        <v>45088</v>
      </c>
      <c r="B65" s="11">
        <v>45088</v>
      </c>
      <c r="C65">
        <v>20081920</v>
      </c>
      <c r="D65" t="s">
        <v>268</v>
      </c>
      <c r="E65" t="s">
        <v>269</v>
      </c>
      <c r="F65" t="s">
        <v>270</v>
      </c>
      <c r="G65" s="8">
        <v>25</v>
      </c>
      <c r="H65" t="s">
        <v>28</v>
      </c>
      <c r="I65" s="10">
        <v>5.2779999999999996</v>
      </c>
      <c r="J65" s="10">
        <v>131.94999999999999</v>
      </c>
      <c r="K65">
        <v>5.28</v>
      </c>
      <c r="L65" t="s">
        <v>210</v>
      </c>
      <c r="M65" t="s">
        <v>211</v>
      </c>
      <c r="N65" t="s">
        <v>89</v>
      </c>
      <c r="O65" t="s">
        <v>32</v>
      </c>
      <c r="P65">
        <v>25</v>
      </c>
      <c r="Q65" t="s">
        <v>28</v>
      </c>
      <c r="R65">
        <v>136</v>
      </c>
      <c r="S65">
        <v>5.44</v>
      </c>
      <c r="T65" t="s">
        <v>33</v>
      </c>
      <c r="U65" t="s">
        <v>44</v>
      </c>
      <c r="V65">
        <v>20</v>
      </c>
      <c r="W65">
        <v>2008</v>
      </c>
      <c r="X65" s="17">
        <v>45082</v>
      </c>
      <c r="Y65">
        <v>76749168</v>
      </c>
      <c r="Z65" t="s">
        <v>271</v>
      </c>
      <c r="AC65" s="6"/>
      <c r="AH65" s="8"/>
      <c r="AJ65" s="10"/>
      <c r="AK65" s="10"/>
    </row>
    <row r="66" spans="1:37" x14ac:dyDescent="0.3">
      <c r="A66" s="6">
        <v>45097</v>
      </c>
      <c r="B66" s="11">
        <v>45097</v>
      </c>
      <c r="C66">
        <v>12079990</v>
      </c>
      <c r="D66" t="s">
        <v>177</v>
      </c>
      <c r="E66" t="s">
        <v>272</v>
      </c>
      <c r="F66" t="s">
        <v>273</v>
      </c>
      <c r="G66" s="8">
        <v>12.5</v>
      </c>
      <c r="H66" t="s">
        <v>28</v>
      </c>
      <c r="I66" s="10">
        <v>8.6736000000000004</v>
      </c>
      <c r="J66" s="10">
        <v>108.42</v>
      </c>
      <c r="K66">
        <v>8.67</v>
      </c>
      <c r="L66" t="s">
        <v>156</v>
      </c>
      <c r="M66" t="s">
        <v>157</v>
      </c>
      <c r="N66" t="s">
        <v>174</v>
      </c>
      <c r="O66" t="s">
        <v>32</v>
      </c>
      <c r="P66">
        <v>12.5</v>
      </c>
      <c r="Q66" t="s">
        <v>28</v>
      </c>
      <c r="R66">
        <v>111.75</v>
      </c>
      <c r="S66">
        <v>8.94</v>
      </c>
      <c r="T66" t="s">
        <v>33</v>
      </c>
      <c r="U66" t="s">
        <v>34</v>
      </c>
      <c r="V66">
        <v>12</v>
      </c>
      <c r="W66">
        <v>1207</v>
      </c>
      <c r="X66" s="17">
        <v>45083</v>
      </c>
      <c r="Y66">
        <v>76164501</v>
      </c>
      <c r="Z66" t="s">
        <v>274</v>
      </c>
      <c r="AC66" s="6"/>
      <c r="AH66" s="8"/>
      <c r="AJ66" s="10"/>
      <c r="AK66" s="10"/>
    </row>
    <row r="67" spans="1:37" x14ac:dyDescent="0.3">
      <c r="A67" s="6">
        <v>45097</v>
      </c>
      <c r="B67" s="11">
        <v>45097</v>
      </c>
      <c r="C67">
        <v>12129990</v>
      </c>
      <c r="D67" t="s">
        <v>220</v>
      </c>
      <c r="E67" t="s">
        <v>47</v>
      </c>
      <c r="F67" t="s">
        <v>74</v>
      </c>
      <c r="G67" s="8">
        <v>495</v>
      </c>
      <c r="H67" t="s">
        <v>28</v>
      </c>
      <c r="I67" s="10">
        <v>6.2455151515151517</v>
      </c>
      <c r="J67" s="10">
        <v>3091.53</v>
      </c>
      <c r="K67">
        <v>6.25</v>
      </c>
      <c r="L67" t="s">
        <v>75</v>
      </c>
      <c r="M67" t="s">
        <v>50</v>
      </c>
      <c r="N67" t="s">
        <v>51</v>
      </c>
      <c r="O67" t="s">
        <v>32</v>
      </c>
      <c r="P67">
        <v>495</v>
      </c>
      <c r="Q67" t="s">
        <v>28</v>
      </c>
      <c r="R67">
        <v>2499.75</v>
      </c>
      <c r="S67">
        <v>5.05</v>
      </c>
      <c r="T67" t="s">
        <v>52</v>
      </c>
      <c r="U67" t="s">
        <v>95</v>
      </c>
      <c r="V67">
        <v>12</v>
      </c>
      <c r="W67">
        <v>1212</v>
      </c>
      <c r="X67" s="17">
        <v>45084</v>
      </c>
      <c r="Y67">
        <v>76162415</v>
      </c>
      <c r="Z67" t="s">
        <v>53</v>
      </c>
      <c r="AC67" s="6"/>
      <c r="AH67" s="8"/>
      <c r="AJ67" s="10"/>
      <c r="AK67" s="10"/>
    </row>
    <row r="68" spans="1:37" x14ac:dyDescent="0.3">
      <c r="A68" s="6">
        <v>45098</v>
      </c>
      <c r="B68" s="11">
        <v>45098</v>
      </c>
      <c r="C68">
        <v>12077090</v>
      </c>
      <c r="D68" t="s">
        <v>275</v>
      </c>
      <c r="E68" t="s">
        <v>276</v>
      </c>
      <c r="F68" t="s">
        <v>277</v>
      </c>
      <c r="G68" s="8">
        <v>50</v>
      </c>
      <c r="H68" t="s">
        <v>28</v>
      </c>
      <c r="I68" s="10">
        <v>9.1555999999999997</v>
      </c>
      <c r="J68" s="10">
        <v>457.78</v>
      </c>
      <c r="K68">
        <v>9.16</v>
      </c>
      <c r="L68" t="s">
        <v>278</v>
      </c>
      <c r="M68" t="s">
        <v>67</v>
      </c>
      <c r="N68" t="s">
        <v>89</v>
      </c>
      <c r="O68" t="s">
        <v>32</v>
      </c>
      <c r="P68">
        <v>50</v>
      </c>
      <c r="Q68" t="s">
        <v>28</v>
      </c>
      <c r="R68">
        <v>470</v>
      </c>
      <c r="S68">
        <v>9.4</v>
      </c>
      <c r="T68" t="s">
        <v>33</v>
      </c>
      <c r="U68" t="s">
        <v>34</v>
      </c>
      <c r="V68">
        <v>12</v>
      </c>
      <c r="W68">
        <v>1207</v>
      </c>
      <c r="X68" s="17">
        <v>45085</v>
      </c>
      <c r="Y68">
        <v>77056708</v>
      </c>
      <c r="Z68" t="s">
        <v>279</v>
      </c>
      <c r="AC68" s="6"/>
      <c r="AH68" s="8"/>
      <c r="AJ68" s="10"/>
      <c r="AK68" s="10"/>
    </row>
    <row r="69" spans="1:37" x14ac:dyDescent="0.3">
      <c r="A69" s="6">
        <v>45105</v>
      </c>
      <c r="B69" s="11">
        <v>45105</v>
      </c>
      <c r="C69">
        <v>20081920</v>
      </c>
      <c r="D69" t="s">
        <v>280</v>
      </c>
      <c r="E69" t="s">
        <v>256</v>
      </c>
      <c r="F69" t="s">
        <v>281</v>
      </c>
      <c r="G69" s="8">
        <v>25</v>
      </c>
      <c r="H69" t="s">
        <v>28</v>
      </c>
      <c r="I69" s="10">
        <v>6.7464000000000004</v>
      </c>
      <c r="J69" s="10">
        <v>168.66</v>
      </c>
      <c r="K69">
        <v>6.75</v>
      </c>
      <c r="L69" t="s">
        <v>264</v>
      </c>
      <c r="M69" t="s">
        <v>265</v>
      </c>
      <c r="N69" t="s">
        <v>51</v>
      </c>
      <c r="O69" t="s">
        <v>32</v>
      </c>
      <c r="P69">
        <v>25</v>
      </c>
      <c r="Q69" t="s">
        <v>28</v>
      </c>
      <c r="R69">
        <v>171.75</v>
      </c>
      <c r="S69">
        <v>6.87</v>
      </c>
      <c r="T69" t="s">
        <v>33</v>
      </c>
      <c r="U69" t="s">
        <v>44</v>
      </c>
      <c r="V69">
        <v>20</v>
      </c>
      <c r="W69">
        <v>2008</v>
      </c>
      <c r="X69" s="17">
        <v>45086</v>
      </c>
      <c r="Y69">
        <v>76854351</v>
      </c>
      <c r="Z69" t="s">
        <v>259</v>
      </c>
      <c r="AC69" s="6"/>
      <c r="AH69" s="8"/>
      <c r="AJ69" s="10"/>
      <c r="AK69" s="10"/>
    </row>
    <row r="70" spans="1:37" x14ac:dyDescent="0.3">
      <c r="A70" s="6">
        <v>45113</v>
      </c>
      <c r="B70" s="11">
        <v>45113</v>
      </c>
      <c r="C70">
        <v>20081920</v>
      </c>
      <c r="D70" t="s">
        <v>282</v>
      </c>
      <c r="E70" t="s">
        <v>249</v>
      </c>
      <c r="F70" t="s">
        <v>283</v>
      </c>
      <c r="G70" s="8">
        <v>144</v>
      </c>
      <c r="H70" t="s">
        <v>28</v>
      </c>
      <c r="I70" s="10">
        <v>7.6675000000000004</v>
      </c>
      <c r="J70" s="10">
        <v>1104.1199999999999</v>
      </c>
      <c r="K70">
        <v>7.67</v>
      </c>
      <c r="L70" t="s">
        <v>284</v>
      </c>
      <c r="M70" t="s">
        <v>285</v>
      </c>
      <c r="N70" t="s">
        <v>89</v>
      </c>
      <c r="O70" t="s">
        <v>32</v>
      </c>
      <c r="P70">
        <v>144</v>
      </c>
      <c r="Q70" t="s">
        <v>28</v>
      </c>
      <c r="R70">
        <v>1029.5999999999999</v>
      </c>
      <c r="S70">
        <v>7.15</v>
      </c>
      <c r="T70" t="s">
        <v>286</v>
      </c>
      <c r="U70" t="s">
        <v>44</v>
      </c>
      <c r="V70">
        <v>20</v>
      </c>
      <c r="W70">
        <v>2008</v>
      </c>
      <c r="X70" s="17">
        <v>45108</v>
      </c>
      <c r="Y70">
        <v>82589791</v>
      </c>
      <c r="Z70" t="s">
        <v>253</v>
      </c>
      <c r="AC70" s="6"/>
      <c r="AH70" s="8"/>
      <c r="AJ70" s="10"/>
      <c r="AK70" s="10"/>
    </row>
    <row r="71" spans="1:37" x14ac:dyDescent="0.3">
      <c r="A71" s="6">
        <v>45129</v>
      </c>
      <c r="B71" s="11">
        <v>45129</v>
      </c>
      <c r="C71">
        <v>12129990</v>
      </c>
      <c r="D71" t="s">
        <v>220</v>
      </c>
      <c r="E71" t="s">
        <v>47</v>
      </c>
      <c r="F71" t="s">
        <v>74</v>
      </c>
      <c r="G71" s="8">
        <v>495</v>
      </c>
      <c r="H71" t="s">
        <v>28</v>
      </c>
      <c r="I71" s="10">
        <v>6.1080808080808078</v>
      </c>
      <c r="J71" s="10">
        <v>3023.5</v>
      </c>
      <c r="K71">
        <v>6.11</v>
      </c>
      <c r="L71" t="s">
        <v>49</v>
      </c>
      <c r="M71" t="s">
        <v>50</v>
      </c>
      <c r="N71" t="s">
        <v>51</v>
      </c>
      <c r="O71" t="s">
        <v>32</v>
      </c>
      <c r="P71">
        <v>495</v>
      </c>
      <c r="Q71" t="s">
        <v>28</v>
      </c>
      <c r="R71">
        <v>2400.75</v>
      </c>
      <c r="S71">
        <v>4.8499999999999996</v>
      </c>
      <c r="T71" t="s">
        <v>52</v>
      </c>
      <c r="U71" t="s">
        <v>95</v>
      </c>
      <c r="V71">
        <v>12</v>
      </c>
      <c r="W71">
        <v>1212</v>
      </c>
      <c r="X71" s="17">
        <v>45109</v>
      </c>
      <c r="Y71">
        <v>85026540</v>
      </c>
      <c r="Z71" t="s">
        <v>53</v>
      </c>
      <c r="AC71" s="6"/>
      <c r="AH71" s="8"/>
      <c r="AJ71" s="10"/>
      <c r="AK71" s="10"/>
    </row>
    <row r="72" spans="1:37" x14ac:dyDescent="0.3">
      <c r="A72" s="6">
        <v>45132</v>
      </c>
      <c r="B72" s="11">
        <v>45132</v>
      </c>
      <c r="C72">
        <v>12060010</v>
      </c>
      <c r="D72" t="s">
        <v>288</v>
      </c>
      <c r="E72" t="s">
        <v>233</v>
      </c>
      <c r="F72" t="s">
        <v>234</v>
      </c>
      <c r="G72" s="8">
        <v>200</v>
      </c>
      <c r="H72" t="s">
        <v>28</v>
      </c>
      <c r="I72" s="10">
        <v>6.8213499999999998</v>
      </c>
      <c r="J72" s="10">
        <v>1364.27</v>
      </c>
      <c r="K72">
        <v>6.82</v>
      </c>
      <c r="L72" t="s">
        <v>289</v>
      </c>
      <c r="M72" t="s">
        <v>236</v>
      </c>
      <c r="N72" t="s">
        <v>51</v>
      </c>
      <c r="O72" t="s">
        <v>32</v>
      </c>
      <c r="P72">
        <v>200</v>
      </c>
      <c r="Q72" t="s">
        <v>28</v>
      </c>
      <c r="R72">
        <v>1370</v>
      </c>
      <c r="S72">
        <v>6.85</v>
      </c>
      <c r="T72" t="s">
        <v>33</v>
      </c>
      <c r="U72" t="s">
        <v>215</v>
      </c>
      <c r="V72">
        <v>12</v>
      </c>
      <c r="W72">
        <v>1206</v>
      </c>
      <c r="X72" s="17">
        <v>45110</v>
      </c>
      <c r="Y72">
        <v>86129046</v>
      </c>
      <c r="Z72" t="s">
        <v>237</v>
      </c>
      <c r="AC72" s="6"/>
      <c r="AH72" s="8"/>
      <c r="AJ72" s="10"/>
      <c r="AK72" s="10"/>
    </row>
    <row r="73" spans="1:37" x14ac:dyDescent="0.3">
      <c r="A73" s="6">
        <v>45141</v>
      </c>
      <c r="B73" s="11">
        <v>45141</v>
      </c>
      <c r="C73">
        <v>20081920</v>
      </c>
      <c r="D73" t="s">
        <v>290</v>
      </c>
      <c r="E73" t="s">
        <v>291</v>
      </c>
      <c r="F73" t="s">
        <v>292</v>
      </c>
      <c r="G73" s="8">
        <v>15</v>
      </c>
      <c r="H73" t="s">
        <v>28</v>
      </c>
      <c r="I73" s="10">
        <v>4.0233333333333334</v>
      </c>
      <c r="J73" s="10">
        <v>60.35</v>
      </c>
      <c r="K73">
        <v>4.0199999999999996</v>
      </c>
      <c r="L73" t="s">
        <v>293</v>
      </c>
      <c r="M73" t="s">
        <v>50</v>
      </c>
      <c r="N73" t="s">
        <v>294</v>
      </c>
      <c r="O73" t="s">
        <v>202</v>
      </c>
      <c r="P73">
        <v>15</v>
      </c>
      <c r="Q73" t="s">
        <v>28</v>
      </c>
      <c r="R73">
        <v>72</v>
      </c>
      <c r="S73">
        <v>4.8</v>
      </c>
      <c r="T73" t="s">
        <v>33</v>
      </c>
      <c r="U73" t="s">
        <v>44</v>
      </c>
      <c r="V73">
        <v>20</v>
      </c>
      <c r="W73">
        <v>2008</v>
      </c>
      <c r="X73" s="17">
        <v>45139</v>
      </c>
      <c r="Y73">
        <v>95288882</v>
      </c>
      <c r="Z73" t="s">
        <v>296</v>
      </c>
      <c r="AC73" s="6"/>
      <c r="AH73" s="8"/>
      <c r="AJ73" s="10"/>
      <c r="AK73" s="10"/>
    </row>
    <row r="74" spans="1:37" x14ac:dyDescent="0.3">
      <c r="A74" s="6">
        <v>45145</v>
      </c>
      <c r="B74" s="11">
        <v>45145</v>
      </c>
      <c r="C74">
        <v>20081920</v>
      </c>
      <c r="D74" t="s">
        <v>297</v>
      </c>
      <c r="E74" t="s">
        <v>204</v>
      </c>
      <c r="F74" t="s">
        <v>205</v>
      </c>
      <c r="G74" s="8">
        <v>260</v>
      </c>
      <c r="H74" t="s">
        <v>28</v>
      </c>
      <c r="I74" s="10">
        <v>6.7020769230769233</v>
      </c>
      <c r="J74" s="10">
        <v>1742.54</v>
      </c>
      <c r="K74">
        <v>6.7</v>
      </c>
      <c r="L74" t="s">
        <v>40</v>
      </c>
      <c r="M74" t="s">
        <v>41</v>
      </c>
      <c r="N74" t="s">
        <v>51</v>
      </c>
      <c r="O74" t="s">
        <v>32</v>
      </c>
      <c r="P74">
        <v>260</v>
      </c>
      <c r="Q74" t="s">
        <v>28</v>
      </c>
      <c r="R74">
        <v>1768</v>
      </c>
      <c r="S74">
        <v>6.8</v>
      </c>
      <c r="T74" t="s">
        <v>33</v>
      </c>
      <c r="U74" t="s">
        <v>44</v>
      </c>
      <c r="V74">
        <v>20</v>
      </c>
      <c r="W74">
        <v>2008</v>
      </c>
      <c r="X74" s="17">
        <v>45140</v>
      </c>
      <c r="Y74">
        <v>95272033</v>
      </c>
      <c r="Z74" t="s">
        <v>206</v>
      </c>
      <c r="AC74" s="6"/>
      <c r="AH74" s="8"/>
      <c r="AJ74" s="10"/>
      <c r="AK74" s="10"/>
    </row>
    <row r="75" spans="1:37" x14ac:dyDescent="0.3">
      <c r="A75" s="6">
        <v>45149</v>
      </c>
      <c r="B75" s="11">
        <v>45149</v>
      </c>
      <c r="C75">
        <v>20081920</v>
      </c>
      <c r="D75" t="s">
        <v>298</v>
      </c>
      <c r="E75" t="s">
        <v>78</v>
      </c>
      <c r="F75" t="s">
        <v>79</v>
      </c>
      <c r="G75" s="8">
        <v>200</v>
      </c>
      <c r="H75" t="s">
        <v>28</v>
      </c>
      <c r="I75" s="10">
        <v>5.9709500000000002</v>
      </c>
      <c r="J75" s="10">
        <v>1194.19</v>
      </c>
      <c r="K75">
        <v>5.97</v>
      </c>
      <c r="L75" t="s">
        <v>80</v>
      </c>
      <c r="M75" t="s">
        <v>81</v>
      </c>
      <c r="N75" t="s">
        <v>51</v>
      </c>
      <c r="O75" t="s">
        <v>32</v>
      </c>
      <c r="P75">
        <v>200</v>
      </c>
      <c r="Q75" t="s">
        <v>28</v>
      </c>
      <c r="R75">
        <v>1220</v>
      </c>
      <c r="S75">
        <v>6.1</v>
      </c>
      <c r="T75" t="s">
        <v>33</v>
      </c>
      <c r="U75" t="s">
        <v>44</v>
      </c>
      <c r="V75">
        <v>20</v>
      </c>
      <c r="W75">
        <v>2008</v>
      </c>
      <c r="X75" s="17">
        <v>45141</v>
      </c>
      <c r="Y75">
        <v>95916959</v>
      </c>
      <c r="Z75" t="s">
        <v>83</v>
      </c>
      <c r="AC75" s="6"/>
      <c r="AH75" s="8"/>
      <c r="AJ75" s="10"/>
      <c r="AK75" s="10"/>
    </row>
    <row r="76" spans="1:37" x14ac:dyDescent="0.3">
      <c r="A76" s="6">
        <v>45163</v>
      </c>
      <c r="B76" s="11">
        <v>45163</v>
      </c>
      <c r="C76">
        <v>20081920</v>
      </c>
      <c r="D76" t="s">
        <v>299</v>
      </c>
      <c r="E76" t="s">
        <v>249</v>
      </c>
      <c r="F76" t="s">
        <v>283</v>
      </c>
      <c r="G76" s="8">
        <v>144</v>
      </c>
      <c r="H76" t="s">
        <v>28</v>
      </c>
      <c r="I76" s="10">
        <v>8.0097916666666666</v>
      </c>
      <c r="J76" s="10">
        <v>1153.4100000000001</v>
      </c>
      <c r="K76">
        <v>8.01</v>
      </c>
      <c r="L76" t="s">
        <v>284</v>
      </c>
      <c r="M76" t="s">
        <v>285</v>
      </c>
      <c r="N76" t="s">
        <v>89</v>
      </c>
      <c r="O76" t="s">
        <v>32</v>
      </c>
      <c r="P76">
        <v>144</v>
      </c>
      <c r="Q76" t="s">
        <v>28</v>
      </c>
      <c r="R76">
        <v>1072.8</v>
      </c>
      <c r="S76">
        <v>7.45</v>
      </c>
      <c r="T76" t="s">
        <v>286</v>
      </c>
      <c r="U76" t="s">
        <v>44</v>
      </c>
      <c r="V76">
        <v>20</v>
      </c>
      <c r="W76">
        <v>2008</v>
      </c>
      <c r="X76" s="17">
        <v>45142</v>
      </c>
      <c r="Y76">
        <v>98096635</v>
      </c>
      <c r="Z76" t="s">
        <v>253</v>
      </c>
      <c r="AC76" s="6"/>
      <c r="AH76" s="8"/>
      <c r="AJ76" s="10"/>
      <c r="AK76" s="10"/>
    </row>
    <row r="77" spans="1:37" x14ac:dyDescent="0.3">
      <c r="A77" s="6">
        <v>45170</v>
      </c>
      <c r="B77" s="11">
        <v>45170</v>
      </c>
      <c r="C77">
        <v>12060010</v>
      </c>
      <c r="D77" t="s">
        <v>300</v>
      </c>
      <c r="E77" t="s">
        <v>301</v>
      </c>
      <c r="F77" t="s">
        <v>302</v>
      </c>
      <c r="G77" s="8">
        <v>225</v>
      </c>
      <c r="H77" t="s">
        <v>28</v>
      </c>
      <c r="I77" s="10">
        <v>7.2307111111111118</v>
      </c>
      <c r="J77" s="10">
        <v>1626.91</v>
      </c>
      <c r="K77">
        <v>7.23</v>
      </c>
      <c r="L77" t="s">
        <v>103</v>
      </c>
      <c r="M77" t="s">
        <v>104</v>
      </c>
      <c r="N77" t="s">
        <v>89</v>
      </c>
      <c r="O77" t="s">
        <v>32</v>
      </c>
      <c r="P77">
        <v>225</v>
      </c>
      <c r="Q77" t="s">
        <v>28</v>
      </c>
      <c r="R77">
        <v>1626.75</v>
      </c>
      <c r="S77">
        <v>7.23</v>
      </c>
      <c r="T77" t="s">
        <v>33</v>
      </c>
      <c r="U77" t="s">
        <v>215</v>
      </c>
      <c r="V77">
        <v>12</v>
      </c>
      <c r="W77">
        <v>1206</v>
      </c>
      <c r="X77" s="17">
        <v>45170</v>
      </c>
      <c r="Y77">
        <v>104596569</v>
      </c>
      <c r="Z77" t="s">
        <v>304</v>
      </c>
      <c r="AC77" s="6"/>
      <c r="AH77" s="8"/>
      <c r="AJ77" s="10"/>
      <c r="AK77" s="10"/>
    </row>
    <row r="78" spans="1:37" x14ac:dyDescent="0.3">
      <c r="A78" s="6">
        <v>45174</v>
      </c>
      <c r="B78" s="11">
        <v>45174</v>
      </c>
      <c r="C78">
        <v>20081920</v>
      </c>
      <c r="D78" t="s">
        <v>305</v>
      </c>
      <c r="E78" t="s">
        <v>204</v>
      </c>
      <c r="F78" t="s">
        <v>205</v>
      </c>
      <c r="G78" s="8">
        <v>120</v>
      </c>
      <c r="H78" t="s">
        <v>28</v>
      </c>
      <c r="I78" s="10">
        <v>6.6565833333333329</v>
      </c>
      <c r="J78" s="10">
        <v>798.79</v>
      </c>
      <c r="K78">
        <v>6.66</v>
      </c>
      <c r="L78" t="s">
        <v>40</v>
      </c>
      <c r="M78" t="s">
        <v>41</v>
      </c>
      <c r="N78" t="s">
        <v>51</v>
      </c>
      <c r="O78" t="s">
        <v>32</v>
      </c>
      <c r="P78">
        <v>120</v>
      </c>
      <c r="Q78" t="s">
        <v>28</v>
      </c>
      <c r="R78">
        <v>826.8</v>
      </c>
      <c r="S78">
        <v>6.89</v>
      </c>
      <c r="T78" t="s">
        <v>33</v>
      </c>
      <c r="U78" t="s">
        <v>44</v>
      </c>
      <c r="V78">
        <v>20</v>
      </c>
      <c r="W78">
        <v>2008</v>
      </c>
      <c r="X78" s="17">
        <v>45171</v>
      </c>
      <c r="Y78">
        <v>104230196</v>
      </c>
      <c r="Z78" t="s">
        <v>206</v>
      </c>
      <c r="AC78" s="6"/>
      <c r="AH78" s="8"/>
      <c r="AJ78" s="10"/>
      <c r="AK78" s="10"/>
    </row>
    <row r="79" spans="1:37" x14ac:dyDescent="0.3">
      <c r="A79" s="6">
        <v>45174</v>
      </c>
      <c r="B79" s="11">
        <v>45174</v>
      </c>
      <c r="C79">
        <v>21069099</v>
      </c>
      <c r="D79" t="s">
        <v>306</v>
      </c>
      <c r="E79" t="s">
        <v>301</v>
      </c>
      <c r="F79" t="s">
        <v>307</v>
      </c>
      <c r="G79" s="8">
        <v>225</v>
      </c>
      <c r="H79" t="s">
        <v>28</v>
      </c>
      <c r="I79" s="10">
        <v>7.2307111111111118</v>
      </c>
      <c r="J79" s="10">
        <v>1626.91</v>
      </c>
      <c r="K79">
        <v>7.23</v>
      </c>
      <c r="L79" t="s">
        <v>103</v>
      </c>
      <c r="M79" t="s">
        <v>104</v>
      </c>
      <c r="N79" t="s">
        <v>89</v>
      </c>
      <c r="O79" t="s">
        <v>32</v>
      </c>
      <c r="P79">
        <v>225</v>
      </c>
      <c r="Q79" t="s">
        <v>28</v>
      </c>
      <c r="R79">
        <v>1626.75</v>
      </c>
      <c r="S79">
        <v>7.23</v>
      </c>
      <c r="T79" t="s">
        <v>33</v>
      </c>
      <c r="U79" t="s">
        <v>308</v>
      </c>
      <c r="V79">
        <v>21</v>
      </c>
      <c r="W79">
        <v>2106</v>
      </c>
      <c r="X79" s="17">
        <v>45172</v>
      </c>
      <c r="Y79">
        <v>103559717</v>
      </c>
      <c r="Z79" t="s">
        <v>304</v>
      </c>
      <c r="AC79" s="6"/>
      <c r="AH79" s="8"/>
      <c r="AJ79" s="10"/>
      <c r="AK79" s="10"/>
    </row>
    <row r="80" spans="1:37" x14ac:dyDescent="0.3">
      <c r="A80" s="6">
        <v>45175</v>
      </c>
      <c r="B80" s="11">
        <v>45175</v>
      </c>
      <c r="C80">
        <v>7099310</v>
      </c>
      <c r="D80" t="s">
        <v>177</v>
      </c>
      <c r="E80" t="s">
        <v>213</v>
      </c>
      <c r="F80" t="s">
        <v>309</v>
      </c>
      <c r="G80" s="8">
        <v>20</v>
      </c>
      <c r="H80" t="s">
        <v>28</v>
      </c>
      <c r="I80" s="10">
        <v>5.3650000000000002</v>
      </c>
      <c r="J80" s="10">
        <v>107.3</v>
      </c>
      <c r="K80">
        <v>5.37</v>
      </c>
      <c r="L80" t="s">
        <v>149</v>
      </c>
      <c r="M80" t="s">
        <v>150</v>
      </c>
      <c r="N80" t="s">
        <v>174</v>
      </c>
      <c r="O80" t="s">
        <v>32</v>
      </c>
      <c r="P80">
        <v>20</v>
      </c>
      <c r="Q80" t="s">
        <v>28</v>
      </c>
      <c r="R80">
        <v>114</v>
      </c>
      <c r="S80">
        <v>5.7</v>
      </c>
      <c r="T80" t="s">
        <v>33</v>
      </c>
      <c r="U80" t="s">
        <v>169</v>
      </c>
      <c r="V80">
        <v>7</v>
      </c>
      <c r="W80">
        <v>709</v>
      </c>
      <c r="X80" s="17">
        <v>45173</v>
      </c>
      <c r="Y80">
        <v>103935742</v>
      </c>
      <c r="Z80" t="s">
        <v>217</v>
      </c>
      <c r="AC80" s="6"/>
      <c r="AH80" s="8"/>
      <c r="AJ80" s="10"/>
      <c r="AK80" s="10"/>
    </row>
    <row r="81" spans="1:37" x14ac:dyDescent="0.3">
      <c r="A81" s="6">
        <v>45182</v>
      </c>
      <c r="B81" s="11">
        <v>45182</v>
      </c>
      <c r="C81">
        <v>20089300</v>
      </c>
      <c r="D81" t="s">
        <v>177</v>
      </c>
      <c r="E81" t="s">
        <v>310</v>
      </c>
      <c r="F81" t="s">
        <v>311</v>
      </c>
      <c r="G81" s="8">
        <v>25</v>
      </c>
      <c r="H81" t="s">
        <v>28</v>
      </c>
      <c r="I81" s="10">
        <v>1.9076</v>
      </c>
      <c r="J81" s="10">
        <v>47.69</v>
      </c>
      <c r="K81">
        <v>1.91</v>
      </c>
      <c r="L81" t="s">
        <v>135</v>
      </c>
      <c r="M81" t="s">
        <v>136</v>
      </c>
      <c r="N81" t="s">
        <v>137</v>
      </c>
      <c r="O81" t="s">
        <v>60</v>
      </c>
      <c r="P81">
        <v>25</v>
      </c>
      <c r="Q81" t="s">
        <v>28</v>
      </c>
      <c r="R81">
        <v>3750</v>
      </c>
      <c r="S81">
        <v>150</v>
      </c>
      <c r="T81" t="s">
        <v>114</v>
      </c>
      <c r="U81" t="s">
        <v>44</v>
      </c>
      <c r="V81">
        <v>20</v>
      </c>
      <c r="W81">
        <v>2008</v>
      </c>
      <c r="X81" s="17">
        <v>45174</v>
      </c>
      <c r="Y81">
        <v>111543800</v>
      </c>
      <c r="Z81" t="s">
        <v>312</v>
      </c>
      <c r="AC81" s="6"/>
      <c r="AH81" s="8"/>
      <c r="AJ81" s="10"/>
      <c r="AK81" s="10"/>
    </row>
    <row r="82" spans="1:37" x14ac:dyDescent="0.3">
      <c r="A82" s="6">
        <v>45186</v>
      </c>
      <c r="B82" s="11">
        <v>45186</v>
      </c>
      <c r="C82">
        <v>20081920</v>
      </c>
      <c r="D82" t="s">
        <v>132</v>
      </c>
      <c r="E82" t="s">
        <v>313</v>
      </c>
      <c r="F82" t="s">
        <v>314</v>
      </c>
      <c r="G82" s="8">
        <v>1000</v>
      </c>
      <c r="H82" t="s">
        <v>28</v>
      </c>
      <c r="I82" s="10">
        <v>6.0705600000000004</v>
      </c>
      <c r="J82" s="10">
        <v>6070.56</v>
      </c>
      <c r="K82">
        <v>6.07</v>
      </c>
      <c r="L82" t="s">
        <v>315</v>
      </c>
      <c r="M82" t="s">
        <v>316</v>
      </c>
      <c r="N82" t="s">
        <v>317</v>
      </c>
      <c r="O82" t="s">
        <v>60</v>
      </c>
      <c r="P82">
        <v>1000</v>
      </c>
      <c r="Q82" t="s">
        <v>28</v>
      </c>
      <c r="R82">
        <v>500000</v>
      </c>
      <c r="S82">
        <v>500</v>
      </c>
      <c r="T82" t="s">
        <v>114</v>
      </c>
      <c r="U82" t="s">
        <v>44</v>
      </c>
      <c r="V82">
        <v>20</v>
      </c>
      <c r="W82">
        <v>2008</v>
      </c>
      <c r="X82" s="17">
        <v>45175</v>
      </c>
      <c r="Y82">
        <v>105353220</v>
      </c>
      <c r="Z82" t="s">
        <v>318</v>
      </c>
      <c r="AC82" s="6"/>
      <c r="AH82" s="8"/>
      <c r="AJ82" s="10"/>
      <c r="AK82" s="10"/>
    </row>
    <row r="83" spans="1:37" x14ac:dyDescent="0.3">
      <c r="A83" s="6">
        <v>45190</v>
      </c>
      <c r="B83" s="11">
        <v>45190</v>
      </c>
      <c r="C83">
        <v>20081920</v>
      </c>
      <c r="D83" t="s">
        <v>319</v>
      </c>
      <c r="E83" t="s">
        <v>256</v>
      </c>
      <c r="F83" t="s">
        <v>320</v>
      </c>
      <c r="G83" s="8">
        <v>50</v>
      </c>
      <c r="H83" t="s">
        <v>28</v>
      </c>
      <c r="I83" s="10">
        <v>5.4842000000000004</v>
      </c>
      <c r="J83" s="10">
        <v>274.20999999999998</v>
      </c>
      <c r="K83">
        <v>5.48</v>
      </c>
      <c r="L83" t="s">
        <v>189</v>
      </c>
      <c r="M83" t="s">
        <v>190</v>
      </c>
      <c r="N83" t="s">
        <v>51</v>
      </c>
      <c r="O83" t="s">
        <v>32</v>
      </c>
      <c r="P83">
        <v>50</v>
      </c>
      <c r="Q83" t="s">
        <v>28</v>
      </c>
      <c r="R83">
        <v>281</v>
      </c>
      <c r="S83">
        <v>5.62</v>
      </c>
      <c r="T83" t="s">
        <v>33</v>
      </c>
      <c r="U83" t="s">
        <v>44</v>
      </c>
      <c r="V83">
        <v>20</v>
      </c>
      <c r="W83">
        <v>2008</v>
      </c>
      <c r="X83" s="17">
        <v>45176</v>
      </c>
      <c r="Y83">
        <v>106668904</v>
      </c>
      <c r="Z83" t="s">
        <v>259</v>
      </c>
      <c r="AC83" s="6"/>
      <c r="AH83" s="8"/>
      <c r="AJ83" s="10"/>
      <c r="AK83" s="10"/>
    </row>
    <row r="84" spans="1:37" x14ac:dyDescent="0.3">
      <c r="A84" s="6">
        <v>45199</v>
      </c>
      <c r="B84" s="11">
        <v>45199</v>
      </c>
      <c r="C84">
        <v>20081920</v>
      </c>
      <c r="D84" t="s">
        <v>132</v>
      </c>
      <c r="E84" t="s">
        <v>313</v>
      </c>
      <c r="F84" t="s">
        <v>321</v>
      </c>
      <c r="G84" s="8">
        <v>1000</v>
      </c>
      <c r="H84" t="s">
        <v>28</v>
      </c>
      <c r="I84" s="10">
        <v>6.06318</v>
      </c>
      <c r="J84" s="10">
        <v>6063.18</v>
      </c>
      <c r="K84">
        <v>6.06</v>
      </c>
      <c r="L84" t="s">
        <v>322</v>
      </c>
      <c r="M84" t="s">
        <v>316</v>
      </c>
      <c r="N84" t="s">
        <v>323</v>
      </c>
      <c r="O84" t="s">
        <v>60</v>
      </c>
      <c r="P84">
        <v>1000</v>
      </c>
      <c r="Q84" t="s">
        <v>28</v>
      </c>
      <c r="R84">
        <v>500000</v>
      </c>
      <c r="S84">
        <v>500</v>
      </c>
      <c r="T84" t="s">
        <v>114</v>
      </c>
      <c r="U84" t="s">
        <v>44</v>
      </c>
      <c r="V84">
        <v>20</v>
      </c>
      <c r="W84">
        <v>2008</v>
      </c>
      <c r="X84" s="17">
        <v>45177</v>
      </c>
      <c r="Y84">
        <v>111465557</v>
      </c>
      <c r="Z84" t="s">
        <v>318</v>
      </c>
      <c r="AC84" s="6"/>
      <c r="AH84" s="8"/>
      <c r="AJ84" s="10"/>
      <c r="AK84" s="10"/>
    </row>
    <row r="85" spans="1:37" x14ac:dyDescent="0.3">
      <c r="A85" s="6">
        <v>45203</v>
      </c>
      <c r="B85" s="11">
        <v>45203</v>
      </c>
      <c r="C85">
        <v>20081930</v>
      </c>
      <c r="D85" t="s">
        <v>324</v>
      </c>
      <c r="E85" t="s">
        <v>325</v>
      </c>
      <c r="F85" t="s">
        <v>326</v>
      </c>
      <c r="G85" s="8">
        <v>0.2</v>
      </c>
      <c r="H85" t="s">
        <v>28</v>
      </c>
      <c r="I85" s="10">
        <v>0</v>
      </c>
      <c r="J85" s="10">
        <v>0</v>
      </c>
      <c r="K85">
        <v>0</v>
      </c>
      <c r="L85" t="s">
        <v>80</v>
      </c>
      <c r="M85" t="s">
        <v>81</v>
      </c>
      <c r="N85" t="s">
        <v>51</v>
      </c>
      <c r="O85" t="s">
        <v>32</v>
      </c>
      <c r="P85">
        <v>0.2</v>
      </c>
      <c r="Q85" t="s">
        <v>28</v>
      </c>
      <c r="R85">
        <v>0.1</v>
      </c>
      <c r="S85">
        <v>0.5</v>
      </c>
      <c r="T85" t="s">
        <v>33</v>
      </c>
      <c r="U85" t="s">
        <v>44</v>
      </c>
      <c r="V85">
        <v>20</v>
      </c>
      <c r="W85">
        <v>2008</v>
      </c>
      <c r="X85" s="17">
        <v>45200</v>
      </c>
      <c r="Y85">
        <v>113205020</v>
      </c>
      <c r="Z85" t="s">
        <v>328</v>
      </c>
      <c r="AC85" s="6"/>
      <c r="AH85" s="8"/>
      <c r="AJ85" s="10"/>
      <c r="AK85" s="10"/>
    </row>
    <row r="86" spans="1:37" x14ac:dyDescent="0.3">
      <c r="A86" s="6">
        <v>45206</v>
      </c>
      <c r="B86" s="11">
        <v>45206</v>
      </c>
      <c r="C86">
        <v>12129990</v>
      </c>
      <c r="D86" t="s">
        <v>220</v>
      </c>
      <c r="E86" t="s">
        <v>47</v>
      </c>
      <c r="F86" t="s">
        <v>74</v>
      </c>
      <c r="G86" s="8">
        <v>240</v>
      </c>
      <c r="H86" t="s">
        <v>28</v>
      </c>
      <c r="I86" s="10">
        <v>5.9044166666666662</v>
      </c>
      <c r="J86" s="10">
        <v>1417.06</v>
      </c>
      <c r="K86">
        <v>5.9</v>
      </c>
      <c r="L86" t="s">
        <v>75</v>
      </c>
      <c r="M86" t="s">
        <v>50</v>
      </c>
      <c r="N86" t="s">
        <v>51</v>
      </c>
      <c r="O86" t="s">
        <v>32</v>
      </c>
      <c r="P86">
        <v>240</v>
      </c>
      <c r="Q86" t="s">
        <v>28</v>
      </c>
      <c r="R86">
        <v>1200</v>
      </c>
      <c r="S86">
        <v>5</v>
      </c>
      <c r="T86" t="s">
        <v>52</v>
      </c>
      <c r="U86" t="s">
        <v>95</v>
      </c>
      <c r="V86">
        <v>12</v>
      </c>
      <c r="W86">
        <v>1212</v>
      </c>
      <c r="X86" s="17">
        <v>45201</v>
      </c>
      <c r="Y86">
        <v>112513283</v>
      </c>
      <c r="Z86" t="s">
        <v>53</v>
      </c>
      <c r="AC86" s="6"/>
      <c r="AH86" s="8"/>
      <c r="AJ86" s="10"/>
      <c r="AK86" s="10"/>
    </row>
    <row r="87" spans="1:37" x14ac:dyDescent="0.3">
      <c r="A87" s="6">
        <v>45210</v>
      </c>
      <c r="B87" s="11">
        <v>45210</v>
      </c>
      <c r="C87">
        <v>20081920</v>
      </c>
      <c r="D87" t="s">
        <v>132</v>
      </c>
      <c r="E87" t="s">
        <v>313</v>
      </c>
      <c r="F87" t="s">
        <v>329</v>
      </c>
      <c r="G87" s="8">
        <v>500</v>
      </c>
      <c r="H87" t="s">
        <v>28</v>
      </c>
      <c r="I87" s="10">
        <v>6.0558199999999998</v>
      </c>
      <c r="J87" s="10">
        <v>3027.91</v>
      </c>
      <c r="K87">
        <v>6.06</v>
      </c>
      <c r="L87" t="s">
        <v>315</v>
      </c>
      <c r="M87" t="s">
        <v>316</v>
      </c>
      <c r="N87" t="s">
        <v>317</v>
      </c>
      <c r="O87" t="s">
        <v>60</v>
      </c>
      <c r="P87">
        <v>500</v>
      </c>
      <c r="Q87" t="s">
        <v>28</v>
      </c>
      <c r="R87">
        <v>250000</v>
      </c>
      <c r="S87">
        <v>500</v>
      </c>
      <c r="T87" t="s">
        <v>114</v>
      </c>
      <c r="U87" t="s">
        <v>44</v>
      </c>
      <c r="V87">
        <v>20</v>
      </c>
      <c r="W87">
        <v>2008</v>
      </c>
      <c r="X87" s="17">
        <v>45202</v>
      </c>
      <c r="Y87">
        <v>114776643</v>
      </c>
      <c r="Z87" t="s">
        <v>318</v>
      </c>
      <c r="AC87" s="6"/>
      <c r="AH87" s="8"/>
      <c r="AJ87" s="10"/>
      <c r="AK87" s="10"/>
    </row>
    <row r="88" spans="1:37" x14ac:dyDescent="0.3">
      <c r="A88" s="6">
        <v>45211</v>
      </c>
      <c r="B88" s="11">
        <v>45211</v>
      </c>
      <c r="C88">
        <v>20081990</v>
      </c>
      <c r="D88" t="s">
        <v>330</v>
      </c>
      <c r="E88" t="s">
        <v>331</v>
      </c>
      <c r="F88" t="s">
        <v>326</v>
      </c>
      <c r="G88" s="8">
        <v>120</v>
      </c>
      <c r="H88" t="s">
        <v>28</v>
      </c>
      <c r="I88" s="10">
        <v>8.8818333333333328</v>
      </c>
      <c r="J88" s="10">
        <v>1065.82</v>
      </c>
      <c r="K88">
        <v>8.8800000000000008</v>
      </c>
      <c r="L88" t="s">
        <v>80</v>
      </c>
      <c r="M88" t="s">
        <v>81</v>
      </c>
      <c r="N88" t="s">
        <v>51</v>
      </c>
      <c r="O88" t="s">
        <v>32</v>
      </c>
      <c r="P88">
        <v>120</v>
      </c>
      <c r="Q88" t="s">
        <v>28</v>
      </c>
      <c r="R88">
        <v>1065.5999999999999</v>
      </c>
      <c r="S88">
        <v>8.8800000000000008</v>
      </c>
      <c r="T88" t="s">
        <v>33</v>
      </c>
      <c r="U88" t="s">
        <v>44</v>
      </c>
      <c r="V88">
        <v>20</v>
      </c>
      <c r="W88">
        <v>2008</v>
      </c>
      <c r="X88" s="17">
        <v>45203</v>
      </c>
      <c r="Y88">
        <v>113366412</v>
      </c>
      <c r="Z88" t="s">
        <v>332</v>
      </c>
      <c r="AC88" s="6"/>
      <c r="AH88" s="8"/>
      <c r="AJ88" s="10"/>
      <c r="AK88" s="10"/>
    </row>
    <row r="89" spans="1:37" x14ac:dyDescent="0.3">
      <c r="A89" s="6">
        <v>45216</v>
      </c>
      <c r="B89" s="11">
        <v>45216</v>
      </c>
      <c r="C89">
        <v>20081920</v>
      </c>
      <c r="D89" t="s">
        <v>132</v>
      </c>
      <c r="E89" t="s">
        <v>313</v>
      </c>
      <c r="F89" t="s">
        <v>314</v>
      </c>
      <c r="G89" s="8">
        <v>1000</v>
      </c>
      <c r="H89" t="s">
        <v>28</v>
      </c>
      <c r="I89" s="10">
        <v>6.0558199999999998</v>
      </c>
      <c r="J89" s="10">
        <v>6055.82</v>
      </c>
      <c r="K89">
        <v>6.06</v>
      </c>
      <c r="L89" t="s">
        <v>315</v>
      </c>
      <c r="M89" t="s">
        <v>316</v>
      </c>
      <c r="N89" t="s">
        <v>317</v>
      </c>
      <c r="O89" t="s">
        <v>60</v>
      </c>
      <c r="P89">
        <v>1000</v>
      </c>
      <c r="Q89" t="s">
        <v>28</v>
      </c>
      <c r="R89">
        <v>500000</v>
      </c>
      <c r="S89">
        <v>500</v>
      </c>
      <c r="T89" t="s">
        <v>114</v>
      </c>
      <c r="U89" t="s">
        <v>44</v>
      </c>
      <c r="V89">
        <v>20</v>
      </c>
      <c r="W89">
        <v>2008</v>
      </c>
      <c r="X89" s="17">
        <v>45204</v>
      </c>
      <c r="Y89">
        <v>113405415</v>
      </c>
      <c r="Z89" t="s">
        <v>318</v>
      </c>
      <c r="AC89" s="6"/>
      <c r="AH89" s="8"/>
      <c r="AJ89" s="10"/>
      <c r="AK89" s="10"/>
    </row>
    <row r="90" spans="1:37" x14ac:dyDescent="0.3">
      <c r="A90" s="6">
        <v>45217</v>
      </c>
      <c r="B90" s="11">
        <v>45217</v>
      </c>
      <c r="C90">
        <v>20081990</v>
      </c>
      <c r="D90" t="s">
        <v>333</v>
      </c>
      <c r="E90" t="s">
        <v>261</v>
      </c>
      <c r="F90" t="s">
        <v>79</v>
      </c>
      <c r="G90" s="8">
        <v>1250</v>
      </c>
      <c r="H90" t="s">
        <v>28</v>
      </c>
      <c r="I90" s="10">
        <v>5.4841519999999999</v>
      </c>
      <c r="J90" s="10">
        <v>6855.19</v>
      </c>
      <c r="K90">
        <v>5484.15</v>
      </c>
      <c r="L90" t="s">
        <v>334</v>
      </c>
      <c r="M90" t="s">
        <v>335</v>
      </c>
      <c r="N90" t="s">
        <v>89</v>
      </c>
      <c r="O90" t="s">
        <v>32</v>
      </c>
      <c r="P90">
        <v>1.25</v>
      </c>
      <c r="Q90" t="s">
        <v>43</v>
      </c>
      <c r="R90">
        <v>7050</v>
      </c>
      <c r="S90">
        <v>5640</v>
      </c>
      <c r="T90" t="s">
        <v>33</v>
      </c>
      <c r="U90" t="s">
        <v>44</v>
      </c>
      <c r="V90">
        <v>20</v>
      </c>
      <c r="W90">
        <v>2008</v>
      </c>
      <c r="X90" s="17">
        <v>45205</v>
      </c>
      <c r="Y90">
        <v>114490323</v>
      </c>
      <c r="Z90" t="s">
        <v>262</v>
      </c>
      <c r="AC90" s="6"/>
      <c r="AH90" s="8"/>
      <c r="AJ90" s="10"/>
      <c r="AK90" s="10"/>
    </row>
    <row r="91" spans="1:37" x14ac:dyDescent="0.3">
      <c r="A91" s="6">
        <v>45229</v>
      </c>
      <c r="B91" s="11">
        <v>45229</v>
      </c>
      <c r="C91">
        <v>20081920</v>
      </c>
      <c r="D91" t="s">
        <v>132</v>
      </c>
      <c r="E91" t="s">
        <v>336</v>
      </c>
      <c r="F91" t="s">
        <v>337</v>
      </c>
      <c r="G91" s="8">
        <v>101.75</v>
      </c>
      <c r="H91" t="s">
        <v>28</v>
      </c>
      <c r="I91" s="10">
        <v>3.8549385749385752</v>
      </c>
      <c r="J91" s="10">
        <v>392.24</v>
      </c>
      <c r="K91">
        <v>3.85</v>
      </c>
      <c r="L91" t="s">
        <v>278</v>
      </c>
      <c r="M91" t="s">
        <v>67</v>
      </c>
      <c r="N91" t="s">
        <v>42</v>
      </c>
      <c r="O91" t="s">
        <v>32</v>
      </c>
      <c r="P91">
        <v>101.75</v>
      </c>
      <c r="Q91" t="s">
        <v>28</v>
      </c>
      <c r="R91">
        <v>33432</v>
      </c>
      <c r="S91">
        <v>328.57</v>
      </c>
      <c r="T91" t="s">
        <v>114</v>
      </c>
      <c r="U91" t="s">
        <v>44</v>
      </c>
      <c r="V91">
        <v>20</v>
      </c>
      <c r="W91">
        <v>2008</v>
      </c>
      <c r="X91" s="17">
        <v>45206</v>
      </c>
      <c r="Y91">
        <v>115859393</v>
      </c>
      <c r="Z91" t="s">
        <v>338</v>
      </c>
      <c r="AC91" s="6"/>
      <c r="AH91" s="8"/>
      <c r="AJ91" s="10"/>
      <c r="AK91" s="10"/>
    </row>
    <row r="92" spans="1:37" x14ac:dyDescent="0.3">
      <c r="A92" s="6">
        <v>45233</v>
      </c>
      <c r="B92" s="11">
        <v>45233</v>
      </c>
      <c r="C92">
        <v>20081990</v>
      </c>
      <c r="D92" t="s">
        <v>339</v>
      </c>
      <c r="E92" t="s">
        <v>340</v>
      </c>
      <c r="F92" t="s">
        <v>341</v>
      </c>
      <c r="G92" s="8">
        <v>50</v>
      </c>
      <c r="H92" t="s">
        <v>28</v>
      </c>
      <c r="I92" s="10">
        <v>7.3738000000000001</v>
      </c>
      <c r="J92" s="10">
        <v>368.69</v>
      </c>
      <c r="K92">
        <v>7.37</v>
      </c>
      <c r="L92" t="s">
        <v>342</v>
      </c>
      <c r="M92" t="s">
        <v>343</v>
      </c>
      <c r="N92" t="s">
        <v>42</v>
      </c>
      <c r="O92" t="s">
        <v>32</v>
      </c>
      <c r="P92">
        <v>50</v>
      </c>
      <c r="Q92" t="s">
        <v>28</v>
      </c>
      <c r="R92">
        <v>408</v>
      </c>
      <c r="S92">
        <v>8.16</v>
      </c>
      <c r="T92" t="s">
        <v>33</v>
      </c>
      <c r="U92" t="s">
        <v>44</v>
      </c>
      <c r="V92">
        <v>20</v>
      </c>
      <c r="W92">
        <v>2008</v>
      </c>
      <c r="X92" s="17">
        <v>45231</v>
      </c>
      <c r="Y92">
        <v>120846922</v>
      </c>
      <c r="Z92" t="s">
        <v>345</v>
      </c>
      <c r="AC92" s="6"/>
      <c r="AH92" s="8"/>
      <c r="AJ92" s="10"/>
      <c r="AK92" s="10"/>
    </row>
    <row r="93" spans="1:37" x14ac:dyDescent="0.3">
      <c r="A93" s="6">
        <v>45236</v>
      </c>
      <c r="B93" s="11">
        <v>45236</v>
      </c>
      <c r="C93">
        <v>12129990</v>
      </c>
      <c r="D93" t="s">
        <v>346</v>
      </c>
      <c r="E93" t="s">
        <v>47</v>
      </c>
      <c r="F93" t="s">
        <v>48</v>
      </c>
      <c r="G93" s="8">
        <v>250</v>
      </c>
      <c r="H93" t="s">
        <v>28</v>
      </c>
      <c r="I93" s="10">
        <v>6.0073599999999994</v>
      </c>
      <c r="J93" s="10">
        <v>1501.84</v>
      </c>
      <c r="K93">
        <v>6.01</v>
      </c>
      <c r="L93" t="s">
        <v>75</v>
      </c>
      <c r="M93" t="s">
        <v>50</v>
      </c>
      <c r="N93" t="s">
        <v>51</v>
      </c>
      <c r="O93" t="s">
        <v>32</v>
      </c>
      <c r="P93">
        <v>250</v>
      </c>
      <c r="Q93" t="s">
        <v>28</v>
      </c>
      <c r="R93">
        <v>1250</v>
      </c>
      <c r="S93">
        <v>5</v>
      </c>
      <c r="T93" t="s">
        <v>52</v>
      </c>
      <c r="U93" t="s">
        <v>95</v>
      </c>
      <c r="V93">
        <v>12</v>
      </c>
      <c r="W93">
        <v>1212</v>
      </c>
      <c r="X93" s="17">
        <v>45232</v>
      </c>
      <c r="Y93">
        <v>121497471</v>
      </c>
      <c r="Z93" t="s">
        <v>53</v>
      </c>
      <c r="AC93" s="6"/>
      <c r="AH93" s="8"/>
      <c r="AJ93" s="10"/>
      <c r="AK93" s="10"/>
    </row>
    <row r="94" spans="1:37" x14ac:dyDescent="0.3">
      <c r="A94" s="6">
        <v>45238</v>
      </c>
      <c r="B94" s="11">
        <v>45238</v>
      </c>
      <c r="C94">
        <v>13021919</v>
      </c>
      <c r="D94" t="s">
        <v>347</v>
      </c>
      <c r="E94" t="s">
        <v>348</v>
      </c>
      <c r="F94" t="s">
        <v>349</v>
      </c>
      <c r="G94" s="8">
        <v>10</v>
      </c>
      <c r="H94" t="s">
        <v>28</v>
      </c>
      <c r="I94" s="10">
        <v>13.083</v>
      </c>
      <c r="J94" s="10">
        <v>130.83000000000001</v>
      </c>
      <c r="K94">
        <v>13.08</v>
      </c>
      <c r="L94" t="s">
        <v>350</v>
      </c>
      <c r="M94" t="s">
        <v>265</v>
      </c>
      <c r="N94" t="s">
        <v>294</v>
      </c>
      <c r="O94" t="s">
        <v>202</v>
      </c>
      <c r="P94">
        <v>10</v>
      </c>
      <c r="Q94" t="s">
        <v>28</v>
      </c>
      <c r="R94">
        <v>155</v>
      </c>
      <c r="S94">
        <v>15.5</v>
      </c>
      <c r="T94" t="s">
        <v>33</v>
      </c>
      <c r="U94" t="s">
        <v>351</v>
      </c>
      <c r="V94">
        <v>13</v>
      </c>
      <c r="W94">
        <v>1302</v>
      </c>
      <c r="X94" s="17">
        <v>45233</v>
      </c>
      <c r="Y94">
        <v>121756104</v>
      </c>
      <c r="Z94" t="s">
        <v>352</v>
      </c>
      <c r="AC94" s="6"/>
      <c r="AH94" s="8"/>
      <c r="AJ94" s="10"/>
      <c r="AK94" s="10"/>
    </row>
    <row r="95" spans="1:37" x14ac:dyDescent="0.3">
      <c r="A95" s="6">
        <v>45240</v>
      </c>
      <c r="B95" s="11">
        <v>45240</v>
      </c>
      <c r="C95">
        <v>20081920</v>
      </c>
      <c r="D95" t="s">
        <v>353</v>
      </c>
      <c r="E95" t="s">
        <v>204</v>
      </c>
      <c r="F95" t="s">
        <v>354</v>
      </c>
      <c r="G95" s="8">
        <v>160</v>
      </c>
      <c r="H95" t="s">
        <v>28</v>
      </c>
      <c r="I95" s="10">
        <v>6.8885000000000014</v>
      </c>
      <c r="J95" s="10">
        <v>1102.1600000000001</v>
      </c>
      <c r="K95">
        <v>6.89</v>
      </c>
      <c r="L95" t="s">
        <v>40</v>
      </c>
      <c r="M95" t="s">
        <v>41</v>
      </c>
      <c r="N95" t="s">
        <v>51</v>
      </c>
      <c r="O95" t="s">
        <v>32</v>
      </c>
      <c r="P95">
        <v>160</v>
      </c>
      <c r="Q95" t="s">
        <v>28</v>
      </c>
      <c r="R95">
        <v>1115.2</v>
      </c>
      <c r="S95">
        <v>6.97</v>
      </c>
      <c r="T95" t="s">
        <v>33</v>
      </c>
      <c r="U95" t="s">
        <v>44</v>
      </c>
      <c r="V95">
        <v>20</v>
      </c>
      <c r="W95">
        <v>2008</v>
      </c>
      <c r="X95" s="17">
        <v>45234</v>
      </c>
      <c r="Y95">
        <v>121364441</v>
      </c>
      <c r="Z95" t="s">
        <v>206</v>
      </c>
      <c r="AC95" s="6"/>
      <c r="AH95" s="8"/>
      <c r="AJ95" s="10"/>
      <c r="AK95" s="10"/>
    </row>
    <row r="96" spans="1:37" x14ac:dyDescent="0.3">
      <c r="A96" s="6">
        <v>45248</v>
      </c>
      <c r="B96" s="11">
        <v>45248</v>
      </c>
      <c r="C96">
        <v>10051000</v>
      </c>
      <c r="D96" t="s">
        <v>355</v>
      </c>
      <c r="E96" t="s">
        <v>356</v>
      </c>
      <c r="F96" t="s">
        <v>357</v>
      </c>
      <c r="G96" s="8">
        <v>50</v>
      </c>
      <c r="H96" t="s">
        <v>28</v>
      </c>
      <c r="I96" s="10">
        <v>7.1402000000000001</v>
      </c>
      <c r="J96" s="10">
        <v>357.01</v>
      </c>
      <c r="K96">
        <v>7.14</v>
      </c>
      <c r="L96" t="s">
        <v>358</v>
      </c>
      <c r="M96" t="s">
        <v>58</v>
      </c>
      <c r="N96" t="s">
        <v>359</v>
      </c>
      <c r="O96" t="s">
        <v>60</v>
      </c>
      <c r="P96">
        <v>50</v>
      </c>
      <c r="Q96" t="s">
        <v>28</v>
      </c>
      <c r="R96">
        <v>365</v>
      </c>
      <c r="S96">
        <v>7.3</v>
      </c>
      <c r="T96" t="s">
        <v>33</v>
      </c>
      <c r="U96" t="s">
        <v>360</v>
      </c>
      <c r="V96">
        <v>10</v>
      </c>
      <c r="W96">
        <v>1005</v>
      </c>
      <c r="X96" s="17">
        <v>45235</v>
      </c>
      <c r="Y96">
        <v>122825435</v>
      </c>
      <c r="Z96" t="s">
        <v>361</v>
      </c>
      <c r="AC96" s="6"/>
      <c r="AH96" s="8"/>
      <c r="AJ96" s="10"/>
      <c r="AK96" s="10"/>
    </row>
    <row r="97" spans="1:37" x14ac:dyDescent="0.3">
      <c r="A97" s="6">
        <v>45254</v>
      </c>
      <c r="B97" s="11">
        <v>45254</v>
      </c>
      <c r="C97">
        <v>20081920</v>
      </c>
      <c r="D97" t="s">
        <v>362</v>
      </c>
      <c r="E97" t="s">
        <v>363</v>
      </c>
      <c r="F97" t="s">
        <v>364</v>
      </c>
      <c r="G97" s="8">
        <v>300</v>
      </c>
      <c r="H97" t="s">
        <v>28</v>
      </c>
      <c r="I97" s="10">
        <v>5.4131666666666671</v>
      </c>
      <c r="J97" s="10">
        <v>1623.95</v>
      </c>
      <c r="K97">
        <v>5.41</v>
      </c>
      <c r="L97" t="s">
        <v>29</v>
      </c>
      <c r="M97" t="s">
        <v>30</v>
      </c>
      <c r="N97" t="s">
        <v>51</v>
      </c>
      <c r="O97" t="s">
        <v>32</v>
      </c>
      <c r="P97">
        <v>300</v>
      </c>
      <c r="Q97" t="s">
        <v>28</v>
      </c>
      <c r="R97">
        <v>1701</v>
      </c>
      <c r="S97">
        <v>5.67</v>
      </c>
      <c r="T97" t="s">
        <v>33</v>
      </c>
      <c r="U97" t="s">
        <v>44</v>
      </c>
      <c r="V97">
        <v>20</v>
      </c>
      <c r="W97">
        <v>2008</v>
      </c>
      <c r="X97" s="17">
        <v>45236</v>
      </c>
      <c r="Y97">
        <v>123338604</v>
      </c>
      <c r="Z97" t="s">
        <v>365</v>
      </c>
      <c r="AC97" s="6"/>
      <c r="AH97" s="8"/>
      <c r="AJ97" s="10"/>
      <c r="AK97" s="10"/>
    </row>
    <row r="98" spans="1:37" x14ac:dyDescent="0.3">
      <c r="A98" s="6">
        <v>45261</v>
      </c>
      <c r="B98" s="11">
        <v>45261</v>
      </c>
      <c r="C98">
        <v>20089999</v>
      </c>
      <c r="D98" t="s">
        <v>366</v>
      </c>
      <c r="E98" t="s">
        <v>367</v>
      </c>
      <c r="F98" t="s">
        <v>368</v>
      </c>
      <c r="G98" s="8">
        <v>1200</v>
      </c>
      <c r="H98" t="s">
        <v>28</v>
      </c>
      <c r="I98" s="10">
        <v>1.3936833333333329</v>
      </c>
      <c r="J98" s="10">
        <v>1672.42</v>
      </c>
      <c r="K98">
        <v>1.39</v>
      </c>
      <c r="L98" t="s">
        <v>369</v>
      </c>
      <c r="M98" t="s">
        <v>370</v>
      </c>
      <c r="N98" t="s">
        <v>51</v>
      </c>
      <c r="O98" t="s">
        <v>32</v>
      </c>
      <c r="P98">
        <v>1200</v>
      </c>
      <c r="Q98" t="s">
        <v>28</v>
      </c>
      <c r="R98">
        <v>1716</v>
      </c>
      <c r="S98">
        <v>1.43</v>
      </c>
      <c r="T98" t="s">
        <v>33</v>
      </c>
      <c r="U98" t="s">
        <v>44</v>
      </c>
      <c r="V98">
        <v>20</v>
      </c>
      <c r="W98">
        <v>2008</v>
      </c>
      <c r="X98" s="17">
        <v>45261</v>
      </c>
      <c r="Y98">
        <v>129793831</v>
      </c>
      <c r="Z98" t="s">
        <v>372</v>
      </c>
      <c r="AC98" s="6"/>
      <c r="AH98" s="8"/>
      <c r="AJ98" s="10"/>
      <c r="AK98" s="10"/>
    </row>
    <row r="99" spans="1:37" x14ac:dyDescent="0.3">
      <c r="A99" s="6">
        <v>45264</v>
      </c>
      <c r="B99" s="11">
        <v>45264</v>
      </c>
      <c r="C99">
        <v>12129990</v>
      </c>
      <c r="D99" t="s">
        <v>346</v>
      </c>
      <c r="E99" t="s">
        <v>47</v>
      </c>
      <c r="F99" t="s">
        <v>74</v>
      </c>
      <c r="G99" s="8">
        <v>225</v>
      </c>
      <c r="H99" t="s">
        <v>28</v>
      </c>
      <c r="I99" s="10">
        <v>6.086444444444445</v>
      </c>
      <c r="J99" s="10">
        <v>1369.45</v>
      </c>
      <c r="K99">
        <v>6.09</v>
      </c>
      <c r="L99" t="s">
        <v>75</v>
      </c>
      <c r="M99" t="s">
        <v>50</v>
      </c>
      <c r="N99" t="s">
        <v>51</v>
      </c>
      <c r="O99" t="s">
        <v>32</v>
      </c>
      <c r="P99">
        <v>225</v>
      </c>
      <c r="Q99" t="s">
        <v>28</v>
      </c>
      <c r="R99">
        <v>1125</v>
      </c>
      <c r="S99">
        <v>5</v>
      </c>
      <c r="T99" t="s">
        <v>52</v>
      </c>
      <c r="U99" t="s">
        <v>95</v>
      </c>
      <c r="V99">
        <v>12</v>
      </c>
      <c r="W99">
        <v>1212</v>
      </c>
      <c r="X99" s="17">
        <v>45262</v>
      </c>
      <c r="Y99">
        <v>129281895</v>
      </c>
      <c r="Z99" t="s">
        <v>53</v>
      </c>
      <c r="AC99" s="6"/>
      <c r="AH99" s="8"/>
      <c r="AJ99" s="10"/>
      <c r="AK99" s="10"/>
    </row>
    <row r="100" spans="1:37" x14ac:dyDescent="0.3">
      <c r="A100" s="6">
        <v>45278</v>
      </c>
      <c r="B100" s="11">
        <v>45278</v>
      </c>
      <c r="C100">
        <v>20081920</v>
      </c>
      <c r="D100" t="s">
        <v>177</v>
      </c>
      <c r="E100" t="s">
        <v>313</v>
      </c>
      <c r="F100" t="s">
        <v>321</v>
      </c>
      <c r="G100" s="8">
        <v>1500</v>
      </c>
      <c r="H100" t="s">
        <v>28</v>
      </c>
      <c r="I100" s="10">
        <v>6.0448199999999996</v>
      </c>
      <c r="J100" s="10">
        <v>9067.23</v>
      </c>
      <c r="K100">
        <v>6.04</v>
      </c>
      <c r="L100" t="s">
        <v>322</v>
      </c>
      <c r="M100" t="s">
        <v>316</v>
      </c>
      <c r="N100" t="s">
        <v>323</v>
      </c>
      <c r="O100" t="s">
        <v>60</v>
      </c>
      <c r="P100">
        <v>1500</v>
      </c>
      <c r="Q100" t="s">
        <v>28</v>
      </c>
      <c r="R100">
        <v>750000</v>
      </c>
      <c r="S100">
        <v>500</v>
      </c>
      <c r="T100" t="s">
        <v>114</v>
      </c>
      <c r="U100" t="s">
        <v>44</v>
      </c>
      <c r="V100">
        <v>20</v>
      </c>
      <c r="W100">
        <v>2008</v>
      </c>
      <c r="X100" s="17">
        <v>45263</v>
      </c>
      <c r="Y100">
        <v>133548133</v>
      </c>
      <c r="Z100" t="s">
        <v>318</v>
      </c>
      <c r="AC100" s="6"/>
      <c r="AH100" s="8"/>
      <c r="AJ100" s="10"/>
      <c r="AK100" s="10"/>
    </row>
    <row r="101" spans="1:37" x14ac:dyDescent="0.3">
      <c r="A101" s="6">
        <v>45278</v>
      </c>
      <c r="B101" s="11">
        <v>45278</v>
      </c>
      <c r="C101">
        <v>30049011</v>
      </c>
      <c r="D101" t="s">
        <v>373</v>
      </c>
      <c r="E101" t="s">
        <v>374</v>
      </c>
      <c r="F101" t="s">
        <v>79</v>
      </c>
      <c r="G101" s="8">
        <v>250</v>
      </c>
      <c r="H101" t="s">
        <v>28</v>
      </c>
      <c r="I101" s="10">
        <v>2.61172</v>
      </c>
      <c r="J101" s="10">
        <v>652.92999999999995</v>
      </c>
      <c r="K101">
        <v>2.61</v>
      </c>
      <c r="L101" t="s">
        <v>375</v>
      </c>
      <c r="M101" t="s">
        <v>88</v>
      </c>
      <c r="N101" t="s">
        <v>89</v>
      </c>
      <c r="O101" t="s">
        <v>32</v>
      </c>
      <c r="P101">
        <v>250</v>
      </c>
      <c r="Q101" t="s">
        <v>28</v>
      </c>
      <c r="R101">
        <v>687.5</v>
      </c>
      <c r="S101">
        <v>2.75</v>
      </c>
      <c r="T101" t="s">
        <v>33</v>
      </c>
      <c r="U101" t="s">
        <v>376</v>
      </c>
      <c r="V101">
        <v>30</v>
      </c>
      <c r="W101">
        <v>3004</v>
      </c>
      <c r="X101" s="17">
        <v>45264</v>
      </c>
      <c r="Y101">
        <v>130465190</v>
      </c>
      <c r="Z101" t="s">
        <v>377</v>
      </c>
      <c r="AC101" s="6"/>
      <c r="AH101" s="8"/>
      <c r="AJ101" s="10"/>
      <c r="AK101" s="10"/>
    </row>
    <row r="102" spans="1:37" x14ac:dyDescent="0.3">
      <c r="A102" s="6">
        <v>45283</v>
      </c>
      <c r="B102" s="11">
        <v>45283</v>
      </c>
      <c r="C102">
        <v>20081920</v>
      </c>
      <c r="D102" t="s">
        <v>132</v>
      </c>
      <c r="E102" t="s">
        <v>313</v>
      </c>
      <c r="F102" t="s">
        <v>314</v>
      </c>
      <c r="G102" s="8">
        <v>1000</v>
      </c>
      <c r="H102" t="s">
        <v>28</v>
      </c>
      <c r="I102" s="10">
        <v>6.0338599999999998</v>
      </c>
      <c r="J102" s="10">
        <v>6033.86</v>
      </c>
      <c r="K102">
        <v>6.03</v>
      </c>
      <c r="L102" t="s">
        <v>315</v>
      </c>
      <c r="M102" t="s">
        <v>316</v>
      </c>
      <c r="N102" t="s">
        <v>317</v>
      </c>
      <c r="O102" t="s">
        <v>60</v>
      </c>
      <c r="P102">
        <v>1000</v>
      </c>
      <c r="Q102" t="s">
        <v>28</v>
      </c>
      <c r="R102">
        <v>500000</v>
      </c>
      <c r="S102">
        <v>500</v>
      </c>
      <c r="T102" t="s">
        <v>114</v>
      </c>
      <c r="U102" t="s">
        <v>44</v>
      </c>
      <c r="V102">
        <v>20</v>
      </c>
      <c r="W102">
        <v>2008</v>
      </c>
      <c r="X102" s="17">
        <v>45265</v>
      </c>
      <c r="Y102">
        <v>131953239</v>
      </c>
      <c r="Z102" t="s">
        <v>318</v>
      </c>
      <c r="AC102" s="6"/>
      <c r="AH102" s="8"/>
      <c r="AJ102" s="10"/>
      <c r="AK102" s="10"/>
    </row>
    <row r="103" spans="1:37" x14ac:dyDescent="0.3">
      <c r="A103" s="6">
        <v>45286</v>
      </c>
      <c r="B103" s="11">
        <v>45286</v>
      </c>
      <c r="C103">
        <v>12129990</v>
      </c>
      <c r="D103" t="s">
        <v>346</v>
      </c>
      <c r="E103" t="s">
        <v>47</v>
      </c>
      <c r="F103" t="s">
        <v>74</v>
      </c>
      <c r="G103" s="8">
        <v>200</v>
      </c>
      <c r="H103" t="s">
        <v>28</v>
      </c>
      <c r="I103" s="10">
        <v>5.6718499999999992</v>
      </c>
      <c r="J103" s="10">
        <v>1134.3699999999999</v>
      </c>
      <c r="K103">
        <v>5.67</v>
      </c>
      <c r="L103" t="s">
        <v>75</v>
      </c>
      <c r="M103" t="s">
        <v>50</v>
      </c>
      <c r="N103" t="s">
        <v>51</v>
      </c>
      <c r="O103" t="s">
        <v>32</v>
      </c>
      <c r="P103">
        <v>200</v>
      </c>
      <c r="Q103" t="s">
        <v>28</v>
      </c>
      <c r="R103">
        <v>962</v>
      </c>
      <c r="S103">
        <v>4.8099999999999996</v>
      </c>
      <c r="T103" t="s">
        <v>52</v>
      </c>
      <c r="U103" t="s">
        <v>95</v>
      </c>
      <c r="V103">
        <v>12</v>
      </c>
      <c r="W103">
        <v>1212</v>
      </c>
      <c r="X103" s="17">
        <v>45266</v>
      </c>
      <c r="Y103">
        <v>132002159</v>
      </c>
      <c r="Z103" t="s">
        <v>53</v>
      </c>
      <c r="AC103" s="6"/>
      <c r="AH103" s="8"/>
      <c r="AJ103" s="10"/>
      <c r="AK103" s="10"/>
    </row>
    <row r="104" spans="1:37" x14ac:dyDescent="0.3">
      <c r="A104" s="6">
        <v>45289</v>
      </c>
      <c r="B104" s="11">
        <v>45289</v>
      </c>
      <c r="C104">
        <v>20081920</v>
      </c>
      <c r="D104" t="s">
        <v>132</v>
      </c>
      <c r="E104" t="s">
        <v>313</v>
      </c>
      <c r="F104" t="s">
        <v>378</v>
      </c>
      <c r="G104" s="8">
        <v>1000</v>
      </c>
      <c r="H104" t="s">
        <v>28</v>
      </c>
      <c r="I104" s="10">
        <v>6.0338599999999998</v>
      </c>
      <c r="J104" s="10">
        <v>6033.86</v>
      </c>
      <c r="K104">
        <v>6.03</v>
      </c>
      <c r="L104" t="s">
        <v>379</v>
      </c>
      <c r="M104" t="s">
        <v>316</v>
      </c>
      <c r="N104" t="s">
        <v>317</v>
      </c>
      <c r="O104" t="s">
        <v>60</v>
      </c>
      <c r="P104">
        <v>1000</v>
      </c>
      <c r="Q104" t="s">
        <v>28</v>
      </c>
      <c r="R104">
        <v>500000</v>
      </c>
      <c r="S104">
        <v>500</v>
      </c>
      <c r="T104" t="s">
        <v>114</v>
      </c>
      <c r="U104" t="s">
        <v>44</v>
      </c>
      <c r="V104">
        <v>20</v>
      </c>
      <c r="W104">
        <v>2008</v>
      </c>
      <c r="X104" s="17">
        <v>45267</v>
      </c>
      <c r="Y104">
        <v>132153949</v>
      </c>
      <c r="Z104" t="s">
        <v>318</v>
      </c>
      <c r="AC104" s="6"/>
      <c r="AH104" s="8"/>
      <c r="AJ104" s="10"/>
      <c r="AK104" s="10"/>
    </row>
    <row r="105" spans="1:37" x14ac:dyDescent="0.3">
      <c r="A105" s="6">
        <v>45293</v>
      </c>
      <c r="B105" s="11">
        <v>45293</v>
      </c>
      <c r="C105">
        <v>12079990</v>
      </c>
      <c r="D105" t="s">
        <v>177</v>
      </c>
      <c r="E105" t="s">
        <v>154</v>
      </c>
      <c r="F105" t="s">
        <v>380</v>
      </c>
      <c r="G105" s="8">
        <v>9.6</v>
      </c>
      <c r="H105" t="s">
        <v>28</v>
      </c>
      <c r="I105" s="10">
        <v>7.6083333333333343</v>
      </c>
      <c r="J105" s="10">
        <v>73.040000000000006</v>
      </c>
      <c r="K105">
        <v>7.61</v>
      </c>
      <c r="L105" t="s">
        <v>156</v>
      </c>
      <c r="M105" t="s">
        <v>157</v>
      </c>
      <c r="N105" t="s">
        <v>51</v>
      </c>
      <c r="O105" t="s">
        <v>32</v>
      </c>
      <c r="P105">
        <v>9.6</v>
      </c>
      <c r="Q105" t="s">
        <v>28</v>
      </c>
      <c r="R105">
        <v>76.22</v>
      </c>
      <c r="S105">
        <v>7.94</v>
      </c>
      <c r="T105" t="s">
        <v>33</v>
      </c>
      <c r="U105" t="s">
        <v>34</v>
      </c>
      <c r="V105">
        <v>12</v>
      </c>
      <c r="W105">
        <v>1207</v>
      </c>
      <c r="X105" s="17">
        <v>45292</v>
      </c>
      <c r="Y105">
        <v>948234</v>
      </c>
      <c r="Z105" t="s">
        <v>158</v>
      </c>
      <c r="AC105" s="6"/>
      <c r="AH105" s="8"/>
      <c r="AJ105" s="10"/>
      <c r="AK105" s="10"/>
    </row>
    <row r="106" spans="1:37" x14ac:dyDescent="0.3">
      <c r="A106" s="6">
        <v>45294</v>
      </c>
      <c r="B106" s="11">
        <v>45294</v>
      </c>
      <c r="C106">
        <v>20081920</v>
      </c>
      <c r="D106" t="s">
        <v>177</v>
      </c>
      <c r="E106" t="s">
        <v>382</v>
      </c>
      <c r="F106" t="s">
        <v>383</v>
      </c>
      <c r="G106" s="8">
        <v>100</v>
      </c>
      <c r="H106" t="s">
        <v>28</v>
      </c>
      <c r="I106" s="10">
        <v>0.95599999999999996</v>
      </c>
      <c r="J106" s="10">
        <v>95.6</v>
      </c>
      <c r="K106">
        <v>0.96</v>
      </c>
      <c r="L106" t="s">
        <v>384</v>
      </c>
      <c r="M106" t="s">
        <v>265</v>
      </c>
      <c r="N106" t="s">
        <v>51</v>
      </c>
      <c r="O106" t="s">
        <v>32</v>
      </c>
      <c r="P106">
        <v>100</v>
      </c>
      <c r="Q106" t="s">
        <v>28</v>
      </c>
      <c r="R106">
        <v>101</v>
      </c>
      <c r="S106">
        <v>1.01</v>
      </c>
      <c r="T106" t="s">
        <v>33</v>
      </c>
      <c r="U106" t="s">
        <v>44</v>
      </c>
      <c r="V106">
        <v>20</v>
      </c>
      <c r="W106">
        <v>2008</v>
      </c>
      <c r="X106" s="17">
        <v>45293</v>
      </c>
      <c r="Y106">
        <v>33982</v>
      </c>
      <c r="Z106" t="s">
        <v>385</v>
      </c>
      <c r="AC106" s="6"/>
      <c r="AH106" s="8"/>
      <c r="AJ106" s="10"/>
      <c r="AK106" s="10"/>
    </row>
    <row r="107" spans="1:37" x14ac:dyDescent="0.3">
      <c r="A107" s="6">
        <v>45300</v>
      </c>
      <c r="B107" s="11">
        <v>45300</v>
      </c>
      <c r="C107">
        <v>20081990</v>
      </c>
      <c r="D107" t="s">
        <v>386</v>
      </c>
      <c r="E107" t="s">
        <v>387</v>
      </c>
      <c r="F107" t="s">
        <v>388</v>
      </c>
      <c r="G107" s="8">
        <v>3</v>
      </c>
      <c r="H107" t="s">
        <v>28</v>
      </c>
      <c r="I107" s="10">
        <v>9.0766666666666662</v>
      </c>
      <c r="J107" s="10">
        <v>27.23</v>
      </c>
      <c r="K107">
        <v>9.08</v>
      </c>
      <c r="L107" t="s">
        <v>40</v>
      </c>
      <c r="M107" t="s">
        <v>41</v>
      </c>
      <c r="N107" t="s">
        <v>201</v>
      </c>
      <c r="O107" t="s">
        <v>202</v>
      </c>
      <c r="P107">
        <v>3</v>
      </c>
      <c r="Q107" t="s">
        <v>28</v>
      </c>
      <c r="R107">
        <v>15.51</v>
      </c>
      <c r="S107">
        <v>5.17</v>
      </c>
      <c r="T107" t="s">
        <v>33</v>
      </c>
      <c r="U107" t="s">
        <v>44</v>
      </c>
      <c r="V107">
        <v>20</v>
      </c>
      <c r="W107">
        <v>2008</v>
      </c>
      <c r="X107" s="17">
        <v>45294</v>
      </c>
      <c r="Y107">
        <v>451146</v>
      </c>
      <c r="Z107" t="s">
        <v>389</v>
      </c>
      <c r="AC107" s="6"/>
      <c r="AH107" s="8"/>
      <c r="AJ107" s="10"/>
      <c r="AK107" s="10"/>
    </row>
    <row r="108" spans="1:37" x14ac:dyDescent="0.3">
      <c r="A108" s="6">
        <v>45307</v>
      </c>
      <c r="B108" s="11">
        <v>45307</v>
      </c>
      <c r="C108">
        <v>20081920</v>
      </c>
      <c r="D108" t="s">
        <v>390</v>
      </c>
      <c r="E108" t="s">
        <v>336</v>
      </c>
      <c r="F108" t="s">
        <v>337</v>
      </c>
      <c r="G108" s="8">
        <v>47.75</v>
      </c>
      <c r="H108" t="s">
        <v>28</v>
      </c>
      <c r="I108" s="10">
        <v>6.2245026178010479</v>
      </c>
      <c r="J108" s="10">
        <v>297.22000000000003</v>
      </c>
      <c r="K108">
        <v>6.22</v>
      </c>
      <c r="L108" t="s">
        <v>278</v>
      </c>
      <c r="M108" t="s">
        <v>67</v>
      </c>
      <c r="N108" t="s">
        <v>42</v>
      </c>
      <c r="O108" t="s">
        <v>32</v>
      </c>
      <c r="P108">
        <v>47.75</v>
      </c>
      <c r="Q108" t="s">
        <v>28</v>
      </c>
      <c r="R108">
        <v>25021</v>
      </c>
      <c r="S108">
        <v>524</v>
      </c>
      <c r="T108" t="s">
        <v>114</v>
      </c>
      <c r="U108" t="s">
        <v>44</v>
      </c>
      <c r="V108">
        <v>20</v>
      </c>
      <c r="W108">
        <v>2008</v>
      </c>
      <c r="X108" s="17">
        <v>45295</v>
      </c>
      <c r="Y108">
        <v>47874718</v>
      </c>
      <c r="Z108" t="s">
        <v>338</v>
      </c>
      <c r="AC108" s="6"/>
      <c r="AH108" s="8"/>
      <c r="AJ108" s="10"/>
      <c r="AK108" s="10"/>
    </row>
    <row r="109" spans="1:37" x14ac:dyDescent="0.3">
      <c r="A109" s="6">
        <v>45308</v>
      </c>
      <c r="B109" s="11">
        <v>45308</v>
      </c>
      <c r="C109">
        <v>20081920</v>
      </c>
      <c r="D109" t="s">
        <v>391</v>
      </c>
      <c r="E109" t="s">
        <v>64</v>
      </c>
      <c r="F109" t="s">
        <v>392</v>
      </c>
      <c r="G109" s="8">
        <v>96</v>
      </c>
      <c r="H109" t="s">
        <v>28</v>
      </c>
      <c r="I109" s="10">
        <v>8.2126041666666669</v>
      </c>
      <c r="J109" s="10">
        <v>788.41</v>
      </c>
      <c r="K109">
        <v>8.2100000000000009</v>
      </c>
      <c r="L109" t="s">
        <v>29</v>
      </c>
      <c r="M109" t="s">
        <v>30</v>
      </c>
      <c r="N109" t="s">
        <v>393</v>
      </c>
      <c r="O109" t="s">
        <v>32</v>
      </c>
      <c r="P109">
        <v>96</v>
      </c>
      <c r="Q109" t="s">
        <v>28</v>
      </c>
      <c r="R109">
        <v>814.08</v>
      </c>
      <c r="S109">
        <v>8.48</v>
      </c>
      <c r="T109" t="s">
        <v>33</v>
      </c>
      <c r="U109" t="s">
        <v>44</v>
      </c>
      <c r="V109">
        <v>20</v>
      </c>
      <c r="W109">
        <v>2008</v>
      </c>
      <c r="X109" s="17">
        <v>45296</v>
      </c>
      <c r="Y109">
        <v>54346231</v>
      </c>
      <c r="Z109" t="s">
        <v>68</v>
      </c>
      <c r="AC109" s="6"/>
      <c r="AH109" s="8"/>
      <c r="AJ109" s="10"/>
      <c r="AK109" s="10"/>
    </row>
    <row r="110" spans="1:37" x14ac:dyDescent="0.3">
      <c r="A110" s="6">
        <v>45315</v>
      </c>
      <c r="B110" s="11">
        <v>45315</v>
      </c>
      <c r="C110">
        <v>20081920</v>
      </c>
      <c r="D110" t="s">
        <v>394</v>
      </c>
      <c r="E110" t="s">
        <v>204</v>
      </c>
      <c r="F110" t="s">
        <v>205</v>
      </c>
      <c r="G110" s="8">
        <v>200</v>
      </c>
      <c r="H110" t="s">
        <v>28</v>
      </c>
      <c r="I110" s="10">
        <v>6.8268499999999994</v>
      </c>
      <c r="J110" s="10">
        <v>1365.37</v>
      </c>
      <c r="K110">
        <v>6.83</v>
      </c>
      <c r="L110" t="s">
        <v>40</v>
      </c>
      <c r="M110" t="s">
        <v>41</v>
      </c>
      <c r="N110" t="s">
        <v>51</v>
      </c>
      <c r="O110" t="s">
        <v>32</v>
      </c>
      <c r="P110">
        <v>200</v>
      </c>
      <c r="Q110" t="s">
        <v>28</v>
      </c>
      <c r="R110">
        <v>1380</v>
      </c>
      <c r="S110">
        <v>6.9</v>
      </c>
      <c r="T110" t="s">
        <v>33</v>
      </c>
      <c r="U110" t="s">
        <v>44</v>
      </c>
      <c r="V110">
        <v>20</v>
      </c>
      <c r="W110">
        <v>2008</v>
      </c>
      <c r="X110" s="17">
        <v>45297</v>
      </c>
      <c r="Y110">
        <v>3579909</v>
      </c>
      <c r="Z110" t="s">
        <v>206</v>
      </c>
      <c r="AC110" s="6"/>
      <c r="AH110" s="8"/>
      <c r="AJ110" s="10"/>
      <c r="AK110" s="10"/>
    </row>
    <row r="111" spans="1:37" x14ac:dyDescent="0.3">
      <c r="A111" s="6">
        <v>45316</v>
      </c>
      <c r="B111" s="11">
        <v>45316</v>
      </c>
      <c r="C111">
        <v>20081990</v>
      </c>
      <c r="D111" t="s">
        <v>177</v>
      </c>
      <c r="E111" t="s">
        <v>395</v>
      </c>
      <c r="F111" t="s">
        <v>79</v>
      </c>
      <c r="G111" s="8">
        <v>200</v>
      </c>
      <c r="H111" t="s">
        <v>28</v>
      </c>
      <c r="I111" s="10">
        <v>3.8521999999999998</v>
      </c>
      <c r="J111" s="10">
        <v>770.44</v>
      </c>
      <c r="K111">
        <v>3.85</v>
      </c>
      <c r="L111" t="s">
        <v>75</v>
      </c>
      <c r="M111" t="s">
        <v>50</v>
      </c>
      <c r="N111" t="s">
        <v>89</v>
      </c>
      <c r="O111" t="s">
        <v>32</v>
      </c>
      <c r="P111">
        <v>200</v>
      </c>
      <c r="Q111" t="s">
        <v>28</v>
      </c>
      <c r="R111">
        <v>624</v>
      </c>
      <c r="S111">
        <v>3.12</v>
      </c>
      <c r="T111" t="s">
        <v>52</v>
      </c>
      <c r="U111" t="s">
        <v>44</v>
      </c>
      <c r="V111">
        <v>20</v>
      </c>
      <c r="W111">
        <v>2008</v>
      </c>
      <c r="X111" s="17">
        <v>45298</v>
      </c>
      <c r="Y111">
        <v>3847092</v>
      </c>
      <c r="Z111" t="s">
        <v>396</v>
      </c>
      <c r="AC111" s="6"/>
      <c r="AH111" s="8"/>
      <c r="AJ111" s="10"/>
      <c r="AK111" s="10"/>
    </row>
    <row r="112" spans="1:37" x14ac:dyDescent="0.3">
      <c r="A112" s="6">
        <v>45321</v>
      </c>
      <c r="B112" s="11">
        <v>45321</v>
      </c>
      <c r="C112">
        <v>20081990</v>
      </c>
      <c r="D112" t="s">
        <v>177</v>
      </c>
      <c r="E112" t="s">
        <v>397</v>
      </c>
      <c r="F112" t="s">
        <v>398</v>
      </c>
      <c r="G112" s="8">
        <v>50</v>
      </c>
      <c r="H112" t="s">
        <v>28</v>
      </c>
      <c r="I112" s="10">
        <v>5.9777999999999993</v>
      </c>
      <c r="J112" s="10">
        <v>298.89</v>
      </c>
      <c r="K112">
        <v>5.98</v>
      </c>
      <c r="L112" t="s">
        <v>399</v>
      </c>
      <c r="M112" t="s">
        <v>400</v>
      </c>
      <c r="N112" t="s">
        <v>401</v>
      </c>
      <c r="O112" t="s">
        <v>32</v>
      </c>
      <c r="P112">
        <v>50</v>
      </c>
      <c r="Q112" t="s">
        <v>28</v>
      </c>
      <c r="R112">
        <v>407</v>
      </c>
      <c r="S112">
        <v>8.14</v>
      </c>
      <c r="T112" t="s">
        <v>33</v>
      </c>
      <c r="U112" t="s">
        <v>44</v>
      </c>
      <c r="V112">
        <v>20</v>
      </c>
      <c r="W112">
        <v>2008</v>
      </c>
      <c r="X112" s="17">
        <v>45299</v>
      </c>
      <c r="Y112">
        <v>21636676</v>
      </c>
      <c r="Z112" t="s">
        <v>402</v>
      </c>
      <c r="AC112" s="6"/>
      <c r="AH112" s="8"/>
      <c r="AJ112" s="10"/>
      <c r="AK112" s="10"/>
    </row>
    <row r="113" spans="1:37" x14ac:dyDescent="0.3">
      <c r="A113" s="6">
        <v>45322</v>
      </c>
      <c r="B113" s="11">
        <v>45322</v>
      </c>
      <c r="C113">
        <v>20081920</v>
      </c>
      <c r="D113" t="s">
        <v>177</v>
      </c>
      <c r="E113" t="s">
        <v>403</v>
      </c>
      <c r="F113" t="s">
        <v>404</v>
      </c>
      <c r="G113" s="8">
        <v>500</v>
      </c>
      <c r="H113" t="s">
        <v>28</v>
      </c>
      <c r="I113" s="10">
        <v>1.8445800000000001</v>
      </c>
      <c r="J113" s="10">
        <v>922.29</v>
      </c>
      <c r="K113">
        <v>1.84</v>
      </c>
      <c r="L113" t="s">
        <v>315</v>
      </c>
      <c r="M113" t="s">
        <v>316</v>
      </c>
      <c r="N113" t="s">
        <v>317</v>
      </c>
      <c r="O113" t="s">
        <v>60</v>
      </c>
      <c r="P113">
        <v>500</v>
      </c>
      <c r="Q113" t="s">
        <v>28</v>
      </c>
      <c r="R113">
        <v>77500</v>
      </c>
      <c r="S113">
        <v>155</v>
      </c>
      <c r="T113" t="s">
        <v>114</v>
      </c>
      <c r="U113" t="s">
        <v>44</v>
      </c>
      <c r="V113">
        <v>20</v>
      </c>
      <c r="W113">
        <v>2008</v>
      </c>
      <c r="X113" s="17">
        <v>45300</v>
      </c>
      <c r="Y113">
        <v>3188044</v>
      </c>
      <c r="Z113" t="s">
        <v>405</v>
      </c>
      <c r="AC113" s="6"/>
      <c r="AH113" s="8"/>
      <c r="AJ113" s="10"/>
      <c r="AK113" s="10"/>
    </row>
    <row r="114" spans="1:37" x14ac:dyDescent="0.3">
      <c r="A114" s="6">
        <v>45328</v>
      </c>
      <c r="B114" s="11">
        <v>45328</v>
      </c>
      <c r="C114">
        <v>12129990</v>
      </c>
      <c r="D114" t="s">
        <v>346</v>
      </c>
      <c r="E114" t="s">
        <v>47</v>
      </c>
      <c r="F114" t="s">
        <v>74</v>
      </c>
      <c r="G114" s="8">
        <v>315</v>
      </c>
      <c r="H114" t="s">
        <v>28</v>
      </c>
      <c r="I114" s="10">
        <v>5.7639682539682546</v>
      </c>
      <c r="J114" s="10">
        <v>1815.65</v>
      </c>
      <c r="K114">
        <v>5.76</v>
      </c>
      <c r="L114" t="s">
        <v>49</v>
      </c>
      <c r="M114" t="s">
        <v>50</v>
      </c>
      <c r="N114" t="s">
        <v>51</v>
      </c>
      <c r="O114" t="s">
        <v>32</v>
      </c>
      <c r="P114">
        <v>315</v>
      </c>
      <c r="Q114" t="s">
        <v>28</v>
      </c>
      <c r="R114">
        <v>1512</v>
      </c>
      <c r="S114">
        <v>4.8</v>
      </c>
      <c r="T114" t="s">
        <v>52</v>
      </c>
      <c r="U114" t="s">
        <v>95</v>
      </c>
      <c r="V114">
        <v>12</v>
      </c>
      <c r="W114">
        <v>1212</v>
      </c>
      <c r="X114" s="17">
        <v>45323</v>
      </c>
      <c r="Y114">
        <v>76641698</v>
      </c>
      <c r="Z114" t="s">
        <v>53</v>
      </c>
      <c r="AC114" s="6"/>
      <c r="AH114" s="8"/>
      <c r="AJ114" s="10"/>
      <c r="AK114" s="10"/>
    </row>
    <row r="115" spans="1:37" x14ac:dyDescent="0.3">
      <c r="A115" s="6">
        <v>45352</v>
      </c>
      <c r="B115" s="11">
        <v>45352</v>
      </c>
      <c r="C115">
        <v>12099990</v>
      </c>
      <c r="D115" t="s">
        <v>319</v>
      </c>
      <c r="E115" t="s">
        <v>256</v>
      </c>
      <c r="F115" t="s">
        <v>257</v>
      </c>
      <c r="G115" s="8">
        <v>25</v>
      </c>
      <c r="H115" t="s">
        <v>28</v>
      </c>
      <c r="I115" s="10">
        <v>5.5820000000000007</v>
      </c>
      <c r="J115" s="10">
        <v>139.55000000000001</v>
      </c>
      <c r="K115">
        <v>5.58</v>
      </c>
      <c r="L115" t="s">
        <v>189</v>
      </c>
      <c r="M115" t="s">
        <v>190</v>
      </c>
      <c r="N115" t="s">
        <v>51</v>
      </c>
      <c r="O115" t="s">
        <v>32</v>
      </c>
      <c r="P115">
        <v>25</v>
      </c>
      <c r="Q115" t="s">
        <v>28</v>
      </c>
      <c r="R115">
        <v>143</v>
      </c>
      <c r="S115">
        <v>5.72</v>
      </c>
      <c r="T115" t="s">
        <v>33</v>
      </c>
      <c r="U115" t="s">
        <v>163</v>
      </c>
      <c r="V115">
        <v>12</v>
      </c>
      <c r="W115">
        <v>1209</v>
      </c>
      <c r="X115" s="17">
        <v>45352</v>
      </c>
      <c r="Y115">
        <v>103093025</v>
      </c>
      <c r="Z115" t="s">
        <v>259</v>
      </c>
      <c r="AC115" s="6"/>
      <c r="AH115" s="8"/>
      <c r="AJ115" s="10"/>
      <c r="AK115" s="10"/>
    </row>
    <row r="116" spans="1:37" x14ac:dyDescent="0.3">
      <c r="A116" s="6">
        <v>45357</v>
      </c>
      <c r="B116" s="11">
        <v>45357</v>
      </c>
      <c r="C116">
        <v>12040090</v>
      </c>
      <c r="D116" t="s">
        <v>408</v>
      </c>
      <c r="E116" t="s">
        <v>409</v>
      </c>
      <c r="F116" t="s">
        <v>410</v>
      </c>
      <c r="G116" s="8">
        <v>6.25</v>
      </c>
      <c r="H116" t="s">
        <v>28</v>
      </c>
      <c r="I116" s="10">
        <v>8.9472000000000005</v>
      </c>
      <c r="J116" s="10">
        <v>55.92</v>
      </c>
      <c r="K116">
        <v>8.9499999999999993</v>
      </c>
      <c r="L116" t="s">
        <v>29</v>
      </c>
      <c r="M116" t="s">
        <v>30</v>
      </c>
      <c r="N116" t="s">
        <v>51</v>
      </c>
      <c r="O116" t="s">
        <v>32</v>
      </c>
      <c r="P116">
        <v>6.25</v>
      </c>
      <c r="Q116" t="s">
        <v>28</v>
      </c>
      <c r="R116">
        <v>57.06</v>
      </c>
      <c r="S116">
        <v>9.1300000000000008</v>
      </c>
      <c r="T116" t="s">
        <v>33</v>
      </c>
      <c r="U116" t="s">
        <v>411</v>
      </c>
      <c r="V116">
        <v>12</v>
      </c>
      <c r="W116">
        <v>1204</v>
      </c>
      <c r="X116" s="17">
        <v>45353</v>
      </c>
      <c r="Y116">
        <v>103960097</v>
      </c>
      <c r="Z116" t="s">
        <v>412</v>
      </c>
      <c r="AC116" s="6"/>
      <c r="AH116" s="8"/>
      <c r="AJ116" s="10"/>
      <c r="AK116" s="10"/>
    </row>
    <row r="117" spans="1:37" x14ac:dyDescent="0.3">
      <c r="A117" s="6">
        <v>45358</v>
      </c>
      <c r="B117" s="11">
        <v>45358</v>
      </c>
      <c r="C117">
        <v>20089700</v>
      </c>
      <c r="D117" t="s">
        <v>413</v>
      </c>
      <c r="E117" t="s">
        <v>409</v>
      </c>
      <c r="F117" t="s">
        <v>410</v>
      </c>
      <c r="G117" s="8">
        <v>6.25</v>
      </c>
      <c r="H117" t="s">
        <v>28</v>
      </c>
      <c r="I117" s="10">
        <v>8.8927999999999994</v>
      </c>
      <c r="J117" s="10">
        <v>55.58</v>
      </c>
      <c r="K117">
        <v>8.89</v>
      </c>
      <c r="L117" t="s">
        <v>29</v>
      </c>
      <c r="M117" t="s">
        <v>30</v>
      </c>
      <c r="N117" t="s">
        <v>51</v>
      </c>
      <c r="O117" t="s">
        <v>32</v>
      </c>
      <c r="P117">
        <v>6.25</v>
      </c>
      <c r="Q117" t="s">
        <v>28</v>
      </c>
      <c r="R117">
        <v>57.13</v>
      </c>
      <c r="S117">
        <v>9.14</v>
      </c>
      <c r="T117" t="s">
        <v>33</v>
      </c>
      <c r="U117" t="s">
        <v>44</v>
      </c>
      <c r="V117">
        <v>20</v>
      </c>
      <c r="W117">
        <v>2008</v>
      </c>
      <c r="X117" s="17">
        <v>45354</v>
      </c>
      <c r="Y117">
        <v>103960071</v>
      </c>
      <c r="Z117" t="s">
        <v>412</v>
      </c>
      <c r="AC117" s="6"/>
      <c r="AH117" s="8"/>
      <c r="AJ117" s="10"/>
      <c r="AK117" s="10"/>
    </row>
    <row r="118" spans="1:37" x14ac:dyDescent="0.3">
      <c r="A118" s="6">
        <v>45358</v>
      </c>
      <c r="B118" s="11">
        <v>45358</v>
      </c>
      <c r="C118">
        <v>20081920</v>
      </c>
      <c r="D118" t="s">
        <v>132</v>
      </c>
      <c r="E118" t="s">
        <v>313</v>
      </c>
      <c r="F118" t="s">
        <v>414</v>
      </c>
      <c r="G118" s="8">
        <v>500</v>
      </c>
      <c r="H118" t="s">
        <v>28</v>
      </c>
      <c r="I118" s="10">
        <v>6.0705600000000004</v>
      </c>
      <c r="J118" s="10">
        <v>3035.28</v>
      </c>
      <c r="K118">
        <v>6.07</v>
      </c>
      <c r="L118" t="s">
        <v>315</v>
      </c>
      <c r="M118" t="s">
        <v>316</v>
      </c>
      <c r="N118" t="s">
        <v>317</v>
      </c>
      <c r="O118" t="s">
        <v>60</v>
      </c>
      <c r="P118">
        <v>500</v>
      </c>
      <c r="Q118" t="s">
        <v>28</v>
      </c>
      <c r="R118">
        <v>250000</v>
      </c>
      <c r="S118">
        <v>500</v>
      </c>
      <c r="T118" t="s">
        <v>114</v>
      </c>
      <c r="U118" t="s">
        <v>44</v>
      </c>
      <c r="V118">
        <v>20</v>
      </c>
      <c r="W118">
        <v>2008</v>
      </c>
      <c r="X118" s="17">
        <v>45355</v>
      </c>
      <c r="Y118">
        <v>103186893</v>
      </c>
      <c r="Z118" t="s">
        <v>318</v>
      </c>
      <c r="AC118" s="6"/>
      <c r="AH118" s="8"/>
      <c r="AJ118" s="10"/>
      <c r="AK118" s="10"/>
    </row>
    <row r="119" spans="1:37" x14ac:dyDescent="0.3">
      <c r="A119" s="6">
        <v>45358</v>
      </c>
      <c r="B119" s="11">
        <v>45358</v>
      </c>
      <c r="C119">
        <v>20081920</v>
      </c>
      <c r="D119" t="s">
        <v>415</v>
      </c>
      <c r="E119" t="s">
        <v>340</v>
      </c>
      <c r="F119" t="s">
        <v>341</v>
      </c>
      <c r="G119" s="8">
        <v>50</v>
      </c>
      <c r="H119" t="s">
        <v>28</v>
      </c>
      <c r="I119" s="10">
        <v>7.6459999999999999</v>
      </c>
      <c r="J119" s="10">
        <v>382.3</v>
      </c>
      <c r="K119">
        <v>7.65</v>
      </c>
      <c r="L119" t="s">
        <v>342</v>
      </c>
      <c r="M119" t="s">
        <v>343</v>
      </c>
      <c r="N119" t="s">
        <v>42</v>
      </c>
      <c r="O119" t="s">
        <v>32</v>
      </c>
      <c r="P119">
        <v>50</v>
      </c>
      <c r="Q119" t="s">
        <v>28</v>
      </c>
      <c r="R119">
        <v>408</v>
      </c>
      <c r="S119">
        <v>8.16</v>
      </c>
      <c r="T119" t="s">
        <v>33</v>
      </c>
      <c r="U119" t="s">
        <v>44</v>
      </c>
      <c r="V119">
        <v>20</v>
      </c>
      <c r="W119">
        <v>2008</v>
      </c>
      <c r="X119" s="17">
        <v>45356</v>
      </c>
      <c r="Y119">
        <v>103735614</v>
      </c>
      <c r="Z119" t="s">
        <v>345</v>
      </c>
      <c r="AC119" s="6"/>
      <c r="AH119" s="8"/>
      <c r="AJ119" s="10"/>
      <c r="AK119" s="10"/>
    </row>
    <row r="120" spans="1:37" x14ac:dyDescent="0.3">
      <c r="A120" s="6">
        <v>45359</v>
      </c>
      <c r="B120" s="11">
        <v>45359</v>
      </c>
      <c r="C120">
        <v>20081920</v>
      </c>
      <c r="D120" t="s">
        <v>132</v>
      </c>
      <c r="E120" t="s">
        <v>313</v>
      </c>
      <c r="F120" t="s">
        <v>416</v>
      </c>
      <c r="G120" s="8">
        <v>300</v>
      </c>
      <c r="H120" t="s">
        <v>28</v>
      </c>
      <c r="I120" s="10">
        <v>6.0853666666666664</v>
      </c>
      <c r="J120" s="10">
        <v>1825.61</v>
      </c>
      <c r="K120">
        <v>6.09</v>
      </c>
      <c r="L120" t="s">
        <v>379</v>
      </c>
      <c r="M120" t="s">
        <v>316</v>
      </c>
      <c r="N120" t="s">
        <v>317</v>
      </c>
      <c r="O120" t="s">
        <v>60</v>
      </c>
      <c r="P120">
        <v>300</v>
      </c>
      <c r="Q120" t="s">
        <v>28</v>
      </c>
      <c r="R120">
        <v>150000</v>
      </c>
      <c r="S120">
        <v>500</v>
      </c>
      <c r="T120" t="s">
        <v>114</v>
      </c>
      <c r="U120" t="s">
        <v>44</v>
      </c>
      <c r="V120">
        <v>20</v>
      </c>
      <c r="W120">
        <v>2008</v>
      </c>
      <c r="X120" s="17">
        <v>45357</v>
      </c>
      <c r="Y120">
        <v>103183027</v>
      </c>
      <c r="Z120" t="s">
        <v>318</v>
      </c>
      <c r="AC120" s="6"/>
      <c r="AH120" s="8"/>
      <c r="AJ120" s="10"/>
      <c r="AK120" s="10"/>
    </row>
    <row r="121" spans="1:37" x14ac:dyDescent="0.3">
      <c r="A121" s="6">
        <v>45362</v>
      </c>
      <c r="B121" s="11">
        <v>45362</v>
      </c>
      <c r="C121">
        <v>12129990</v>
      </c>
      <c r="D121" t="s">
        <v>220</v>
      </c>
      <c r="E121" t="s">
        <v>47</v>
      </c>
      <c r="F121" t="s">
        <v>74</v>
      </c>
      <c r="G121" s="8">
        <v>505</v>
      </c>
      <c r="H121" t="s">
        <v>28</v>
      </c>
      <c r="I121" s="10">
        <v>5.5418415841584157</v>
      </c>
      <c r="J121" s="10">
        <v>2798.63</v>
      </c>
      <c r="K121">
        <v>5.54</v>
      </c>
      <c r="L121" t="s">
        <v>75</v>
      </c>
      <c r="M121" t="s">
        <v>50</v>
      </c>
      <c r="N121" t="s">
        <v>51</v>
      </c>
      <c r="O121" t="s">
        <v>32</v>
      </c>
      <c r="P121">
        <v>505</v>
      </c>
      <c r="Q121" t="s">
        <v>28</v>
      </c>
      <c r="R121">
        <v>2424</v>
      </c>
      <c r="S121">
        <v>4.8</v>
      </c>
      <c r="T121" t="s">
        <v>52</v>
      </c>
      <c r="U121" t="s">
        <v>95</v>
      </c>
      <c r="V121">
        <v>12</v>
      </c>
      <c r="W121">
        <v>1212</v>
      </c>
      <c r="X121" s="17">
        <v>45358</v>
      </c>
      <c r="Y121">
        <v>106479594</v>
      </c>
      <c r="Z121" t="s">
        <v>53</v>
      </c>
      <c r="AC121" s="6"/>
      <c r="AH121" s="8"/>
      <c r="AJ121" s="10"/>
      <c r="AK121" s="10"/>
    </row>
    <row r="122" spans="1:37" x14ac:dyDescent="0.3">
      <c r="A122" s="6">
        <v>45364</v>
      </c>
      <c r="B122" s="11">
        <v>45364</v>
      </c>
      <c r="C122">
        <v>20081940</v>
      </c>
      <c r="D122" t="s">
        <v>417</v>
      </c>
      <c r="E122" t="s">
        <v>85</v>
      </c>
      <c r="F122" t="s">
        <v>418</v>
      </c>
      <c r="G122" s="8">
        <v>7</v>
      </c>
      <c r="H122" t="s">
        <v>28</v>
      </c>
      <c r="I122" s="10">
        <v>5.6757142857142853</v>
      </c>
      <c r="J122" s="10">
        <v>39.729999999999997</v>
      </c>
      <c r="K122">
        <v>5.68</v>
      </c>
      <c r="L122" t="s">
        <v>419</v>
      </c>
      <c r="M122" t="s">
        <v>88</v>
      </c>
      <c r="N122" t="s">
        <v>89</v>
      </c>
      <c r="O122" t="s">
        <v>32</v>
      </c>
      <c r="P122">
        <v>7</v>
      </c>
      <c r="Q122" t="s">
        <v>28</v>
      </c>
      <c r="R122">
        <v>55.09</v>
      </c>
      <c r="S122">
        <v>7.87</v>
      </c>
      <c r="T122" t="s">
        <v>90</v>
      </c>
      <c r="U122" t="s">
        <v>44</v>
      </c>
      <c r="V122">
        <v>20</v>
      </c>
      <c r="W122">
        <v>2008</v>
      </c>
      <c r="X122" s="17">
        <v>45359</v>
      </c>
      <c r="Y122">
        <v>104678359</v>
      </c>
      <c r="Z122" t="s">
        <v>92</v>
      </c>
      <c r="AC122" s="6"/>
      <c r="AH122" s="8"/>
      <c r="AJ122" s="10"/>
      <c r="AK122" s="10"/>
    </row>
    <row r="123" spans="1:37" x14ac:dyDescent="0.3">
      <c r="A123" s="6">
        <v>45371</v>
      </c>
      <c r="B123" s="11">
        <v>45371</v>
      </c>
      <c r="C123">
        <v>20081920</v>
      </c>
      <c r="D123" t="s">
        <v>132</v>
      </c>
      <c r="E123" t="s">
        <v>420</v>
      </c>
      <c r="F123" t="s">
        <v>244</v>
      </c>
      <c r="G123" s="8">
        <v>250</v>
      </c>
      <c r="H123" t="s">
        <v>28</v>
      </c>
      <c r="I123" s="10">
        <v>1.76708</v>
      </c>
      <c r="J123" s="10">
        <v>441.77</v>
      </c>
      <c r="K123">
        <v>1.77</v>
      </c>
      <c r="L123" t="s">
        <v>40</v>
      </c>
      <c r="M123" t="s">
        <v>41</v>
      </c>
      <c r="N123" t="s">
        <v>89</v>
      </c>
      <c r="O123" t="s">
        <v>32</v>
      </c>
      <c r="P123">
        <v>250</v>
      </c>
      <c r="Q123" t="s">
        <v>28</v>
      </c>
      <c r="R123">
        <v>457.5</v>
      </c>
      <c r="S123">
        <v>1.83</v>
      </c>
      <c r="T123" t="s">
        <v>33</v>
      </c>
      <c r="U123" t="s">
        <v>44</v>
      </c>
      <c r="V123">
        <v>20</v>
      </c>
      <c r="W123">
        <v>2008</v>
      </c>
      <c r="X123" s="17">
        <v>45360</v>
      </c>
      <c r="Y123">
        <v>106270840</v>
      </c>
      <c r="Z123" t="s">
        <v>421</v>
      </c>
      <c r="AC123" s="6"/>
      <c r="AH123" s="8"/>
      <c r="AJ123" s="10"/>
      <c r="AK123" s="10"/>
    </row>
    <row r="124" spans="1:37" x14ac:dyDescent="0.3">
      <c r="A124" s="6">
        <v>45371</v>
      </c>
      <c r="B124" s="11">
        <v>45371</v>
      </c>
      <c r="C124">
        <v>20081990</v>
      </c>
      <c r="D124" t="s">
        <v>422</v>
      </c>
      <c r="E124" t="s">
        <v>261</v>
      </c>
      <c r="F124" t="s">
        <v>79</v>
      </c>
      <c r="G124" s="8">
        <v>2500</v>
      </c>
      <c r="H124" t="s">
        <v>28</v>
      </c>
      <c r="I124" s="10">
        <v>4.9994519999999998</v>
      </c>
      <c r="J124" s="10">
        <v>12498.63</v>
      </c>
      <c r="K124">
        <v>4999.45</v>
      </c>
      <c r="L124" t="s">
        <v>334</v>
      </c>
      <c r="M124" t="s">
        <v>335</v>
      </c>
      <c r="N124" t="s">
        <v>89</v>
      </c>
      <c r="O124" t="s">
        <v>32</v>
      </c>
      <c r="P124">
        <v>2.5</v>
      </c>
      <c r="Q124" t="s">
        <v>43</v>
      </c>
      <c r="R124">
        <v>13400</v>
      </c>
      <c r="S124">
        <v>5360</v>
      </c>
      <c r="T124" t="s">
        <v>33</v>
      </c>
      <c r="U124" t="s">
        <v>44</v>
      </c>
      <c r="V124">
        <v>20</v>
      </c>
      <c r="W124">
        <v>2008</v>
      </c>
      <c r="X124" s="17">
        <v>45361</v>
      </c>
      <c r="Y124">
        <v>104750901</v>
      </c>
      <c r="Z124" t="s">
        <v>262</v>
      </c>
      <c r="AC124" s="6"/>
      <c r="AH124" s="8"/>
      <c r="AJ124" s="10"/>
      <c r="AK124" s="10"/>
    </row>
    <row r="125" spans="1:37" x14ac:dyDescent="0.3">
      <c r="A125" s="6">
        <v>45378</v>
      </c>
      <c r="B125" s="11">
        <v>45378</v>
      </c>
      <c r="C125">
        <v>20081920</v>
      </c>
      <c r="D125" t="s">
        <v>423</v>
      </c>
      <c r="E125" t="s">
        <v>204</v>
      </c>
      <c r="F125" t="s">
        <v>205</v>
      </c>
      <c r="G125" s="8">
        <v>200</v>
      </c>
      <c r="H125" t="s">
        <v>28</v>
      </c>
      <c r="I125" s="10">
        <v>6.8762499999999998</v>
      </c>
      <c r="J125" s="10">
        <v>1375.25</v>
      </c>
      <c r="K125">
        <v>6.88</v>
      </c>
      <c r="L125" t="s">
        <v>40</v>
      </c>
      <c r="M125" t="s">
        <v>41</v>
      </c>
      <c r="N125" t="s">
        <v>51</v>
      </c>
      <c r="O125" t="s">
        <v>32</v>
      </c>
      <c r="P125">
        <v>200</v>
      </c>
      <c r="Q125" t="s">
        <v>28</v>
      </c>
      <c r="R125">
        <v>1386</v>
      </c>
      <c r="S125">
        <v>6.93</v>
      </c>
      <c r="T125" t="s">
        <v>33</v>
      </c>
      <c r="U125" t="s">
        <v>44</v>
      </c>
      <c r="V125">
        <v>20</v>
      </c>
      <c r="W125">
        <v>2008</v>
      </c>
      <c r="X125" s="17">
        <v>45362</v>
      </c>
      <c r="Y125">
        <v>109209870</v>
      </c>
      <c r="Z125" t="s">
        <v>206</v>
      </c>
      <c r="AC125" s="6"/>
      <c r="AH125" s="8"/>
      <c r="AJ125" s="10"/>
      <c r="AK125" s="10"/>
    </row>
    <row r="126" spans="1:37" x14ac:dyDescent="0.3">
      <c r="A126" s="6">
        <v>45381</v>
      </c>
      <c r="B126" s="11">
        <v>45381</v>
      </c>
      <c r="C126">
        <v>20081920</v>
      </c>
      <c r="D126" t="s">
        <v>132</v>
      </c>
      <c r="E126" t="s">
        <v>313</v>
      </c>
      <c r="F126" t="s">
        <v>404</v>
      </c>
      <c r="G126" s="8">
        <v>1000</v>
      </c>
      <c r="H126" t="s">
        <v>28</v>
      </c>
      <c r="I126" s="10">
        <v>1.71085</v>
      </c>
      <c r="J126" s="10">
        <v>1710.85</v>
      </c>
      <c r="K126">
        <v>1.71</v>
      </c>
      <c r="L126" t="s">
        <v>315</v>
      </c>
      <c r="M126" t="s">
        <v>316</v>
      </c>
      <c r="N126" t="s">
        <v>317</v>
      </c>
      <c r="O126" t="s">
        <v>60</v>
      </c>
      <c r="P126">
        <v>1000</v>
      </c>
      <c r="Q126" t="s">
        <v>28</v>
      </c>
      <c r="R126">
        <v>141000</v>
      </c>
      <c r="S126">
        <v>141</v>
      </c>
      <c r="T126" t="s">
        <v>114</v>
      </c>
      <c r="U126" t="s">
        <v>44</v>
      </c>
      <c r="V126">
        <v>20</v>
      </c>
      <c r="W126">
        <v>2008</v>
      </c>
      <c r="X126" s="17">
        <v>45363</v>
      </c>
      <c r="Y126">
        <v>107880600</v>
      </c>
      <c r="Z126" t="s">
        <v>318</v>
      </c>
      <c r="AC126" s="6"/>
      <c r="AH126" s="8"/>
      <c r="AJ126" s="10"/>
      <c r="AK126" s="10"/>
    </row>
    <row r="127" spans="1:37" x14ac:dyDescent="0.3">
      <c r="A127" s="6">
        <v>45381</v>
      </c>
      <c r="B127" s="11">
        <v>45381</v>
      </c>
      <c r="C127">
        <v>12079990</v>
      </c>
      <c r="D127" t="s">
        <v>177</v>
      </c>
      <c r="E127" t="s">
        <v>154</v>
      </c>
      <c r="F127" t="s">
        <v>79</v>
      </c>
      <c r="G127" s="8">
        <v>57.6</v>
      </c>
      <c r="H127" t="s">
        <v>28</v>
      </c>
      <c r="I127" s="10">
        <v>7.5270833333333336</v>
      </c>
      <c r="J127" s="10">
        <v>433.56</v>
      </c>
      <c r="K127">
        <v>7.53</v>
      </c>
      <c r="L127" t="s">
        <v>278</v>
      </c>
      <c r="M127" t="s">
        <v>67</v>
      </c>
      <c r="N127" t="s">
        <v>51</v>
      </c>
      <c r="O127" t="s">
        <v>32</v>
      </c>
      <c r="P127">
        <v>57.6</v>
      </c>
      <c r="Q127" t="s">
        <v>28</v>
      </c>
      <c r="R127">
        <v>443.52</v>
      </c>
      <c r="S127">
        <v>7.7</v>
      </c>
      <c r="T127" t="s">
        <v>33</v>
      </c>
      <c r="U127" t="s">
        <v>34</v>
      </c>
      <c r="V127">
        <v>12</v>
      </c>
      <c r="W127">
        <v>1207</v>
      </c>
      <c r="X127" s="17">
        <v>45364</v>
      </c>
      <c r="Y127">
        <v>108952489</v>
      </c>
      <c r="Z127" t="s">
        <v>158</v>
      </c>
      <c r="AC127" s="6"/>
      <c r="AH127" s="8"/>
      <c r="AJ127" s="10"/>
      <c r="AK127" s="10"/>
    </row>
    <row r="128" spans="1:37" x14ac:dyDescent="0.3">
      <c r="A128" s="6">
        <v>45384</v>
      </c>
      <c r="B128" s="11">
        <v>45384</v>
      </c>
      <c r="C128">
        <v>20081920</v>
      </c>
      <c r="D128" t="s">
        <v>390</v>
      </c>
      <c r="E128" t="s">
        <v>336</v>
      </c>
      <c r="F128" t="s">
        <v>337</v>
      </c>
      <c r="G128" s="8">
        <v>60</v>
      </c>
      <c r="H128" t="s">
        <v>28</v>
      </c>
      <c r="I128" s="10">
        <v>6.2435</v>
      </c>
      <c r="J128" s="10">
        <v>374.61</v>
      </c>
      <c r="K128">
        <v>6.24</v>
      </c>
      <c r="L128" t="s">
        <v>278</v>
      </c>
      <c r="M128" t="s">
        <v>67</v>
      </c>
      <c r="N128" t="s">
        <v>42</v>
      </c>
      <c r="O128" t="s">
        <v>32</v>
      </c>
      <c r="P128">
        <v>60</v>
      </c>
      <c r="Q128" t="s">
        <v>28</v>
      </c>
      <c r="R128">
        <v>31440</v>
      </c>
      <c r="S128">
        <v>524</v>
      </c>
      <c r="T128" t="s">
        <v>114</v>
      </c>
      <c r="U128" t="s">
        <v>44</v>
      </c>
      <c r="V128">
        <v>20</v>
      </c>
      <c r="W128">
        <v>2008</v>
      </c>
      <c r="X128" s="17">
        <v>45383</v>
      </c>
      <c r="Y128">
        <v>306684654</v>
      </c>
      <c r="Z128" t="s">
        <v>338</v>
      </c>
      <c r="AC128" s="6"/>
      <c r="AH128" s="8"/>
      <c r="AJ128" s="10"/>
      <c r="AK128" s="10"/>
    </row>
    <row r="129" spans="1:37" x14ac:dyDescent="0.3">
      <c r="A129" s="6">
        <v>45388</v>
      </c>
      <c r="B129" s="11">
        <v>45388</v>
      </c>
      <c r="C129">
        <v>20081920</v>
      </c>
      <c r="D129" t="s">
        <v>425</v>
      </c>
      <c r="E129" t="s">
        <v>204</v>
      </c>
      <c r="F129" t="s">
        <v>205</v>
      </c>
      <c r="G129" s="8">
        <v>360</v>
      </c>
      <c r="H129" t="s">
        <v>28</v>
      </c>
      <c r="I129" s="10">
        <v>6.8838333333333326</v>
      </c>
      <c r="J129" s="10">
        <v>2478.1799999999998</v>
      </c>
      <c r="K129">
        <v>6.88</v>
      </c>
      <c r="L129" t="s">
        <v>40</v>
      </c>
      <c r="M129" t="s">
        <v>41</v>
      </c>
      <c r="N129" t="s">
        <v>51</v>
      </c>
      <c r="O129" t="s">
        <v>32</v>
      </c>
      <c r="P129">
        <v>360</v>
      </c>
      <c r="Q129" t="s">
        <v>28</v>
      </c>
      <c r="R129">
        <v>2498.4</v>
      </c>
      <c r="S129">
        <v>6.94</v>
      </c>
      <c r="T129" t="s">
        <v>33</v>
      </c>
      <c r="U129" t="s">
        <v>44</v>
      </c>
      <c r="V129">
        <v>20</v>
      </c>
      <c r="W129">
        <v>2008</v>
      </c>
      <c r="X129" s="17">
        <v>45384</v>
      </c>
      <c r="Y129">
        <v>306740201</v>
      </c>
      <c r="Z129" t="s">
        <v>206</v>
      </c>
      <c r="AC129" s="6"/>
      <c r="AH129" s="8"/>
      <c r="AJ129" s="10"/>
      <c r="AK129" s="10"/>
    </row>
    <row r="130" spans="1:37" x14ac:dyDescent="0.3">
      <c r="A130" s="6">
        <v>45388</v>
      </c>
      <c r="B130" s="11">
        <v>45388</v>
      </c>
      <c r="C130">
        <v>20081920</v>
      </c>
      <c r="D130" t="s">
        <v>426</v>
      </c>
      <c r="E130" t="s">
        <v>204</v>
      </c>
      <c r="F130" t="s">
        <v>354</v>
      </c>
      <c r="G130" s="8">
        <v>360</v>
      </c>
      <c r="H130" t="s">
        <v>28</v>
      </c>
      <c r="I130" s="10">
        <v>6.8802222222222227</v>
      </c>
      <c r="J130" s="10">
        <v>2476.88</v>
      </c>
      <c r="K130">
        <v>6.88</v>
      </c>
      <c r="L130" t="s">
        <v>40</v>
      </c>
      <c r="M130" t="s">
        <v>41</v>
      </c>
      <c r="N130" t="s">
        <v>51</v>
      </c>
      <c r="O130" t="s">
        <v>32</v>
      </c>
      <c r="P130">
        <v>360</v>
      </c>
      <c r="Q130" t="s">
        <v>28</v>
      </c>
      <c r="R130">
        <v>2498.4</v>
      </c>
      <c r="S130">
        <v>6.94</v>
      </c>
      <c r="T130" t="s">
        <v>33</v>
      </c>
      <c r="U130" t="s">
        <v>44</v>
      </c>
      <c r="V130">
        <v>20</v>
      </c>
      <c r="W130">
        <v>2008</v>
      </c>
      <c r="X130" s="17">
        <v>45385</v>
      </c>
      <c r="Y130">
        <v>306740215</v>
      </c>
      <c r="Z130" t="s">
        <v>206</v>
      </c>
      <c r="AC130" s="6"/>
      <c r="AH130" s="8"/>
      <c r="AJ130" s="10"/>
      <c r="AK130" s="10"/>
    </row>
    <row r="131" spans="1:37" x14ac:dyDescent="0.3">
      <c r="A131" s="6">
        <v>45399</v>
      </c>
      <c r="B131" s="11">
        <v>45399</v>
      </c>
      <c r="C131">
        <v>20081920</v>
      </c>
      <c r="D131" t="s">
        <v>132</v>
      </c>
      <c r="E131" t="s">
        <v>313</v>
      </c>
      <c r="F131" t="s">
        <v>321</v>
      </c>
      <c r="G131" s="8">
        <v>1500</v>
      </c>
      <c r="H131" t="s">
        <v>28</v>
      </c>
      <c r="I131" s="10">
        <v>1.812346666666667</v>
      </c>
      <c r="J131" s="10">
        <v>2718.52</v>
      </c>
      <c r="K131">
        <v>1.81</v>
      </c>
      <c r="L131" t="s">
        <v>322</v>
      </c>
      <c r="M131" t="s">
        <v>316</v>
      </c>
      <c r="N131" t="s">
        <v>323</v>
      </c>
      <c r="O131" t="s">
        <v>60</v>
      </c>
      <c r="P131">
        <v>1500</v>
      </c>
      <c r="Q131" t="s">
        <v>28</v>
      </c>
      <c r="R131">
        <v>225000</v>
      </c>
      <c r="S131">
        <v>150</v>
      </c>
      <c r="T131" t="s">
        <v>114</v>
      </c>
      <c r="U131" t="s">
        <v>44</v>
      </c>
      <c r="V131">
        <v>20</v>
      </c>
      <c r="W131">
        <v>2008</v>
      </c>
      <c r="X131" s="17">
        <v>45386</v>
      </c>
      <c r="Y131">
        <v>310498208</v>
      </c>
      <c r="Z131" t="s">
        <v>318</v>
      </c>
      <c r="AC131" s="6"/>
      <c r="AH131" s="8"/>
      <c r="AJ131" s="10"/>
      <c r="AK131" s="10"/>
    </row>
    <row r="132" spans="1:37" x14ac:dyDescent="0.3">
      <c r="A132" s="6">
        <v>45400</v>
      </c>
      <c r="B132" s="11">
        <v>45400</v>
      </c>
      <c r="C132">
        <v>20081920</v>
      </c>
      <c r="D132" t="s">
        <v>177</v>
      </c>
      <c r="E132" t="s">
        <v>403</v>
      </c>
      <c r="F132" t="s">
        <v>404</v>
      </c>
      <c r="G132" s="8">
        <v>4000</v>
      </c>
      <c r="H132" t="s">
        <v>28</v>
      </c>
      <c r="I132" s="10">
        <v>1.6915249999999999</v>
      </c>
      <c r="J132" s="10">
        <v>6766.1</v>
      </c>
      <c r="K132">
        <v>1.69</v>
      </c>
      <c r="L132" t="s">
        <v>315</v>
      </c>
      <c r="M132" t="s">
        <v>316</v>
      </c>
      <c r="N132" t="s">
        <v>317</v>
      </c>
      <c r="O132" t="s">
        <v>60</v>
      </c>
      <c r="P132">
        <v>4000</v>
      </c>
      <c r="Q132" t="s">
        <v>28</v>
      </c>
      <c r="R132">
        <v>560000</v>
      </c>
      <c r="S132">
        <v>140</v>
      </c>
      <c r="T132" t="s">
        <v>114</v>
      </c>
      <c r="U132" t="s">
        <v>44</v>
      </c>
      <c r="V132">
        <v>20</v>
      </c>
      <c r="W132">
        <v>2008</v>
      </c>
      <c r="X132" s="17">
        <v>45387</v>
      </c>
      <c r="Y132">
        <v>307950503</v>
      </c>
      <c r="Z132" t="s">
        <v>405</v>
      </c>
      <c r="AC132" s="6"/>
      <c r="AH132" s="8"/>
      <c r="AJ132" s="10"/>
      <c r="AK132" s="10"/>
    </row>
    <row r="133" spans="1:37" x14ac:dyDescent="0.3">
      <c r="A133" s="6">
        <v>45401</v>
      </c>
      <c r="B133" s="11">
        <v>45401</v>
      </c>
      <c r="C133">
        <v>20081920</v>
      </c>
      <c r="D133" t="s">
        <v>132</v>
      </c>
      <c r="E133" t="s">
        <v>313</v>
      </c>
      <c r="F133" t="s">
        <v>427</v>
      </c>
      <c r="G133" s="8">
        <v>1500</v>
      </c>
      <c r="H133" t="s">
        <v>28</v>
      </c>
      <c r="I133" s="10">
        <v>1.9308399999999999</v>
      </c>
      <c r="J133" s="10">
        <v>2896.26</v>
      </c>
      <c r="K133">
        <v>1.93</v>
      </c>
      <c r="L133" t="s">
        <v>315</v>
      </c>
      <c r="M133" t="s">
        <v>316</v>
      </c>
      <c r="N133" t="s">
        <v>317</v>
      </c>
      <c r="O133" t="s">
        <v>60</v>
      </c>
      <c r="P133">
        <v>1500</v>
      </c>
      <c r="Q133" t="s">
        <v>28</v>
      </c>
      <c r="R133">
        <v>240000</v>
      </c>
      <c r="S133">
        <v>160</v>
      </c>
      <c r="T133" t="s">
        <v>114</v>
      </c>
      <c r="U133" t="s">
        <v>44</v>
      </c>
      <c r="V133">
        <v>20</v>
      </c>
      <c r="W133">
        <v>2008</v>
      </c>
      <c r="X133" s="17">
        <v>45388</v>
      </c>
      <c r="Y133">
        <v>307958872</v>
      </c>
      <c r="Z133" t="s">
        <v>318</v>
      </c>
      <c r="AC133" s="6"/>
      <c r="AH133" s="8"/>
      <c r="AJ133" s="10"/>
      <c r="AK133" s="10"/>
    </row>
    <row r="134" spans="1:37" x14ac:dyDescent="0.3">
      <c r="A134" s="6">
        <v>45405</v>
      </c>
      <c r="B134" s="11">
        <v>45405</v>
      </c>
      <c r="C134">
        <v>20081940</v>
      </c>
      <c r="D134" t="s">
        <v>428</v>
      </c>
      <c r="E134" t="s">
        <v>85</v>
      </c>
      <c r="F134" t="s">
        <v>418</v>
      </c>
      <c r="G134" s="8">
        <v>7</v>
      </c>
      <c r="H134" t="s">
        <v>28</v>
      </c>
      <c r="I134" s="10">
        <v>7.7114285714285709</v>
      </c>
      <c r="J134" s="10">
        <v>53.98</v>
      </c>
      <c r="K134">
        <v>7.71</v>
      </c>
      <c r="L134" t="s">
        <v>419</v>
      </c>
      <c r="M134" t="s">
        <v>88</v>
      </c>
      <c r="N134" t="s">
        <v>89</v>
      </c>
      <c r="O134" t="s">
        <v>32</v>
      </c>
      <c r="P134">
        <v>7</v>
      </c>
      <c r="Q134" t="s">
        <v>28</v>
      </c>
      <c r="R134">
        <v>55.09</v>
      </c>
      <c r="S134">
        <v>7.87</v>
      </c>
      <c r="T134" t="s">
        <v>33</v>
      </c>
      <c r="U134" t="s">
        <v>44</v>
      </c>
      <c r="V134">
        <v>20</v>
      </c>
      <c r="W134">
        <v>2008</v>
      </c>
      <c r="X134" s="17">
        <v>45389</v>
      </c>
      <c r="Y134">
        <v>309071433</v>
      </c>
      <c r="Z134" t="s">
        <v>92</v>
      </c>
      <c r="AC134" s="6"/>
      <c r="AH134" s="8"/>
      <c r="AJ134" s="10"/>
      <c r="AK134" s="10"/>
    </row>
    <row r="135" spans="1:37" x14ac:dyDescent="0.3">
      <c r="A135" s="6">
        <v>45407</v>
      </c>
      <c r="B135" s="11">
        <v>45407</v>
      </c>
      <c r="C135">
        <v>8028090</v>
      </c>
      <c r="D135" t="s">
        <v>132</v>
      </c>
      <c r="E135" t="s">
        <v>429</v>
      </c>
      <c r="F135" t="s">
        <v>430</v>
      </c>
      <c r="G135" s="8">
        <v>1000</v>
      </c>
      <c r="H135" t="s">
        <v>28</v>
      </c>
      <c r="I135" s="10">
        <v>1.4481299999999999</v>
      </c>
      <c r="J135" s="10">
        <v>1448.13</v>
      </c>
      <c r="K135">
        <v>1.45</v>
      </c>
      <c r="L135" t="s">
        <v>379</v>
      </c>
      <c r="M135" t="s">
        <v>316</v>
      </c>
      <c r="N135" t="s">
        <v>317</v>
      </c>
      <c r="O135" t="s">
        <v>60</v>
      </c>
      <c r="P135">
        <v>1000</v>
      </c>
      <c r="Q135" t="s">
        <v>28</v>
      </c>
      <c r="R135">
        <v>120000</v>
      </c>
      <c r="S135">
        <v>120</v>
      </c>
      <c r="T135" t="s">
        <v>114</v>
      </c>
      <c r="U135" t="s">
        <v>431</v>
      </c>
      <c r="V135">
        <v>8</v>
      </c>
      <c r="W135">
        <v>802</v>
      </c>
      <c r="X135" s="17">
        <v>45390</v>
      </c>
      <c r="Y135">
        <v>309459208</v>
      </c>
      <c r="Z135" t="s">
        <v>432</v>
      </c>
      <c r="AC135" s="6"/>
      <c r="AH135" s="8"/>
      <c r="AJ135" s="10"/>
      <c r="AK135" s="10"/>
    </row>
    <row r="136" spans="1:37" x14ac:dyDescent="0.3">
      <c r="A136" s="6">
        <v>45408</v>
      </c>
      <c r="B136" s="11">
        <v>45408</v>
      </c>
      <c r="C136">
        <v>20081920</v>
      </c>
      <c r="D136" t="s">
        <v>433</v>
      </c>
      <c r="E136" t="s">
        <v>38</v>
      </c>
      <c r="F136" t="s">
        <v>434</v>
      </c>
      <c r="G136" s="8">
        <v>1500</v>
      </c>
      <c r="H136" t="s">
        <v>28</v>
      </c>
      <c r="I136" s="10">
        <v>1.39276</v>
      </c>
      <c r="J136" s="10">
        <v>2089.14</v>
      </c>
      <c r="K136">
        <v>1392.76</v>
      </c>
      <c r="L136" t="s">
        <v>40</v>
      </c>
      <c r="M136" t="s">
        <v>41</v>
      </c>
      <c r="N136" t="s">
        <v>219</v>
      </c>
      <c r="O136" t="s">
        <v>32</v>
      </c>
      <c r="P136">
        <v>1.5</v>
      </c>
      <c r="Q136" t="s">
        <v>43</v>
      </c>
      <c r="R136">
        <v>2182.5</v>
      </c>
      <c r="S136">
        <v>1455</v>
      </c>
      <c r="T136" t="s">
        <v>33</v>
      </c>
      <c r="U136" t="s">
        <v>44</v>
      </c>
      <c r="V136">
        <v>20</v>
      </c>
      <c r="W136">
        <v>2008</v>
      </c>
      <c r="X136" s="17">
        <v>45391</v>
      </c>
      <c r="Y136">
        <v>309662643</v>
      </c>
      <c r="Z136" t="s">
        <v>45</v>
      </c>
      <c r="AC136" s="6"/>
      <c r="AH136" s="8"/>
      <c r="AJ136" s="10"/>
      <c r="AK136" s="10"/>
    </row>
    <row r="137" spans="1:37" x14ac:dyDescent="0.3">
      <c r="A137" s="6">
        <v>45410</v>
      </c>
      <c r="B137" s="11">
        <v>45410</v>
      </c>
      <c r="C137">
        <v>20081990</v>
      </c>
      <c r="D137" t="s">
        <v>177</v>
      </c>
      <c r="E137" t="s">
        <v>435</v>
      </c>
      <c r="F137" t="s">
        <v>436</v>
      </c>
      <c r="G137" s="8">
        <v>200</v>
      </c>
      <c r="H137" t="s">
        <v>28</v>
      </c>
      <c r="I137" s="10">
        <v>1.1850000000000001</v>
      </c>
      <c r="J137" s="10">
        <v>237</v>
      </c>
      <c r="K137">
        <v>1.19</v>
      </c>
      <c r="L137" t="s">
        <v>315</v>
      </c>
      <c r="M137" t="s">
        <v>316</v>
      </c>
      <c r="N137" t="s">
        <v>317</v>
      </c>
      <c r="O137" t="s">
        <v>60</v>
      </c>
      <c r="P137">
        <v>200</v>
      </c>
      <c r="Q137" t="s">
        <v>28</v>
      </c>
      <c r="R137">
        <v>20000</v>
      </c>
      <c r="S137">
        <v>100</v>
      </c>
      <c r="T137" t="s">
        <v>114</v>
      </c>
      <c r="U137" t="s">
        <v>44</v>
      </c>
      <c r="V137">
        <v>20</v>
      </c>
      <c r="W137">
        <v>2008</v>
      </c>
      <c r="X137" s="17">
        <v>45392</v>
      </c>
      <c r="Y137">
        <v>309459080</v>
      </c>
      <c r="Z137" t="s">
        <v>437</v>
      </c>
      <c r="AC137" s="6"/>
      <c r="AH137" s="8"/>
      <c r="AJ137" s="10"/>
      <c r="AK137" s="10"/>
    </row>
    <row r="138" spans="1:37" x14ac:dyDescent="0.3">
      <c r="A138" s="6">
        <v>45416</v>
      </c>
      <c r="B138" s="11">
        <v>45416</v>
      </c>
      <c r="C138">
        <v>20081920</v>
      </c>
      <c r="D138" t="s">
        <v>177</v>
      </c>
      <c r="E138" t="s">
        <v>313</v>
      </c>
      <c r="F138" t="s">
        <v>314</v>
      </c>
      <c r="G138" s="8">
        <v>2000</v>
      </c>
      <c r="H138" t="s">
        <v>28</v>
      </c>
      <c r="I138" s="10">
        <v>1.703605</v>
      </c>
      <c r="J138" s="10">
        <v>3407.21</v>
      </c>
      <c r="K138">
        <v>1.7</v>
      </c>
      <c r="L138" t="s">
        <v>315</v>
      </c>
      <c r="M138" t="s">
        <v>316</v>
      </c>
      <c r="N138" t="s">
        <v>317</v>
      </c>
      <c r="O138" t="s">
        <v>60</v>
      </c>
      <c r="P138">
        <v>2000</v>
      </c>
      <c r="Q138" t="s">
        <v>28</v>
      </c>
      <c r="R138">
        <v>282000</v>
      </c>
      <c r="S138">
        <v>141</v>
      </c>
      <c r="T138" t="s">
        <v>114</v>
      </c>
      <c r="U138" t="s">
        <v>44</v>
      </c>
      <c r="V138">
        <v>20</v>
      </c>
      <c r="W138">
        <v>2008</v>
      </c>
      <c r="X138" s="17">
        <v>45413</v>
      </c>
      <c r="Y138">
        <v>311562417</v>
      </c>
      <c r="Z138" t="s">
        <v>318</v>
      </c>
      <c r="AC138" s="6"/>
      <c r="AH138" s="8"/>
      <c r="AJ138" s="10"/>
      <c r="AK138" s="10"/>
    </row>
    <row r="139" spans="1:37" x14ac:dyDescent="0.3">
      <c r="A139" s="6">
        <v>45423</v>
      </c>
      <c r="B139" s="11">
        <v>45423</v>
      </c>
      <c r="C139">
        <v>20081920</v>
      </c>
      <c r="D139" t="s">
        <v>132</v>
      </c>
      <c r="E139" t="s">
        <v>313</v>
      </c>
      <c r="F139" t="s">
        <v>439</v>
      </c>
      <c r="G139" s="8">
        <v>4000</v>
      </c>
      <c r="H139" t="s">
        <v>28</v>
      </c>
      <c r="I139" s="10">
        <v>1.7036074999999999</v>
      </c>
      <c r="J139" s="10">
        <v>6814.43</v>
      </c>
      <c r="K139">
        <v>1.7</v>
      </c>
      <c r="L139" t="s">
        <v>379</v>
      </c>
      <c r="M139" t="s">
        <v>316</v>
      </c>
      <c r="N139" t="s">
        <v>317</v>
      </c>
      <c r="O139" t="s">
        <v>60</v>
      </c>
      <c r="P139">
        <v>4000</v>
      </c>
      <c r="Q139" t="s">
        <v>28</v>
      </c>
      <c r="R139">
        <v>564000</v>
      </c>
      <c r="S139">
        <v>141</v>
      </c>
      <c r="T139" t="s">
        <v>114</v>
      </c>
      <c r="U139" t="s">
        <v>44</v>
      </c>
      <c r="V139">
        <v>20</v>
      </c>
      <c r="W139">
        <v>2008</v>
      </c>
      <c r="X139" s="17">
        <v>45414</v>
      </c>
      <c r="Y139">
        <v>312812790</v>
      </c>
      <c r="Z139" t="s">
        <v>318</v>
      </c>
      <c r="AC139" s="6"/>
      <c r="AH139" s="8"/>
      <c r="AJ139" s="10"/>
      <c r="AK139" s="10"/>
    </row>
    <row r="140" spans="1:37" x14ac:dyDescent="0.3">
      <c r="A140" s="6">
        <v>45425</v>
      </c>
      <c r="B140" s="11">
        <v>45425</v>
      </c>
      <c r="C140">
        <v>12079990</v>
      </c>
      <c r="D140" t="s">
        <v>440</v>
      </c>
      <c r="E140" t="s">
        <v>441</v>
      </c>
      <c r="F140" t="s">
        <v>79</v>
      </c>
      <c r="G140" s="8">
        <v>100</v>
      </c>
      <c r="H140" t="s">
        <v>28</v>
      </c>
      <c r="I140" s="10">
        <v>4.8947000000000003</v>
      </c>
      <c r="J140" s="10">
        <v>489.47</v>
      </c>
      <c r="K140">
        <v>4894.7</v>
      </c>
      <c r="L140" t="s">
        <v>442</v>
      </c>
      <c r="M140" t="s">
        <v>443</v>
      </c>
      <c r="N140" t="s">
        <v>51</v>
      </c>
      <c r="O140" t="s">
        <v>32</v>
      </c>
      <c r="P140">
        <v>0.1</v>
      </c>
      <c r="Q140" t="s">
        <v>43</v>
      </c>
      <c r="R140">
        <v>508</v>
      </c>
      <c r="S140">
        <v>5080</v>
      </c>
      <c r="T140" t="s">
        <v>33</v>
      </c>
      <c r="U140" t="s">
        <v>34</v>
      </c>
      <c r="V140">
        <v>12</v>
      </c>
      <c r="W140">
        <v>1207</v>
      </c>
      <c r="X140" s="17">
        <v>45415</v>
      </c>
      <c r="Y140">
        <v>312988748</v>
      </c>
      <c r="Z140" t="s">
        <v>444</v>
      </c>
      <c r="AC140" s="6"/>
      <c r="AH140" s="8"/>
      <c r="AJ140" s="10"/>
      <c r="AK140" s="10"/>
    </row>
    <row r="141" spans="1:37" x14ac:dyDescent="0.3">
      <c r="A141" s="6">
        <v>45427</v>
      </c>
      <c r="B141" s="11">
        <v>45427</v>
      </c>
      <c r="C141">
        <v>20081920</v>
      </c>
      <c r="D141" t="s">
        <v>177</v>
      </c>
      <c r="E141" t="s">
        <v>313</v>
      </c>
      <c r="F141" t="s">
        <v>445</v>
      </c>
      <c r="G141" s="8">
        <v>100</v>
      </c>
      <c r="H141" t="s">
        <v>28</v>
      </c>
      <c r="I141" s="10">
        <v>1.7797000000000001</v>
      </c>
      <c r="J141" s="10">
        <v>177.97</v>
      </c>
      <c r="K141">
        <v>1.78</v>
      </c>
      <c r="L141" t="s">
        <v>315</v>
      </c>
      <c r="M141" t="s">
        <v>316</v>
      </c>
      <c r="N141" t="s">
        <v>317</v>
      </c>
      <c r="O141" t="s">
        <v>60</v>
      </c>
      <c r="P141">
        <v>100</v>
      </c>
      <c r="Q141" t="s">
        <v>28</v>
      </c>
      <c r="R141">
        <v>15000</v>
      </c>
      <c r="S141">
        <v>150</v>
      </c>
      <c r="T141" t="s">
        <v>114</v>
      </c>
      <c r="U141" t="s">
        <v>44</v>
      </c>
      <c r="V141">
        <v>20</v>
      </c>
      <c r="W141">
        <v>2008</v>
      </c>
      <c r="X141" s="17">
        <v>45416</v>
      </c>
      <c r="Y141">
        <v>312811690</v>
      </c>
      <c r="Z141" t="s">
        <v>318</v>
      </c>
      <c r="AC141" s="6"/>
      <c r="AH141" s="8"/>
      <c r="AJ141" s="10"/>
      <c r="AK141" s="10"/>
    </row>
    <row r="142" spans="1:37" x14ac:dyDescent="0.3">
      <c r="A142" s="6">
        <v>45435</v>
      </c>
      <c r="B142" s="11">
        <v>45435</v>
      </c>
      <c r="C142">
        <v>20081990</v>
      </c>
      <c r="D142" t="s">
        <v>177</v>
      </c>
      <c r="E142" t="s">
        <v>446</v>
      </c>
      <c r="F142" t="s">
        <v>447</v>
      </c>
      <c r="G142" s="8">
        <v>294</v>
      </c>
      <c r="H142" t="s">
        <v>28</v>
      </c>
      <c r="I142" s="10">
        <v>6.2716666666666674</v>
      </c>
      <c r="J142" s="10">
        <v>1843.87</v>
      </c>
      <c r="K142">
        <v>6.27</v>
      </c>
      <c r="L142" t="s">
        <v>278</v>
      </c>
      <c r="M142" t="s">
        <v>67</v>
      </c>
      <c r="N142" t="s">
        <v>42</v>
      </c>
      <c r="O142" t="s">
        <v>32</v>
      </c>
      <c r="P142">
        <v>294</v>
      </c>
      <c r="Q142" t="s">
        <v>28</v>
      </c>
      <c r="R142">
        <v>2499</v>
      </c>
      <c r="S142">
        <v>8.5</v>
      </c>
      <c r="T142" t="s">
        <v>448</v>
      </c>
      <c r="U142" t="s">
        <v>44</v>
      </c>
      <c r="V142">
        <v>20</v>
      </c>
      <c r="W142">
        <v>2008</v>
      </c>
      <c r="X142" s="17">
        <v>45417</v>
      </c>
      <c r="Y142">
        <v>315631230</v>
      </c>
      <c r="Z142" t="s">
        <v>449</v>
      </c>
      <c r="AC142" s="6"/>
      <c r="AH142" s="8"/>
      <c r="AJ142" s="10"/>
      <c r="AK142" s="10"/>
    </row>
    <row r="143" spans="1:37" x14ac:dyDescent="0.3">
      <c r="A143" s="6">
        <v>45438</v>
      </c>
      <c r="B143" s="11">
        <v>45438</v>
      </c>
      <c r="C143">
        <v>20081920</v>
      </c>
      <c r="D143" t="s">
        <v>177</v>
      </c>
      <c r="E143" t="s">
        <v>313</v>
      </c>
      <c r="F143" t="s">
        <v>450</v>
      </c>
      <c r="G143" s="8">
        <v>50</v>
      </c>
      <c r="H143" t="s">
        <v>28</v>
      </c>
      <c r="I143" s="10">
        <v>1.6718</v>
      </c>
      <c r="J143" s="10">
        <v>83.59</v>
      </c>
      <c r="K143">
        <v>1.67</v>
      </c>
      <c r="L143" t="s">
        <v>315</v>
      </c>
      <c r="M143" t="s">
        <v>316</v>
      </c>
      <c r="N143" t="s">
        <v>317</v>
      </c>
      <c r="O143" t="s">
        <v>60</v>
      </c>
      <c r="P143">
        <v>50</v>
      </c>
      <c r="Q143" t="s">
        <v>28</v>
      </c>
      <c r="R143">
        <v>7050</v>
      </c>
      <c r="S143">
        <v>141</v>
      </c>
      <c r="T143" t="s">
        <v>114</v>
      </c>
      <c r="U143" t="s">
        <v>44</v>
      </c>
      <c r="V143">
        <v>20</v>
      </c>
      <c r="W143">
        <v>2008</v>
      </c>
      <c r="X143" s="17">
        <v>45418</v>
      </c>
      <c r="Y143">
        <v>314208648</v>
      </c>
      <c r="Z143" t="s">
        <v>318</v>
      </c>
      <c r="AC143" s="6"/>
      <c r="AH143" s="8"/>
      <c r="AJ143" s="10"/>
      <c r="AK143" s="10"/>
    </row>
    <row r="144" spans="1:37" x14ac:dyDescent="0.3">
      <c r="A144" s="6">
        <v>45445</v>
      </c>
      <c r="B144" s="11">
        <v>45445</v>
      </c>
      <c r="C144">
        <v>20081920</v>
      </c>
      <c r="D144" t="s">
        <v>451</v>
      </c>
      <c r="E144" t="s">
        <v>452</v>
      </c>
      <c r="F144" t="s">
        <v>453</v>
      </c>
      <c r="G144" s="8">
        <v>1</v>
      </c>
      <c r="H144" t="s">
        <v>28</v>
      </c>
      <c r="I144" s="10">
        <v>9.49</v>
      </c>
      <c r="J144" s="10">
        <v>9.49</v>
      </c>
      <c r="K144">
        <v>9.49</v>
      </c>
      <c r="L144" t="s">
        <v>278</v>
      </c>
      <c r="M144" t="s">
        <v>67</v>
      </c>
      <c r="N144" t="s">
        <v>51</v>
      </c>
      <c r="O144" t="s">
        <v>32</v>
      </c>
      <c r="P144">
        <v>1</v>
      </c>
      <c r="Q144" t="s">
        <v>28</v>
      </c>
      <c r="R144">
        <v>800</v>
      </c>
      <c r="S144">
        <v>800</v>
      </c>
      <c r="T144" t="s">
        <v>114</v>
      </c>
      <c r="U144" t="s">
        <v>44</v>
      </c>
      <c r="V144">
        <v>20</v>
      </c>
      <c r="W144">
        <v>2008</v>
      </c>
      <c r="X144" s="17">
        <v>45444</v>
      </c>
      <c r="Y144">
        <v>316672911</v>
      </c>
      <c r="Z144" t="s">
        <v>455</v>
      </c>
      <c r="AC144" s="6"/>
      <c r="AH144" s="8"/>
      <c r="AJ144" s="10"/>
      <c r="AK144" s="10"/>
    </row>
    <row r="145" spans="1:37" x14ac:dyDescent="0.3">
      <c r="A145" s="6">
        <v>45446</v>
      </c>
      <c r="B145" s="11">
        <v>45446</v>
      </c>
      <c r="C145">
        <v>20081920</v>
      </c>
      <c r="D145" t="s">
        <v>177</v>
      </c>
      <c r="E145" t="s">
        <v>420</v>
      </c>
      <c r="F145" t="s">
        <v>244</v>
      </c>
      <c r="G145" s="8">
        <v>750</v>
      </c>
      <c r="H145" t="s">
        <v>28</v>
      </c>
      <c r="I145" s="10">
        <v>0.95199999999999996</v>
      </c>
      <c r="J145" s="10">
        <v>714</v>
      </c>
      <c r="K145">
        <v>0.95</v>
      </c>
      <c r="L145" t="s">
        <v>40</v>
      </c>
      <c r="M145" t="s">
        <v>41</v>
      </c>
      <c r="N145" t="s">
        <v>266</v>
      </c>
      <c r="O145" t="s">
        <v>32</v>
      </c>
      <c r="P145">
        <v>750</v>
      </c>
      <c r="Q145" t="s">
        <v>28</v>
      </c>
      <c r="R145">
        <v>817.5</v>
      </c>
      <c r="S145">
        <v>1.0900000000000001</v>
      </c>
      <c r="T145" t="s">
        <v>33</v>
      </c>
      <c r="U145" t="s">
        <v>44</v>
      </c>
      <c r="V145">
        <v>20</v>
      </c>
      <c r="W145">
        <v>2008</v>
      </c>
      <c r="X145" s="17">
        <v>45445</v>
      </c>
      <c r="Y145">
        <v>316725127</v>
      </c>
      <c r="Z145" t="s">
        <v>421</v>
      </c>
      <c r="AC145" s="6"/>
      <c r="AH145" s="8"/>
      <c r="AJ145" s="10"/>
      <c r="AK145" s="10"/>
    </row>
    <row r="146" spans="1:37" x14ac:dyDescent="0.3">
      <c r="A146" s="6">
        <v>45446</v>
      </c>
      <c r="B146" s="11">
        <v>45446</v>
      </c>
      <c r="C146">
        <v>20081940</v>
      </c>
      <c r="D146" t="s">
        <v>428</v>
      </c>
      <c r="E146" t="s">
        <v>85</v>
      </c>
      <c r="F146" t="s">
        <v>418</v>
      </c>
      <c r="G146" s="8">
        <v>7</v>
      </c>
      <c r="H146" t="s">
        <v>28</v>
      </c>
      <c r="I146" s="10">
        <v>7.7114285714285709</v>
      </c>
      <c r="J146" s="10">
        <v>53.98</v>
      </c>
      <c r="K146">
        <v>7.71</v>
      </c>
      <c r="L146" t="s">
        <v>419</v>
      </c>
      <c r="M146" t="s">
        <v>88</v>
      </c>
      <c r="N146" t="s">
        <v>89</v>
      </c>
      <c r="O146" t="s">
        <v>32</v>
      </c>
      <c r="P146">
        <v>7</v>
      </c>
      <c r="Q146" t="s">
        <v>28</v>
      </c>
      <c r="R146">
        <v>55.09</v>
      </c>
      <c r="S146">
        <v>7.87</v>
      </c>
      <c r="T146" t="s">
        <v>33</v>
      </c>
      <c r="U146" t="s">
        <v>44</v>
      </c>
      <c r="V146">
        <v>20</v>
      </c>
      <c r="W146">
        <v>2008</v>
      </c>
      <c r="X146" s="17">
        <v>45446</v>
      </c>
      <c r="Y146">
        <v>316201505</v>
      </c>
      <c r="Z146" t="s">
        <v>92</v>
      </c>
      <c r="AC146" s="6"/>
      <c r="AH146" s="8"/>
      <c r="AJ146" s="10"/>
      <c r="AK146" s="10"/>
    </row>
    <row r="147" spans="1:37" x14ac:dyDescent="0.3">
      <c r="A147" s="6">
        <v>45453</v>
      </c>
      <c r="B147" s="11">
        <v>45453</v>
      </c>
      <c r="C147">
        <v>20081920</v>
      </c>
      <c r="D147" t="s">
        <v>132</v>
      </c>
      <c r="E147" t="s">
        <v>313</v>
      </c>
      <c r="F147" t="s">
        <v>378</v>
      </c>
      <c r="G147" s="8">
        <v>1500</v>
      </c>
      <c r="H147" t="s">
        <v>28</v>
      </c>
      <c r="I147" s="10">
        <v>1.703606666666666</v>
      </c>
      <c r="J147" s="10">
        <v>2555.41</v>
      </c>
      <c r="K147">
        <v>1.7</v>
      </c>
      <c r="L147" t="s">
        <v>315</v>
      </c>
      <c r="M147" t="s">
        <v>316</v>
      </c>
      <c r="N147" t="s">
        <v>317</v>
      </c>
      <c r="O147" t="s">
        <v>60</v>
      </c>
      <c r="P147">
        <v>1500</v>
      </c>
      <c r="Q147" t="s">
        <v>28</v>
      </c>
      <c r="R147">
        <v>211500</v>
      </c>
      <c r="S147">
        <v>141</v>
      </c>
      <c r="T147" t="s">
        <v>114</v>
      </c>
      <c r="U147" t="s">
        <v>44</v>
      </c>
      <c r="V147">
        <v>20</v>
      </c>
      <c r="W147">
        <v>2008</v>
      </c>
      <c r="X147" s="17">
        <v>45447</v>
      </c>
      <c r="Y147">
        <v>316516284</v>
      </c>
      <c r="Z147" t="s">
        <v>318</v>
      </c>
      <c r="AC147" s="6"/>
      <c r="AH147" s="8"/>
      <c r="AJ147" s="10"/>
      <c r="AK147" s="10"/>
    </row>
    <row r="148" spans="1:37" x14ac:dyDescent="0.3">
      <c r="A148" s="6">
        <v>45454</v>
      </c>
      <c r="B148" s="11">
        <v>45454</v>
      </c>
      <c r="C148">
        <v>20081920</v>
      </c>
      <c r="D148" t="s">
        <v>456</v>
      </c>
      <c r="E148" t="s">
        <v>127</v>
      </c>
      <c r="F148" t="s">
        <v>79</v>
      </c>
      <c r="G148" s="8">
        <v>200</v>
      </c>
      <c r="H148" t="s">
        <v>28</v>
      </c>
      <c r="I148" s="10">
        <v>5.2365999999999993</v>
      </c>
      <c r="J148" s="10">
        <v>1047.32</v>
      </c>
      <c r="K148">
        <v>5.24</v>
      </c>
      <c r="L148" t="s">
        <v>80</v>
      </c>
      <c r="M148" t="s">
        <v>81</v>
      </c>
      <c r="N148" t="s">
        <v>51</v>
      </c>
      <c r="O148" t="s">
        <v>32</v>
      </c>
      <c r="P148">
        <v>200</v>
      </c>
      <c r="Q148" t="s">
        <v>28</v>
      </c>
      <c r="R148">
        <v>1150</v>
      </c>
      <c r="S148">
        <v>5.75</v>
      </c>
      <c r="T148" t="s">
        <v>33</v>
      </c>
      <c r="U148" t="s">
        <v>44</v>
      </c>
      <c r="V148">
        <v>20</v>
      </c>
      <c r="W148">
        <v>2008</v>
      </c>
      <c r="X148" s="17">
        <v>45448</v>
      </c>
      <c r="Y148">
        <v>317757097</v>
      </c>
      <c r="Z148" t="s">
        <v>130</v>
      </c>
      <c r="AC148" s="6"/>
      <c r="AH148" s="8"/>
      <c r="AJ148" s="10"/>
      <c r="AK148" s="10"/>
    </row>
    <row r="149" spans="1:37" x14ac:dyDescent="0.3">
      <c r="A149" s="6">
        <v>45454</v>
      </c>
      <c r="B149" s="11">
        <v>45454</v>
      </c>
      <c r="C149">
        <v>20081990</v>
      </c>
      <c r="D149" t="s">
        <v>177</v>
      </c>
      <c r="E149" t="s">
        <v>435</v>
      </c>
      <c r="F149" t="s">
        <v>436</v>
      </c>
      <c r="G149" s="8">
        <v>100</v>
      </c>
      <c r="H149" t="s">
        <v>28</v>
      </c>
      <c r="I149" s="10">
        <v>1.7797000000000001</v>
      </c>
      <c r="J149" s="10">
        <v>177.97</v>
      </c>
      <c r="K149">
        <v>1.78</v>
      </c>
      <c r="L149" t="s">
        <v>315</v>
      </c>
      <c r="M149" t="s">
        <v>316</v>
      </c>
      <c r="N149" t="s">
        <v>317</v>
      </c>
      <c r="O149" t="s">
        <v>60</v>
      </c>
      <c r="P149">
        <v>100</v>
      </c>
      <c r="Q149" t="s">
        <v>28</v>
      </c>
      <c r="R149">
        <v>15000</v>
      </c>
      <c r="S149">
        <v>150</v>
      </c>
      <c r="T149" t="s">
        <v>114</v>
      </c>
      <c r="U149" t="s">
        <v>44</v>
      </c>
      <c r="V149">
        <v>20</v>
      </c>
      <c r="W149">
        <v>2008</v>
      </c>
      <c r="X149" s="17">
        <v>45449</v>
      </c>
      <c r="Y149">
        <v>317795181</v>
      </c>
      <c r="Z149" t="s">
        <v>437</v>
      </c>
      <c r="AC149" s="6"/>
      <c r="AH149" s="8"/>
      <c r="AJ149" s="10"/>
      <c r="AK149" s="10"/>
    </row>
    <row r="150" spans="1:37" x14ac:dyDescent="0.3">
      <c r="A150" s="6">
        <v>45455</v>
      </c>
      <c r="B150" s="11">
        <v>45455</v>
      </c>
      <c r="C150">
        <v>12099990</v>
      </c>
      <c r="D150" t="s">
        <v>457</v>
      </c>
      <c r="E150" t="s">
        <v>256</v>
      </c>
      <c r="F150" t="s">
        <v>257</v>
      </c>
      <c r="G150" s="8">
        <v>50</v>
      </c>
      <c r="H150" t="s">
        <v>28</v>
      </c>
      <c r="I150" s="10">
        <v>5.5884</v>
      </c>
      <c r="J150" s="10">
        <v>279.42</v>
      </c>
      <c r="K150">
        <v>5.59</v>
      </c>
      <c r="L150" t="s">
        <v>189</v>
      </c>
      <c r="M150" t="s">
        <v>190</v>
      </c>
      <c r="N150" t="s">
        <v>51</v>
      </c>
      <c r="O150" t="s">
        <v>32</v>
      </c>
      <c r="P150">
        <v>50</v>
      </c>
      <c r="Q150" t="s">
        <v>28</v>
      </c>
      <c r="R150">
        <v>286</v>
      </c>
      <c r="S150">
        <v>5.72</v>
      </c>
      <c r="T150" t="s">
        <v>33</v>
      </c>
      <c r="U150" t="s">
        <v>163</v>
      </c>
      <c r="V150">
        <v>12</v>
      </c>
      <c r="W150">
        <v>1209</v>
      </c>
      <c r="X150" s="17">
        <v>45450</v>
      </c>
      <c r="Y150">
        <v>317731023</v>
      </c>
      <c r="Z150" t="s">
        <v>259</v>
      </c>
      <c r="AC150" s="6"/>
      <c r="AH150" s="8"/>
      <c r="AJ150" s="10"/>
      <c r="AK150" s="10"/>
    </row>
    <row r="151" spans="1:37" x14ac:dyDescent="0.3">
      <c r="A151" s="6">
        <v>45457</v>
      </c>
      <c r="B151" s="11">
        <v>45457</v>
      </c>
      <c r="C151">
        <v>8029900</v>
      </c>
      <c r="D151" t="s">
        <v>132</v>
      </c>
      <c r="E151" t="s">
        <v>429</v>
      </c>
      <c r="F151" t="s">
        <v>430</v>
      </c>
      <c r="G151" s="8">
        <v>500</v>
      </c>
      <c r="H151" t="s">
        <v>28</v>
      </c>
      <c r="I151" s="10">
        <v>1.4237200000000001</v>
      </c>
      <c r="J151" s="10">
        <v>711.86</v>
      </c>
      <c r="K151">
        <v>1.42</v>
      </c>
      <c r="L151" t="s">
        <v>379</v>
      </c>
      <c r="M151" t="s">
        <v>316</v>
      </c>
      <c r="N151" t="s">
        <v>317</v>
      </c>
      <c r="O151" t="s">
        <v>60</v>
      </c>
      <c r="P151">
        <v>500</v>
      </c>
      <c r="Q151" t="s">
        <v>28</v>
      </c>
      <c r="R151">
        <v>60000</v>
      </c>
      <c r="S151">
        <v>120</v>
      </c>
      <c r="T151" t="s">
        <v>114</v>
      </c>
      <c r="U151" t="s">
        <v>431</v>
      </c>
      <c r="V151">
        <v>8</v>
      </c>
      <c r="W151">
        <v>802</v>
      </c>
      <c r="X151" s="17">
        <v>45451</v>
      </c>
      <c r="Y151">
        <v>317795401</v>
      </c>
      <c r="Z151" t="s">
        <v>432</v>
      </c>
      <c r="AC151" s="6"/>
      <c r="AH151" s="8"/>
      <c r="AJ151" s="10"/>
      <c r="AK151" s="10"/>
    </row>
    <row r="152" spans="1:37" x14ac:dyDescent="0.3">
      <c r="A152" s="6">
        <v>45462</v>
      </c>
      <c r="B152" s="11">
        <v>45462</v>
      </c>
      <c r="C152">
        <v>20081920</v>
      </c>
      <c r="D152" t="s">
        <v>458</v>
      </c>
      <c r="E152" t="s">
        <v>387</v>
      </c>
      <c r="F152" t="s">
        <v>459</v>
      </c>
      <c r="G152" s="8">
        <v>175</v>
      </c>
      <c r="H152" t="s">
        <v>28</v>
      </c>
      <c r="I152" s="10">
        <v>5.4550285714285716</v>
      </c>
      <c r="J152" s="10">
        <v>954.63</v>
      </c>
      <c r="K152">
        <v>5.46</v>
      </c>
      <c r="L152" t="s">
        <v>40</v>
      </c>
      <c r="M152" t="s">
        <v>41</v>
      </c>
      <c r="N152" t="s">
        <v>42</v>
      </c>
      <c r="O152" t="s">
        <v>32</v>
      </c>
      <c r="P152">
        <v>175</v>
      </c>
      <c r="Q152" t="s">
        <v>28</v>
      </c>
      <c r="R152">
        <v>994</v>
      </c>
      <c r="S152">
        <v>5.68</v>
      </c>
      <c r="T152" t="s">
        <v>33</v>
      </c>
      <c r="U152" t="s">
        <v>44</v>
      </c>
      <c r="V152">
        <v>20</v>
      </c>
      <c r="W152">
        <v>2008</v>
      </c>
      <c r="X152" s="17">
        <v>45452</v>
      </c>
      <c r="Y152">
        <v>318005309</v>
      </c>
      <c r="Z152" t="s">
        <v>389</v>
      </c>
      <c r="AC152" s="6"/>
      <c r="AH152" s="8"/>
      <c r="AJ152" s="10"/>
      <c r="AK152" s="10"/>
    </row>
    <row r="153" spans="1:37" x14ac:dyDescent="0.3">
      <c r="A153" s="6">
        <v>45472</v>
      </c>
      <c r="B153" s="11">
        <v>45472</v>
      </c>
      <c r="C153">
        <v>20081920</v>
      </c>
      <c r="D153" t="s">
        <v>460</v>
      </c>
      <c r="E153" t="s">
        <v>363</v>
      </c>
      <c r="F153" t="s">
        <v>461</v>
      </c>
      <c r="G153" s="8">
        <v>500</v>
      </c>
      <c r="H153" t="s">
        <v>28</v>
      </c>
      <c r="I153" s="10">
        <v>5.9692999999999996</v>
      </c>
      <c r="J153" s="10">
        <v>2984.65</v>
      </c>
      <c r="K153">
        <v>5.97</v>
      </c>
      <c r="L153" t="s">
        <v>29</v>
      </c>
      <c r="M153" t="s">
        <v>30</v>
      </c>
      <c r="N153" t="s">
        <v>51</v>
      </c>
      <c r="O153" t="s">
        <v>32</v>
      </c>
      <c r="P153">
        <v>500</v>
      </c>
      <c r="Q153" t="s">
        <v>28</v>
      </c>
      <c r="R153">
        <v>3015</v>
      </c>
      <c r="S153">
        <v>6.03</v>
      </c>
      <c r="T153" t="s">
        <v>33</v>
      </c>
      <c r="U153" t="s">
        <v>44</v>
      </c>
      <c r="V153">
        <v>20</v>
      </c>
      <c r="W153">
        <v>2008</v>
      </c>
      <c r="X153" s="17">
        <v>45453</v>
      </c>
      <c r="Y153">
        <v>319428525</v>
      </c>
      <c r="Z153" t="s">
        <v>365</v>
      </c>
      <c r="AC153" s="6"/>
      <c r="AH153" s="8"/>
      <c r="AJ153" s="10"/>
      <c r="AK153" s="10"/>
    </row>
    <row r="154" spans="1:37" x14ac:dyDescent="0.3">
      <c r="A154" s="6">
        <v>45472</v>
      </c>
      <c r="B154" s="11">
        <v>45472</v>
      </c>
      <c r="C154">
        <v>20081930</v>
      </c>
      <c r="D154" t="s">
        <v>462</v>
      </c>
      <c r="E154" t="s">
        <v>463</v>
      </c>
      <c r="F154" t="s">
        <v>464</v>
      </c>
      <c r="G154" s="8">
        <v>30</v>
      </c>
      <c r="H154" t="s">
        <v>28</v>
      </c>
      <c r="I154" s="10">
        <v>5.4576666666666664</v>
      </c>
      <c r="J154" s="10">
        <v>163.72999999999999</v>
      </c>
      <c r="K154">
        <v>5.46</v>
      </c>
      <c r="L154" t="s">
        <v>465</v>
      </c>
      <c r="M154" t="s">
        <v>136</v>
      </c>
      <c r="N154" t="s">
        <v>466</v>
      </c>
      <c r="O154" t="s">
        <v>60</v>
      </c>
      <c r="P154">
        <v>30</v>
      </c>
      <c r="Q154" t="s">
        <v>28</v>
      </c>
      <c r="R154">
        <v>13800</v>
      </c>
      <c r="S154">
        <v>460</v>
      </c>
      <c r="T154" t="s">
        <v>114</v>
      </c>
      <c r="U154" t="s">
        <v>44</v>
      </c>
      <c r="V154">
        <v>20</v>
      </c>
      <c r="W154">
        <v>2008</v>
      </c>
      <c r="X154" s="17">
        <v>45454</v>
      </c>
      <c r="Y154">
        <v>318999372</v>
      </c>
      <c r="Z154" t="s">
        <v>467</v>
      </c>
      <c r="AC154" s="6"/>
      <c r="AH154" s="8"/>
      <c r="AJ154" s="10"/>
      <c r="AK154" s="10"/>
    </row>
    <row r="155" spans="1:37" x14ac:dyDescent="0.3">
      <c r="A155" s="6">
        <v>45472</v>
      </c>
      <c r="B155" s="11">
        <v>45472</v>
      </c>
      <c r="C155">
        <v>20081930</v>
      </c>
      <c r="D155" t="s">
        <v>177</v>
      </c>
      <c r="E155" t="s">
        <v>463</v>
      </c>
      <c r="F155" t="s">
        <v>464</v>
      </c>
      <c r="G155" s="8">
        <v>25</v>
      </c>
      <c r="H155" t="s">
        <v>28</v>
      </c>
      <c r="I155" s="10">
        <v>4.7460000000000004</v>
      </c>
      <c r="J155" s="10">
        <v>118.65</v>
      </c>
      <c r="K155">
        <v>4.75</v>
      </c>
      <c r="L155" t="s">
        <v>465</v>
      </c>
      <c r="M155" t="s">
        <v>136</v>
      </c>
      <c r="N155" t="s">
        <v>466</v>
      </c>
      <c r="O155" t="s">
        <v>60</v>
      </c>
      <c r="P155">
        <v>25</v>
      </c>
      <c r="Q155" t="s">
        <v>28</v>
      </c>
      <c r="R155">
        <v>10000</v>
      </c>
      <c r="S155">
        <v>400</v>
      </c>
      <c r="T155" t="s">
        <v>114</v>
      </c>
      <c r="U155" t="s">
        <v>44</v>
      </c>
      <c r="V155">
        <v>20</v>
      </c>
      <c r="W155">
        <v>2008</v>
      </c>
      <c r="X155" s="17">
        <v>45455</v>
      </c>
      <c r="Y155">
        <v>318999865</v>
      </c>
      <c r="Z155" t="s">
        <v>467</v>
      </c>
      <c r="AC155" s="6"/>
      <c r="AH155" s="8"/>
      <c r="AJ155" s="10"/>
      <c r="AK155" s="10"/>
    </row>
    <row r="156" spans="1:37" x14ac:dyDescent="0.3">
      <c r="A156" s="6">
        <v>45474</v>
      </c>
      <c r="B156" s="11">
        <v>45474</v>
      </c>
      <c r="C156">
        <v>12129990</v>
      </c>
      <c r="D156" t="s">
        <v>346</v>
      </c>
      <c r="E156" t="s">
        <v>47</v>
      </c>
      <c r="F156" t="s">
        <v>74</v>
      </c>
      <c r="G156" s="8">
        <v>595</v>
      </c>
      <c r="H156" t="s">
        <v>28</v>
      </c>
      <c r="I156" s="10">
        <v>5.4478655462184884</v>
      </c>
      <c r="J156" s="10">
        <v>3241.48</v>
      </c>
      <c r="K156">
        <v>5.45</v>
      </c>
      <c r="L156" t="s">
        <v>75</v>
      </c>
      <c r="M156" t="s">
        <v>50</v>
      </c>
      <c r="N156" t="s">
        <v>51</v>
      </c>
      <c r="O156" t="s">
        <v>32</v>
      </c>
      <c r="P156">
        <v>595</v>
      </c>
      <c r="Q156" t="s">
        <v>28</v>
      </c>
      <c r="R156">
        <v>2856</v>
      </c>
      <c r="S156">
        <v>4.8</v>
      </c>
      <c r="T156" t="s">
        <v>52</v>
      </c>
      <c r="U156" t="s">
        <v>95</v>
      </c>
      <c r="V156">
        <v>12</v>
      </c>
      <c r="W156">
        <v>1212</v>
      </c>
      <c r="X156" s="17">
        <v>45474</v>
      </c>
      <c r="Y156">
        <v>325105471</v>
      </c>
      <c r="Z156" t="s">
        <v>53</v>
      </c>
      <c r="AC156" s="6"/>
      <c r="AH156" s="8"/>
      <c r="AJ156" s="10"/>
      <c r="AK156" s="10"/>
    </row>
    <row r="157" spans="1:37" x14ac:dyDescent="0.3">
      <c r="A157" s="6">
        <v>45476</v>
      </c>
      <c r="B157" s="11">
        <v>45476</v>
      </c>
      <c r="C157">
        <v>12077010</v>
      </c>
      <c r="D157" t="s">
        <v>469</v>
      </c>
      <c r="E157" t="s">
        <v>470</v>
      </c>
      <c r="F157" t="s">
        <v>471</v>
      </c>
      <c r="G157" s="8">
        <v>50</v>
      </c>
      <c r="H157" t="s">
        <v>28</v>
      </c>
      <c r="I157" s="10">
        <v>7.3403999999999998</v>
      </c>
      <c r="J157" s="10">
        <v>367.02</v>
      </c>
      <c r="K157">
        <v>7.34</v>
      </c>
      <c r="L157" t="s">
        <v>278</v>
      </c>
      <c r="M157" t="s">
        <v>67</v>
      </c>
      <c r="N157" t="s">
        <v>42</v>
      </c>
      <c r="O157" t="s">
        <v>32</v>
      </c>
      <c r="P157">
        <v>50</v>
      </c>
      <c r="Q157" t="s">
        <v>28</v>
      </c>
      <c r="R157">
        <v>510</v>
      </c>
      <c r="S157">
        <v>10.199999999999999</v>
      </c>
      <c r="T157" t="s">
        <v>448</v>
      </c>
      <c r="U157" t="s">
        <v>34</v>
      </c>
      <c r="V157">
        <v>12</v>
      </c>
      <c r="W157">
        <v>1207</v>
      </c>
      <c r="X157" s="17">
        <v>45475</v>
      </c>
      <c r="Y157">
        <v>326032640</v>
      </c>
      <c r="Z157" t="s">
        <v>472</v>
      </c>
      <c r="AC157" s="6"/>
      <c r="AH157" s="8"/>
      <c r="AJ157" s="10"/>
      <c r="AK157" s="10"/>
    </row>
    <row r="158" spans="1:37" x14ac:dyDescent="0.3">
      <c r="A158" s="6">
        <v>45477</v>
      </c>
      <c r="B158" s="11">
        <v>45477</v>
      </c>
      <c r="C158">
        <v>20081930</v>
      </c>
      <c r="D158" t="s">
        <v>177</v>
      </c>
      <c r="E158" t="s">
        <v>463</v>
      </c>
      <c r="F158" t="s">
        <v>464</v>
      </c>
      <c r="G158" s="8">
        <v>25</v>
      </c>
      <c r="H158" t="s">
        <v>28</v>
      </c>
      <c r="I158" s="10">
        <v>4.7460000000000004</v>
      </c>
      <c r="J158" s="10">
        <v>118.65</v>
      </c>
      <c r="K158">
        <v>4.75</v>
      </c>
      <c r="L158" t="s">
        <v>465</v>
      </c>
      <c r="M158" t="s">
        <v>136</v>
      </c>
      <c r="N158" t="s">
        <v>466</v>
      </c>
      <c r="O158" t="s">
        <v>60</v>
      </c>
      <c r="P158">
        <v>25</v>
      </c>
      <c r="Q158" t="s">
        <v>28</v>
      </c>
      <c r="R158">
        <v>10000</v>
      </c>
      <c r="S158">
        <v>400</v>
      </c>
      <c r="T158" t="s">
        <v>114</v>
      </c>
      <c r="U158" t="s">
        <v>44</v>
      </c>
      <c r="V158">
        <v>20</v>
      </c>
      <c r="W158">
        <v>2008</v>
      </c>
      <c r="X158" s="17">
        <v>45476</v>
      </c>
      <c r="Y158">
        <v>325640866</v>
      </c>
      <c r="Z158" t="s">
        <v>467</v>
      </c>
      <c r="AC158" s="6"/>
      <c r="AH158" s="8"/>
      <c r="AJ158" s="10"/>
      <c r="AK158" s="10"/>
    </row>
    <row r="159" spans="1:37" x14ac:dyDescent="0.3">
      <c r="A159" s="6">
        <v>45477</v>
      </c>
      <c r="B159" s="11">
        <v>45477</v>
      </c>
      <c r="C159">
        <v>20081930</v>
      </c>
      <c r="D159" t="s">
        <v>462</v>
      </c>
      <c r="E159" t="s">
        <v>463</v>
      </c>
      <c r="F159" t="s">
        <v>464</v>
      </c>
      <c r="G159" s="8">
        <v>30</v>
      </c>
      <c r="H159" t="s">
        <v>28</v>
      </c>
      <c r="I159" s="10">
        <v>5.4576666666666664</v>
      </c>
      <c r="J159" s="10">
        <v>163.72999999999999</v>
      </c>
      <c r="K159">
        <v>5.46</v>
      </c>
      <c r="L159" t="s">
        <v>465</v>
      </c>
      <c r="M159" t="s">
        <v>136</v>
      </c>
      <c r="N159" t="s">
        <v>466</v>
      </c>
      <c r="O159" t="s">
        <v>60</v>
      </c>
      <c r="P159">
        <v>30</v>
      </c>
      <c r="Q159" t="s">
        <v>28</v>
      </c>
      <c r="R159">
        <v>13800</v>
      </c>
      <c r="S159">
        <v>460</v>
      </c>
      <c r="T159" t="s">
        <v>114</v>
      </c>
      <c r="U159" t="s">
        <v>44</v>
      </c>
      <c r="V159">
        <v>20</v>
      </c>
      <c r="W159">
        <v>2008</v>
      </c>
      <c r="X159" s="17">
        <v>45477</v>
      </c>
      <c r="Y159">
        <v>325645731</v>
      </c>
      <c r="Z159" t="s">
        <v>467</v>
      </c>
      <c r="AC159" s="6"/>
      <c r="AH159" s="8"/>
      <c r="AJ159" s="10"/>
      <c r="AK159" s="10"/>
    </row>
    <row r="160" spans="1:37" x14ac:dyDescent="0.3">
      <c r="A160" s="6">
        <v>45479</v>
      </c>
      <c r="B160" s="11">
        <v>45479</v>
      </c>
      <c r="C160">
        <v>20081920</v>
      </c>
      <c r="D160" t="s">
        <v>473</v>
      </c>
      <c r="E160" t="s">
        <v>474</v>
      </c>
      <c r="F160" t="s">
        <v>475</v>
      </c>
      <c r="G160" s="8">
        <v>1000</v>
      </c>
      <c r="H160" t="s">
        <v>28</v>
      </c>
      <c r="I160" s="10">
        <v>4.6516999999999999</v>
      </c>
      <c r="J160" s="10">
        <v>4651.7</v>
      </c>
      <c r="K160">
        <v>4.6500000000000004</v>
      </c>
      <c r="L160" t="s">
        <v>476</v>
      </c>
      <c r="M160" t="s">
        <v>316</v>
      </c>
      <c r="N160" t="s">
        <v>477</v>
      </c>
      <c r="O160" t="s">
        <v>60</v>
      </c>
      <c r="P160">
        <v>1000</v>
      </c>
      <c r="Q160" t="s">
        <v>28</v>
      </c>
      <c r="R160">
        <v>385000</v>
      </c>
      <c r="S160">
        <v>385</v>
      </c>
      <c r="T160" t="s">
        <v>114</v>
      </c>
      <c r="U160" t="s">
        <v>44</v>
      </c>
      <c r="V160">
        <v>20</v>
      </c>
      <c r="W160">
        <v>2008</v>
      </c>
      <c r="X160" s="17">
        <v>45478</v>
      </c>
      <c r="Y160">
        <v>334387293</v>
      </c>
      <c r="Z160" t="s">
        <v>478</v>
      </c>
      <c r="AC160" s="6"/>
      <c r="AH160" s="8"/>
      <c r="AJ160" s="10"/>
      <c r="AK160" s="10"/>
    </row>
    <row r="161" spans="1:37" x14ac:dyDescent="0.3">
      <c r="A161" s="6">
        <v>45480</v>
      </c>
      <c r="B161" s="11">
        <v>45480</v>
      </c>
      <c r="C161">
        <v>20081920</v>
      </c>
      <c r="D161" t="s">
        <v>132</v>
      </c>
      <c r="E161" t="s">
        <v>313</v>
      </c>
      <c r="F161" t="s">
        <v>479</v>
      </c>
      <c r="G161" s="8">
        <v>1000</v>
      </c>
      <c r="H161" t="s">
        <v>28</v>
      </c>
      <c r="I161" s="10">
        <v>1.7036100000000001</v>
      </c>
      <c r="J161" s="10">
        <v>1703.61</v>
      </c>
      <c r="K161">
        <v>1.7</v>
      </c>
      <c r="L161" t="s">
        <v>315</v>
      </c>
      <c r="M161" t="s">
        <v>316</v>
      </c>
      <c r="N161" t="s">
        <v>317</v>
      </c>
      <c r="O161" t="s">
        <v>60</v>
      </c>
      <c r="P161">
        <v>1000</v>
      </c>
      <c r="Q161" t="s">
        <v>28</v>
      </c>
      <c r="R161">
        <v>141000</v>
      </c>
      <c r="S161">
        <v>141</v>
      </c>
      <c r="T161" t="s">
        <v>114</v>
      </c>
      <c r="U161" t="s">
        <v>44</v>
      </c>
      <c r="V161">
        <v>20</v>
      </c>
      <c r="W161">
        <v>2008</v>
      </c>
      <c r="X161" s="17">
        <v>45479</v>
      </c>
      <c r="Y161">
        <v>326047604</v>
      </c>
      <c r="Z161" t="s">
        <v>318</v>
      </c>
      <c r="AC161" s="6"/>
      <c r="AH161" s="8"/>
      <c r="AJ161" s="10"/>
      <c r="AK161" s="10"/>
    </row>
    <row r="162" spans="1:37" x14ac:dyDescent="0.3">
      <c r="A162" s="6">
        <v>45483</v>
      </c>
      <c r="B162" s="11">
        <v>45483</v>
      </c>
      <c r="C162">
        <v>20081920</v>
      </c>
      <c r="D162" t="s">
        <v>480</v>
      </c>
      <c r="E162" t="s">
        <v>127</v>
      </c>
      <c r="F162" t="s">
        <v>79</v>
      </c>
      <c r="G162" s="8">
        <v>100</v>
      </c>
      <c r="H162" t="s">
        <v>28</v>
      </c>
      <c r="I162" s="10">
        <v>4.6247999999999996</v>
      </c>
      <c r="J162" s="10">
        <v>462.48</v>
      </c>
      <c r="K162">
        <v>4.62</v>
      </c>
      <c r="L162" t="s">
        <v>128</v>
      </c>
      <c r="M162" t="s">
        <v>129</v>
      </c>
      <c r="N162" t="s">
        <v>51</v>
      </c>
      <c r="O162" t="s">
        <v>32</v>
      </c>
      <c r="P162">
        <v>100</v>
      </c>
      <c r="Q162" t="s">
        <v>28</v>
      </c>
      <c r="R162">
        <v>520</v>
      </c>
      <c r="S162">
        <v>5.2</v>
      </c>
      <c r="T162" t="s">
        <v>33</v>
      </c>
      <c r="U162" t="s">
        <v>44</v>
      </c>
      <c r="V162">
        <v>20</v>
      </c>
      <c r="W162">
        <v>2008</v>
      </c>
      <c r="X162" s="17">
        <v>45480</v>
      </c>
      <c r="Y162">
        <v>326079373</v>
      </c>
      <c r="Z162" t="s">
        <v>130</v>
      </c>
      <c r="AC162" s="6"/>
      <c r="AH162" s="8"/>
      <c r="AJ162" s="10"/>
      <c r="AK162" s="10"/>
    </row>
    <row r="163" spans="1:37" x14ac:dyDescent="0.3">
      <c r="A163" s="6">
        <v>45489</v>
      </c>
      <c r="B163" s="11">
        <v>45489</v>
      </c>
      <c r="C163">
        <v>20081920</v>
      </c>
      <c r="D163" t="s">
        <v>481</v>
      </c>
      <c r="E163" t="s">
        <v>127</v>
      </c>
      <c r="F163" t="s">
        <v>79</v>
      </c>
      <c r="G163" s="8">
        <v>400</v>
      </c>
      <c r="H163" t="s">
        <v>28</v>
      </c>
      <c r="I163" s="10">
        <v>5.23</v>
      </c>
      <c r="J163" s="10">
        <v>2092</v>
      </c>
      <c r="K163">
        <v>5.23</v>
      </c>
      <c r="L163" t="s">
        <v>80</v>
      </c>
      <c r="M163" t="s">
        <v>81</v>
      </c>
      <c r="N163" t="s">
        <v>51</v>
      </c>
      <c r="O163" t="s">
        <v>32</v>
      </c>
      <c r="P163">
        <v>400</v>
      </c>
      <c r="Q163" t="s">
        <v>28</v>
      </c>
      <c r="R163">
        <v>2300</v>
      </c>
      <c r="S163">
        <v>5.75</v>
      </c>
      <c r="T163" t="s">
        <v>33</v>
      </c>
      <c r="U163" t="s">
        <v>44</v>
      </c>
      <c r="V163">
        <v>20</v>
      </c>
      <c r="W163">
        <v>2008</v>
      </c>
      <c r="X163" s="17">
        <v>45481</v>
      </c>
      <c r="Y163">
        <v>327464979</v>
      </c>
      <c r="Z163" t="s">
        <v>130</v>
      </c>
      <c r="AC163" s="6"/>
      <c r="AH163" s="8"/>
      <c r="AJ163" s="10"/>
      <c r="AK163" s="10"/>
    </row>
    <row r="164" spans="1:37" x14ac:dyDescent="0.3">
      <c r="A164" s="6">
        <v>45491</v>
      </c>
      <c r="B164" s="11">
        <v>45491</v>
      </c>
      <c r="C164">
        <v>12079990</v>
      </c>
      <c r="D164" t="s">
        <v>177</v>
      </c>
      <c r="E164" t="s">
        <v>154</v>
      </c>
      <c r="F164" t="s">
        <v>79</v>
      </c>
      <c r="G164" s="8">
        <v>67.2</v>
      </c>
      <c r="H164" t="s">
        <v>28</v>
      </c>
      <c r="I164" s="10">
        <v>7.4953869047619044</v>
      </c>
      <c r="J164" s="10">
        <v>503.69</v>
      </c>
      <c r="K164">
        <v>7.5</v>
      </c>
      <c r="L164" t="s">
        <v>278</v>
      </c>
      <c r="M164" t="s">
        <v>67</v>
      </c>
      <c r="N164" t="s">
        <v>51</v>
      </c>
      <c r="O164" t="s">
        <v>32</v>
      </c>
      <c r="P164">
        <v>67.2</v>
      </c>
      <c r="Q164" t="s">
        <v>28</v>
      </c>
      <c r="R164">
        <v>515.41999999999996</v>
      </c>
      <c r="S164">
        <v>7.67</v>
      </c>
      <c r="T164" t="s">
        <v>33</v>
      </c>
      <c r="U164" t="s">
        <v>34</v>
      </c>
      <c r="V164">
        <v>12</v>
      </c>
      <c r="W164">
        <v>1207</v>
      </c>
      <c r="X164" s="17">
        <v>45482</v>
      </c>
      <c r="Y164">
        <v>326379272</v>
      </c>
      <c r="Z164" t="s">
        <v>158</v>
      </c>
      <c r="AC164" s="6"/>
      <c r="AH164" s="8"/>
      <c r="AJ164" s="10"/>
      <c r="AK164" s="10"/>
    </row>
    <row r="165" spans="1:37" x14ac:dyDescent="0.3">
      <c r="A165" s="6">
        <v>45492</v>
      </c>
      <c r="B165" s="11">
        <v>45492</v>
      </c>
      <c r="C165">
        <v>20081920</v>
      </c>
      <c r="D165" t="s">
        <v>132</v>
      </c>
      <c r="E165" t="s">
        <v>313</v>
      </c>
      <c r="F165" t="s">
        <v>482</v>
      </c>
      <c r="G165" s="8">
        <v>1000</v>
      </c>
      <c r="H165" t="s">
        <v>28</v>
      </c>
      <c r="I165" s="10">
        <v>1.7036100000000001</v>
      </c>
      <c r="J165" s="10">
        <v>1703.61</v>
      </c>
      <c r="K165">
        <v>1.7</v>
      </c>
      <c r="L165" t="s">
        <v>322</v>
      </c>
      <c r="M165" t="s">
        <v>316</v>
      </c>
      <c r="N165" t="s">
        <v>323</v>
      </c>
      <c r="O165" t="s">
        <v>60</v>
      </c>
      <c r="P165">
        <v>1000</v>
      </c>
      <c r="Q165" t="s">
        <v>28</v>
      </c>
      <c r="R165">
        <v>141000</v>
      </c>
      <c r="S165">
        <v>141</v>
      </c>
      <c r="T165" t="s">
        <v>114</v>
      </c>
      <c r="U165" t="s">
        <v>44</v>
      </c>
      <c r="V165">
        <v>20</v>
      </c>
      <c r="W165">
        <v>2008</v>
      </c>
      <c r="X165" s="17">
        <v>45483</v>
      </c>
      <c r="Y165">
        <v>334414011</v>
      </c>
      <c r="Z165" t="s">
        <v>318</v>
      </c>
      <c r="AC165" s="6"/>
      <c r="AH165" s="8"/>
      <c r="AJ165" s="10"/>
      <c r="AK165" s="10"/>
    </row>
    <row r="166" spans="1:37" x14ac:dyDescent="0.3">
      <c r="A166" s="6">
        <v>45492</v>
      </c>
      <c r="B166" s="11">
        <v>45492</v>
      </c>
      <c r="C166">
        <v>20081920</v>
      </c>
      <c r="D166" t="s">
        <v>132</v>
      </c>
      <c r="E166" t="s">
        <v>313</v>
      </c>
      <c r="F166" t="s">
        <v>483</v>
      </c>
      <c r="G166" s="8">
        <v>1000</v>
      </c>
      <c r="H166" t="s">
        <v>28</v>
      </c>
      <c r="I166" s="10">
        <v>1.7036100000000001</v>
      </c>
      <c r="J166" s="10">
        <v>1703.61</v>
      </c>
      <c r="K166">
        <v>1.7</v>
      </c>
      <c r="L166" t="s">
        <v>315</v>
      </c>
      <c r="M166" t="s">
        <v>316</v>
      </c>
      <c r="N166" t="s">
        <v>317</v>
      </c>
      <c r="O166" t="s">
        <v>60</v>
      </c>
      <c r="P166">
        <v>1000</v>
      </c>
      <c r="Q166" t="s">
        <v>28</v>
      </c>
      <c r="R166">
        <v>141000</v>
      </c>
      <c r="S166">
        <v>141</v>
      </c>
      <c r="T166" t="s">
        <v>114</v>
      </c>
      <c r="U166" t="s">
        <v>44</v>
      </c>
      <c r="V166">
        <v>20</v>
      </c>
      <c r="W166">
        <v>2008</v>
      </c>
      <c r="X166" s="17">
        <v>45484</v>
      </c>
      <c r="Y166">
        <v>326887918</v>
      </c>
      <c r="Z166" t="s">
        <v>318</v>
      </c>
      <c r="AC166" s="6"/>
      <c r="AH166" s="8"/>
      <c r="AJ166" s="10"/>
      <c r="AK166" s="10"/>
    </row>
    <row r="167" spans="1:37" x14ac:dyDescent="0.3">
      <c r="A167" s="6">
        <v>45500</v>
      </c>
      <c r="B167" s="11">
        <v>45500</v>
      </c>
      <c r="C167">
        <v>20081920</v>
      </c>
      <c r="D167" t="s">
        <v>132</v>
      </c>
      <c r="E167" t="s">
        <v>313</v>
      </c>
      <c r="F167" t="s">
        <v>314</v>
      </c>
      <c r="G167" s="8">
        <v>500</v>
      </c>
      <c r="H167" t="s">
        <v>28</v>
      </c>
      <c r="I167" s="10">
        <v>1.6728799999999999</v>
      </c>
      <c r="J167" s="10">
        <v>836.44</v>
      </c>
      <c r="K167">
        <v>1.67</v>
      </c>
      <c r="L167" t="s">
        <v>315</v>
      </c>
      <c r="M167" t="s">
        <v>316</v>
      </c>
      <c r="N167" t="s">
        <v>317</v>
      </c>
      <c r="O167" t="s">
        <v>60</v>
      </c>
      <c r="P167">
        <v>500</v>
      </c>
      <c r="Q167" t="s">
        <v>28</v>
      </c>
      <c r="R167">
        <v>70500</v>
      </c>
      <c r="S167">
        <v>141</v>
      </c>
      <c r="T167" t="s">
        <v>114</v>
      </c>
      <c r="U167" t="s">
        <v>44</v>
      </c>
      <c r="V167">
        <v>20</v>
      </c>
      <c r="W167">
        <v>2008</v>
      </c>
      <c r="X167" s="17">
        <v>45485</v>
      </c>
      <c r="Y167">
        <v>329020937</v>
      </c>
      <c r="Z167" t="s">
        <v>318</v>
      </c>
      <c r="AC167" s="6"/>
      <c r="AH167" s="8"/>
      <c r="AJ167" s="10"/>
      <c r="AK167" s="10"/>
    </row>
    <row r="168" spans="1:37" x14ac:dyDescent="0.3">
      <c r="A168" s="6">
        <v>45500</v>
      </c>
      <c r="B168" s="11">
        <v>45500</v>
      </c>
      <c r="C168">
        <v>20081990</v>
      </c>
      <c r="D168" t="s">
        <v>177</v>
      </c>
      <c r="E168" t="s">
        <v>435</v>
      </c>
      <c r="F168" t="s">
        <v>436</v>
      </c>
      <c r="G168" s="8">
        <v>100</v>
      </c>
      <c r="H168" t="s">
        <v>28</v>
      </c>
      <c r="I168" s="10">
        <v>1.4237</v>
      </c>
      <c r="J168" s="10">
        <v>142.37</v>
      </c>
      <c r="K168">
        <v>1.42</v>
      </c>
      <c r="L168" t="s">
        <v>315</v>
      </c>
      <c r="M168" t="s">
        <v>316</v>
      </c>
      <c r="N168" t="s">
        <v>317</v>
      </c>
      <c r="O168" t="s">
        <v>60</v>
      </c>
      <c r="P168">
        <v>100</v>
      </c>
      <c r="Q168" t="s">
        <v>28</v>
      </c>
      <c r="R168">
        <v>12000</v>
      </c>
      <c r="S168">
        <v>120</v>
      </c>
      <c r="T168" t="s">
        <v>114</v>
      </c>
      <c r="U168" t="s">
        <v>44</v>
      </c>
      <c r="V168">
        <v>20</v>
      </c>
      <c r="W168">
        <v>2008</v>
      </c>
      <c r="X168" s="17">
        <v>45486</v>
      </c>
      <c r="Y168">
        <v>328994233</v>
      </c>
      <c r="Z168" t="s">
        <v>437</v>
      </c>
      <c r="AC168" s="6"/>
      <c r="AH168" s="8"/>
      <c r="AJ168" s="10"/>
      <c r="AK168" s="10"/>
    </row>
    <row r="169" spans="1:37" x14ac:dyDescent="0.3">
      <c r="A169" s="6">
        <v>45502</v>
      </c>
      <c r="B169" s="11">
        <v>45502</v>
      </c>
      <c r="C169">
        <v>20081990</v>
      </c>
      <c r="D169" t="s">
        <v>484</v>
      </c>
      <c r="E169" t="s">
        <v>340</v>
      </c>
      <c r="F169" t="s">
        <v>341</v>
      </c>
      <c r="G169" s="8">
        <v>100</v>
      </c>
      <c r="H169" t="s">
        <v>28</v>
      </c>
      <c r="I169" s="10">
        <v>7.6515999999999993</v>
      </c>
      <c r="J169" s="10">
        <v>765.16</v>
      </c>
      <c r="K169">
        <v>7.65</v>
      </c>
      <c r="L169" t="s">
        <v>342</v>
      </c>
      <c r="M169" t="s">
        <v>343</v>
      </c>
      <c r="N169" t="s">
        <v>42</v>
      </c>
      <c r="O169" t="s">
        <v>32</v>
      </c>
      <c r="P169">
        <v>100</v>
      </c>
      <c r="Q169" t="s">
        <v>28</v>
      </c>
      <c r="R169">
        <v>849</v>
      </c>
      <c r="S169">
        <v>8.49</v>
      </c>
      <c r="T169" t="s">
        <v>33</v>
      </c>
      <c r="U169" t="s">
        <v>44</v>
      </c>
      <c r="V169">
        <v>20</v>
      </c>
      <c r="W169">
        <v>2008</v>
      </c>
      <c r="X169" s="17">
        <v>45487</v>
      </c>
      <c r="Y169">
        <v>328810412</v>
      </c>
      <c r="Z169" t="s">
        <v>345</v>
      </c>
      <c r="AC169" s="6"/>
      <c r="AH169" s="8"/>
      <c r="AJ169" s="10"/>
      <c r="AK169" s="10"/>
    </row>
    <row r="170" spans="1:37" x14ac:dyDescent="0.3">
      <c r="A170" s="6">
        <v>45505</v>
      </c>
      <c r="B170" s="11">
        <v>45505</v>
      </c>
      <c r="C170">
        <v>12099990</v>
      </c>
      <c r="D170" t="s">
        <v>485</v>
      </c>
      <c r="E170" t="s">
        <v>64</v>
      </c>
      <c r="F170" t="s">
        <v>486</v>
      </c>
      <c r="G170" s="8">
        <v>72</v>
      </c>
      <c r="H170" t="s">
        <v>28</v>
      </c>
      <c r="I170" s="10">
        <v>8.33</v>
      </c>
      <c r="J170" s="10">
        <v>599.76</v>
      </c>
      <c r="K170">
        <v>8.33</v>
      </c>
      <c r="L170" t="s">
        <v>189</v>
      </c>
      <c r="M170" t="s">
        <v>190</v>
      </c>
      <c r="N170" t="s">
        <v>89</v>
      </c>
      <c r="O170" t="s">
        <v>32</v>
      </c>
      <c r="P170">
        <v>72</v>
      </c>
      <c r="Q170" t="s">
        <v>28</v>
      </c>
      <c r="R170">
        <v>612</v>
      </c>
      <c r="S170">
        <v>8.5</v>
      </c>
      <c r="T170" t="s">
        <v>33</v>
      </c>
      <c r="U170" t="s">
        <v>163</v>
      </c>
      <c r="V170">
        <v>12</v>
      </c>
      <c r="W170">
        <v>1209</v>
      </c>
      <c r="X170" s="17">
        <v>45505</v>
      </c>
      <c r="Y170">
        <v>335170630</v>
      </c>
      <c r="Z170" t="s">
        <v>68</v>
      </c>
      <c r="AC170" s="6"/>
      <c r="AH170" s="8"/>
      <c r="AJ170" s="10"/>
      <c r="AK170" s="10"/>
    </row>
    <row r="171" spans="1:37" x14ac:dyDescent="0.3">
      <c r="A171" s="6">
        <v>45511</v>
      </c>
      <c r="B171" s="11">
        <v>45511</v>
      </c>
      <c r="C171">
        <v>12099990</v>
      </c>
      <c r="D171" t="s">
        <v>485</v>
      </c>
      <c r="E171" t="s">
        <v>64</v>
      </c>
      <c r="F171" t="s">
        <v>486</v>
      </c>
      <c r="G171" s="8">
        <v>72</v>
      </c>
      <c r="H171" t="s">
        <v>28</v>
      </c>
      <c r="I171" s="10">
        <v>8.2831944444444439</v>
      </c>
      <c r="J171" s="10">
        <v>596.39</v>
      </c>
      <c r="K171">
        <v>8.2799999999999994</v>
      </c>
      <c r="L171" t="s">
        <v>189</v>
      </c>
      <c r="M171" t="s">
        <v>190</v>
      </c>
      <c r="N171" t="s">
        <v>89</v>
      </c>
      <c r="O171" t="s">
        <v>32</v>
      </c>
      <c r="P171">
        <v>72</v>
      </c>
      <c r="Q171" t="s">
        <v>28</v>
      </c>
      <c r="R171">
        <v>612</v>
      </c>
      <c r="S171">
        <v>8.5</v>
      </c>
      <c r="T171" t="s">
        <v>33</v>
      </c>
      <c r="U171" t="s">
        <v>163</v>
      </c>
      <c r="V171">
        <v>12</v>
      </c>
      <c r="W171">
        <v>1209</v>
      </c>
      <c r="X171" s="17">
        <v>45506</v>
      </c>
      <c r="Y171">
        <v>335170575</v>
      </c>
      <c r="Z171" t="s">
        <v>68</v>
      </c>
      <c r="AC171" s="6"/>
      <c r="AH171" s="8"/>
      <c r="AJ171" s="10"/>
      <c r="AK171" s="10"/>
    </row>
    <row r="172" spans="1:37" x14ac:dyDescent="0.3">
      <c r="A172" s="6">
        <v>45513</v>
      </c>
      <c r="B172" s="11">
        <v>45513</v>
      </c>
      <c r="C172">
        <v>20081920</v>
      </c>
      <c r="D172" t="s">
        <v>488</v>
      </c>
      <c r="E172" t="s">
        <v>38</v>
      </c>
      <c r="F172" t="s">
        <v>434</v>
      </c>
      <c r="G172" s="8">
        <v>2000</v>
      </c>
      <c r="H172" t="s">
        <v>28</v>
      </c>
      <c r="I172" s="10">
        <v>2.0573600000000001</v>
      </c>
      <c r="J172" s="10">
        <v>4114.72</v>
      </c>
      <c r="K172">
        <v>2057.36</v>
      </c>
      <c r="L172" t="s">
        <v>40</v>
      </c>
      <c r="M172" t="s">
        <v>41</v>
      </c>
      <c r="N172" t="s">
        <v>219</v>
      </c>
      <c r="O172" t="s">
        <v>32</v>
      </c>
      <c r="P172">
        <v>2</v>
      </c>
      <c r="Q172" t="s">
        <v>43</v>
      </c>
      <c r="R172">
        <v>4200</v>
      </c>
      <c r="S172">
        <v>2100</v>
      </c>
      <c r="T172" t="s">
        <v>33</v>
      </c>
      <c r="U172" t="s">
        <v>44</v>
      </c>
      <c r="V172">
        <v>20</v>
      </c>
      <c r="W172">
        <v>2008</v>
      </c>
      <c r="X172" s="17">
        <v>45507</v>
      </c>
      <c r="Y172">
        <v>335854262</v>
      </c>
      <c r="Z172" t="s">
        <v>45</v>
      </c>
      <c r="AC172" s="6"/>
      <c r="AH172" s="8"/>
      <c r="AJ172" s="10"/>
      <c r="AK172" s="10"/>
    </row>
    <row r="173" spans="1:37" x14ac:dyDescent="0.3">
      <c r="A173" s="6">
        <v>45514</v>
      </c>
      <c r="B173" s="11">
        <v>45514</v>
      </c>
      <c r="C173">
        <v>20081920</v>
      </c>
      <c r="D173" t="s">
        <v>132</v>
      </c>
      <c r="E173" t="s">
        <v>204</v>
      </c>
      <c r="F173" t="s">
        <v>205</v>
      </c>
      <c r="G173" s="8">
        <v>140</v>
      </c>
      <c r="H173" t="s">
        <v>28</v>
      </c>
      <c r="I173" s="10">
        <v>7.1995714285714287</v>
      </c>
      <c r="J173" s="10">
        <v>1007.94</v>
      </c>
      <c r="K173">
        <v>7.2</v>
      </c>
      <c r="L173" t="s">
        <v>40</v>
      </c>
      <c r="M173" t="s">
        <v>41</v>
      </c>
      <c r="N173" t="s">
        <v>51</v>
      </c>
      <c r="O173" t="s">
        <v>32</v>
      </c>
      <c r="P173">
        <v>140</v>
      </c>
      <c r="Q173" t="s">
        <v>28</v>
      </c>
      <c r="R173">
        <v>1022</v>
      </c>
      <c r="S173">
        <v>7.3</v>
      </c>
      <c r="T173" t="s">
        <v>33</v>
      </c>
      <c r="U173" t="s">
        <v>44</v>
      </c>
      <c r="V173">
        <v>20</v>
      </c>
      <c r="W173">
        <v>2008</v>
      </c>
      <c r="X173" s="17">
        <v>45508</v>
      </c>
      <c r="Y173">
        <v>335783495</v>
      </c>
      <c r="Z173" t="s">
        <v>206</v>
      </c>
      <c r="AC173" s="6"/>
      <c r="AH173" s="8"/>
      <c r="AJ173" s="10"/>
      <c r="AK173" s="10"/>
    </row>
    <row r="174" spans="1:37" x14ac:dyDescent="0.3">
      <c r="A174" s="6">
        <v>45520</v>
      </c>
      <c r="B174" s="11">
        <v>45520</v>
      </c>
      <c r="C174">
        <v>20081920</v>
      </c>
      <c r="D174" t="s">
        <v>177</v>
      </c>
      <c r="E174" t="s">
        <v>313</v>
      </c>
      <c r="F174" t="s">
        <v>489</v>
      </c>
      <c r="G174" s="8">
        <v>2500</v>
      </c>
      <c r="H174" t="s">
        <v>28</v>
      </c>
      <c r="I174" s="10">
        <v>1.69336</v>
      </c>
      <c r="J174" s="10">
        <v>4233.3999999999996</v>
      </c>
      <c r="K174">
        <v>1.69</v>
      </c>
      <c r="L174" t="s">
        <v>379</v>
      </c>
      <c r="M174" t="s">
        <v>316</v>
      </c>
      <c r="N174" t="s">
        <v>317</v>
      </c>
      <c r="O174" t="s">
        <v>60</v>
      </c>
      <c r="P174">
        <v>2500</v>
      </c>
      <c r="Q174" t="s">
        <v>28</v>
      </c>
      <c r="R174">
        <v>352500</v>
      </c>
      <c r="S174">
        <v>141</v>
      </c>
      <c r="T174" t="s">
        <v>114</v>
      </c>
      <c r="U174" t="s">
        <v>44</v>
      </c>
      <c r="V174">
        <v>20</v>
      </c>
      <c r="W174">
        <v>2008</v>
      </c>
      <c r="X174" s="17">
        <v>45509</v>
      </c>
      <c r="Y174">
        <v>336802500</v>
      </c>
      <c r="Z174" t="s">
        <v>318</v>
      </c>
      <c r="AC174" s="6"/>
      <c r="AH174" s="8"/>
      <c r="AJ174" s="10"/>
      <c r="AK174" s="10"/>
    </row>
    <row r="175" spans="1:37" x14ac:dyDescent="0.3">
      <c r="A175" s="6">
        <v>45520</v>
      </c>
      <c r="B175" s="11">
        <v>45520</v>
      </c>
      <c r="C175">
        <v>20081920</v>
      </c>
      <c r="D175" t="s">
        <v>490</v>
      </c>
      <c r="E175" t="s">
        <v>491</v>
      </c>
      <c r="F175" t="s">
        <v>492</v>
      </c>
      <c r="G175" s="8">
        <v>30</v>
      </c>
      <c r="H175" t="s">
        <v>28</v>
      </c>
      <c r="I175" s="10">
        <v>12.087666666666671</v>
      </c>
      <c r="J175" s="10">
        <v>362.63</v>
      </c>
      <c r="K175">
        <v>12.09</v>
      </c>
      <c r="L175" t="s">
        <v>264</v>
      </c>
      <c r="M175" t="s">
        <v>265</v>
      </c>
      <c r="N175" t="s">
        <v>174</v>
      </c>
      <c r="O175" t="s">
        <v>32</v>
      </c>
      <c r="P175">
        <v>30</v>
      </c>
      <c r="Q175" t="s">
        <v>28</v>
      </c>
      <c r="R175">
        <v>384</v>
      </c>
      <c r="S175">
        <v>12.8</v>
      </c>
      <c r="T175" t="s">
        <v>33</v>
      </c>
      <c r="U175" t="s">
        <v>44</v>
      </c>
      <c r="V175">
        <v>20</v>
      </c>
      <c r="W175">
        <v>2008</v>
      </c>
      <c r="X175" s="17">
        <v>45510</v>
      </c>
      <c r="Y175">
        <v>336990184</v>
      </c>
      <c r="Z175" t="s">
        <v>493</v>
      </c>
      <c r="AC175" s="6"/>
      <c r="AH175" s="8"/>
      <c r="AJ175" s="10"/>
      <c r="AK175" s="10"/>
    </row>
    <row r="176" spans="1:37" x14ac:dyDescent="0.3">
      <c r="A176" s="6">
        <v>45520</v>
      </c>
      <c r="B176" s="11">
        <v>45520</v>
      </c>
      <c r="C176">
        <v>20081920</v>
      </c>
      <c r="D176" t="s">
        <v>490</v>
      </c>
      <c r="E176" t="s">
        <v>491</v>
      </c>
      <c r="F176" t="s">
        <v>492</v>
      </c>
      <c r="G176" s="8">
        <v>30</v>
      </c>
      <c r="H176" t="s">
        <v>28</v>
      </c>
      <c r="I176" s="10">
        <v>12.08433333333333</v>
      </c>
      <c r="J176" s="10">
        <v>362.53</v>
      </c>
      <c r="K176">
        <v>12.08</v>
      </c>
      <c r="L176" t="s">
        <v>264</v>
      </c>
      <c r="M176" t="s">
        <v>265</v>
      </c>
      <c r="N176" t="s">
        <v>174</v>
      </c>
      <c r="O176" t="s">
        <v>32</v>
      </c>
      <c r="P176">
        <v>30</v>
      </c>
      <c r="Q176" t="s">
        <v>28</v>
      </c>
      <c r="R176">
        <v>384</v>
      </c>
      <c r="S176">
        <v>12.8</v>
      </c>
      <c r="T176" t="s">
        <v>33</v>
      </c>
      <c r="U176" t="s">
        <v>44</v>
      </c>
      <c r="V176">
        <v>20</v>
      </c>
      <c r="W176">
        <v>2008</v>
      </c>
      <c r="X176" s="17">
        <v>45511</v>
      </c>
      <c r="Y176">
        <v>336989785</v>
      </c>
      <c r="Z176" t="s">
        <v>493</v>
      </c>
      <c r="AC176" s="6"/>
      <c r="AH176" s="8"/>
      <c r="AJ176" s="10"/>
      <c r="AK176" s="10"/>
    </row>
    <row r="177" spans="1:37" x14ac:dyDescent="0.3">
      <c r="A177" s="6">
        <v>45520</v>
      </c>
      <c r="B177" s="11">
        <v>45520</v>
      </c>
      <c r="C177">
        <v>20081990</v>
      </c>
      <c r="D177" t="s">
        <v>494</v>
      </c>
      <c r="E177" t="s">
        <v>429</v>
      </c>
      <c r="F177" t="s">
        <v>430</v>
      </c>
      <c r="G177" s="8">
        <v>1250</v>
      </c>
      <c r="H177" t="s">
        <v>28</v>
      </c>
      <c r="I177" s="10">
        <v>1.585272</v>
      </c>
      <c r="J177" s="10">
        <v>1981.59</v>
      </c>
      <c r="K177">
        <v>1.59</v>
      </c>
      <c r="L177" t="s">
        <v>379</v>
      </c>
      <c r="M177" t="s">
        <v>316</v>
      </c>
      <c r="N177" t="s">
        <v>317</v>
      </c>
      <c r="O177" t="s">
        <v>60</v>
      </c>
      <c r="P177">
        <v>1250</v>
      </c>
      <c r="Q177" t="s">
        <v>28</v>
      </c>
      <c r="R177">
        <v>165000</v>
      </c>
      <c r="S177">
        <v>132</v>
      </c>
      <c r="T177" t="s">
        <v>114</v>
      </c>
      <c r="U177" t="s">
        <v>44</v>
      </c>
      <c r="V177">
        <v>20</v>
      </c>
      <c r="W177">
        <v>2008</v>
      </c>
      <c r="X177" s="17">
        <v>45512</v>
      </c>
      <c r="Y177">
        <v>336804519</v>
      </c>
      <c r="Z177" t="s">
        <v>432</v>
      </c>
      <c r="AC177" s="6"/>
      <c r="AH177" s="8"/>
      <c r="AJ177" s="10"/>
      <c r="AK177" s="10"/>
    </row>
    <row r="178" spans="1:37" x14ac:dyDescent="0.3">
      <c r="A178" s="6">
        <v>45522</v>
      </c>
      <c r="B178" s="11">
        <v>45522</v>
      </c>
      <c r="C178">
        <v>20081920</v>
      </c>
      <c r="D178" t="s">
        <v>177</v>
      </c>
      <c r="E178" t="s">
        <v>313</v>
      </c>
      <c r="F178" t="s">
        <v>427</v>
      </c>
      <c r="G178" s="8">
        <v>1000</v>
      </c>
      <c r="H178" t="s">
        <v>28</v>
      </c>
      <c r="I178" s="10">
        <v>1.69336</v>
      </c>
      <c r="J178" s="10">
        <v>1693.36</v>
      </c>
      <c r="K178">
        <v>1.69</v>
      </c>
      <c r="L178" t="s">
        <v>315</v>
      </c>
      <c r="M178" t="s">
        <v>316</v>
      </c>
      <c r="N178" t="s">
        <v>317</v>
      </c>
      <c r="O178" t="s">
        <v>60</v>
      </c>
      <c r="P178">
        <v>1000</v>
      </c>
      <c r="Q178" t="s">
        <v>28</v>
      </c>
      <c r="R178">
        <v>141000</v>
      </c>
      <c r="S178">
        <v>141</v>
      </c>
      <c r="T178" t="s">
        <v>114</v>
      </c>
      <c r="U178" t="s">
        <v>44</v>
      </c>
      <c r="V178">
        <v>20</v>
      </c>
      <c r="W178">
        <v>2008</v>
      </c>
      <c r="X178" s="17">
        <v>45513</v>
      </c>
      <c r="Y178">
        <v>336826191</v>
      </c>
      <c r="Z178" t="s">
        <v>318</v>
      </c>
      <c r="AC178" s="6"/>
      <c r="AH178" s="8"/>
      <c r="AJ178" s="10"/>
      <c r="AK178" s="10"/>
    </row>
    <row r="179" spans="1:37" x14ac:dyDescent="0.3">
      <c r="A179" s="6">
        <v>45524</v>
      </c>
      <c r="B179" s="11">
        <v>45524</v>
      </c>
      <c r="C179">
        <v>12129990</v>
      </c>
      <c r="D179" t="s">
        <v>177</v>
      </c>
      <c r="E179" t="s">
        <v>495</v>
      </c>
      <c r="F179" t="s">
        <v>79</v>
      </c>
      <c r="G179" s="8">
        <v>50</v>
      </c>
      <c r="H179" t="s">
        <v>28</v>
      </c>
      <c r="I179" s="10">
        <v>5.4252000000000002</v>
      </c>
      <c r="J179" s="10">
        <v>271.26</v>
      </c>
      <c r="K179">
        <v>5.43</v>
      </c>
      <c r="L179" t="s">
        <v>496</v>
      </c>
      <c r="M179" t="s">
        <v>497</v>
      </c>
      <c r="N179" t="s">
        <v>51</v>
      </c>
      <c r="O179" t="s">
        <v>32</v>
      </c>
      <c r="P179">
        <v>50</v>
      </c>
      <c r="Q179" t="s">
        <v>28</v>
      </c>
      <c r="R179">
        <v>280</v>
      </c>
      <c r="S179">
        <v>5.6</v>
      </c>
      <c r="T179" t="s">
        <v>33</v>
      </c>
      <c r="U179" t="s">
        <v>95</v>
      </c>
      <c r="V179">
        <v>12</v>
      </c>
      <c r="W179">
        <v>1212</v>
      </c>
      <c r="X179" s="17">
        <v>45514</v>
      </c>
      <c r="Y179">
        <v>336542853</v>
      </c>
      <c r="Z179" t="s">
        <v>498</v>
      </c>
      <c r="AC179" s="6"/>
      <c r="AH179" s="8"/>
      <c r="AJ179" s="10"/>
      <c r="AK179" s="10"/>
    </row>
    <row r="180" spans="1:37" x14ac:dyDescent="0.3">
      <c r="A180" s="6">
        <v>45533</v>
      </c>
      <c r="B180" s="11">
        <v>45533</v>
      </c>
      <c r="C180">
        <v>12079990</v>
      </c>
      <c r="D180" t="s">
        <v>177</v>
      </c>
      <c r="E180" t="s">
        <v>499</v>
      </c>
      <c r="F180" t="s">
        <v>500</v>
      </c>
      <c r="G180" s="8">
        <v>95</v>
      </c>
      <c r="H180" t="s">
        <v>28</v>
      </c>
      <c r="I180" s="10">
        <v>2.9482105263157892</v>
      </c>
      <c r="J180" s="10">
        <v>280.08</v>
      </c>
      <c r="K180">
        <v>2.95</v>
      </c>
      <c r="L180" t="s">
        <v>501</v>
      </c>
      <c r="M180" t="s">
        <v>316</v>
      </c>
      <c r="N180" t="s">
        <v>502</v>
      </c>
      <c r="O180" t="s">
        <v>60</v>
      </c>
      <c r="P180">
        <v>95</v>
      </c>
      <c r="Q180" t="s">
        <v>28</v>
      </c>
      <c r="R180">
        <v>23750</v>
      </c>
      <c r="S180">
        <v>250</v>
      </c>
      <c r="T180" t="s">
        <v>114</v>
      </c>
      <c r="U180" t="s">
        <v>34</v>
      </c>
      <c r="V180">
        <v>12</v>
      </c>
      <c r="W180">
        <v>1207</v>
      </c>
      <c r="X180" s="17">
        <v>45515</v>
      </c>
      <c r="Y180">
        <v>339413708</v>
      </c>
      <c r="Z180" t="s">
        <v>503</v>
      </c>
      <c r="AC180" s="6"/>
      <c r="AH180" s="8"/>
      <c r="AJ180" s="10"/>
      <c r="AK180" s="10"/>
    </row>
    <row r="181" spans="1:37" x14ac:dyDescent="0.3">
      <c r="A181" s="6">
        <v>45533</v>
      </c>
      <c r="B181" s="11">
        <v>45533</v>
      </c>
      <c r="C181">
        <v>12077010</v>
      </c>
      <c r="D181" t="s">
        <v>469</v>
      </c>
      <c r="E181" t="s">
        <v>470</v>
      </c>
      <c r="F181" t="s">
        <v>471</v>
      </c>
      <c r="G181" s="8">
        <v>100</v>
      </c>
      <c r="H181" t="s">
        <v>28</v>
      </c>
      <c r="I181" s="10">
        <v>7.5310000000000006</v>
      </c>
      <c r="J181" s="10">
        <v>753.1</v>
      </c>
      <c r="K181">
        <v>7.53</v>
      </c>
      <c r="L181" t="s">
        <v>278</v>
      </c>
      <c r="M181" t="s">
        <v>67</v>
      </c>
      <c r="N181" t="s">
        <v>42</v>
      </c>
      <c r="O181" t="s">
        <v>32</v>
      </c>
      <c r="P181">
        <v>100</v>
      </c>
      <c r="Q181" t="s">
        <v>28</v>
      </c>
      <c r="R181">
        <v>1020</v>
      </c>
      <c r="S181">
        <v>10.199999999999999</v>
      </c>
      <c r="T181" t="s">
        <v>448</v>
      </c>
      <c r="U181" t="s">
        <v>34</v>
      </c>
      <c r="V181">
        <v>12</v>
      </c>
      <c r="W181">
        <v>1207</v>
      </c>
      <c r="X181" s="17">
        <v>45516</v>
      </c>
      <c r="Y181">
        <v>337629796</v>
      </c>
      <c r="Z181" t="s">
        <v>472</v>
      </c>
      <c r="AC181" s="6"/>
      <c r="AH181" s="8"/>
      <c r="AJ181" s="10"/>
      <c r="AK181" s="10"/>
    </row>
    <row r="182" spans="1:37" x14ac:dyDescent="0.3">
      <c r="A182" s="6">
        <v>45536</v>
      </c>
      <c r="B182" s="11">
        <v>45536</v>
      </c>
      <c r="C182">
        <v>20081920</v>
      </c>
      <c r="D182" t="s">
        <v>132</v>
      </c>
      <c r="E182" t="s">
        <v>313</v>
      </c>
      <c r="F182" t="s">
        <v>314</v>
      </c>
      <c r="G182" s="8">
        <v>500</v>
      </c>
      <c r="H182" t="s">
        <v>28</v>
      </c>
      <c r="I182" s="10">
        <v>1.66282</v>
      </c>
      <c r="J182" s="10">
        <v>831.41</v>
      </c>
      <c r="K182">
        <v>1.66</v>
      </c>
      <c r="L182" t="s">
        <v>315</v>
      </c>
      <c r="M182" t="s">
        <v>316</v>
      </c>
      <c r="N182" t="s">
        <v>317</v>
      </c>
      <c r="O182" t="s">
        <v>60</v>
      </c>
      <c r="P182">
        <v>500</v>
      </c>
      <c r="Q182" t="s">
        <v>28</v>
      </c>
      <c r="R182">
        <v>70500</v>
      </c>
      <c r="S182">
        <v>141</v>
      </c>
      <c r="T182" t="s">
        <v>114</v>
      </c>
      <c r="U182" t="s">
        <v>44</v>
      </c>
      <c r="V182">
        <v>20</v>
      </c>
      <c r="W182">
        <v>2008</v>
      </c>
      <c r="X182" s="17">
        <v>45536</v>
      </c>
      <c r="Y182">
        <v>341454460</v>
      </c>
      <c r="Z182" t="s">
        <v>318</v>
      </c>
      <c r="AC182" s="6"/>
      <c r="AH182" s="8"/>
      <c r="AJ182" s="10"/>
      <c r="AK182" s="10"/>
    </row>
    <row r="183" spans="1:37" x14ac:dyDescent="0.3">
      <c r="A183" s="6">
        <v>45536</v>
      </c>
      <c r="B183" s="11">
        <v>45536</v>
      </c>
      <c r="C183">
        <v>20081920</v>
      </c>
      <c r="D183" t="s">
        <v>177</v>
      </c>
      <c r="E183" t="s">
        <v>313</v>
      </c>
      <c r="F183" t="s">
        <v>505</v>
      </c>
      <c r="G183" s="8">
        <v>1000</v>
      </c>
      <c r="H183" t="s">
        <v>28</v>
      </c>
      <c r="I183" s="10">
        <v>1.69336</v>
      </c>
      <c r="J183" s="10">
        <v>1693.36</v>
      </c>
      <c r="K183">
        <v>1.69</v>
      </c>
      <c r="L183" t="s">
        <v>379</v>
      </c>
      <c r="M183" t="s">
        <v>316</v>
      </c>
      <c r="N183" t="s">
        <v>317</v>
      </c>
      <c r="O183" t="s">
        <v>60</v>
      </c>
      <c r="P183">
        <v>1000</v>
      </c>
      <c r="Q183" t="s">
        <v>28</v>
      </c>
      <c r="R183">
        <v>141000</v>
      </c>
      <c r="S183">
        <v>141</v>
      </c>
      <c r="T183" t="s">
        <v>114</v>
      </c>
      <c r="U183" t="s">
        <v>44</v>
      </c>
      <c r="V183">
        <v>20</v>
      </c>
      <c r="W183">
        <v>2008</v>
      </c>
      <c r="X183" s="17">
        <v>45537</v>
      </c>
      <c r="Y183">
        <v>341222929</v>
      </c>
      <c r="Z183" t="s">
        <v>318</v>
      </c>
      <c r="AC183" s="6"/>
      <c r="AH183" s="8"/>
      <c r="AJ183" s="10"/>
      <c r="AK183" s="10"/>
    </row>
    <row r="184" spans="1:37" x14ac:dyDescent="0.3">
      <c r="A184" s="6">
        <v>45538</v>
      </c>
      <c r="B184" s="11">
        <v>45538</v>
      </c>
      <c r="C184">
        <v>20081990</v>
      </c>
      <c r="D184" t="s">
        <v>172</v>
      </c>
      <c r="E184" t="s">
        <v>506</v>
      </c>
      <c r="F184" t="s">
        <v>507</v>
      </c>
      <c r="G184" s="8">
        <v>11.7</v>
      </c>
      <c r="H184" t="s">
        <v>28</v>
      </c>
      <c r="I184" s="10">
        <v>16.146153846153851</v>
      </c>
      <c r="J184" s="10">
        <v>188.91</v>
      </c>
      <c r="K184">
        <v>16.149999999999999</v>
      </c>
      <c r="L184" t="s">
        <v>508</v>
      </c>
      <c r="M184" t="s">
        <v>509</v>
      </c>
      <c r="N184" t="s">
        <v>174</v>
      </c>
      <c r="O184" t="s">
        <v>32</v>
      </c>
      <c r="P184">
        <v>11.7</v>
      </c>
      <c r="Q184" t="s">
        <v>28</v>
      </c>
      <c r="R184">
        <v>203.46299999999999</v>
      </c>
      <c r="S184">
        <v>17.39</v>
      </c>
      <c r="T184" t="s">
        <v>33</v>
      </c>
      <c r="U184" t="s">
        <v>44</v>
      </c>
      <c r="V184">
        <v>20</v>
      </c>
      <c r="W184">
        <v>2008</v>
      </c>
      <c r="X184" s="17">
        <v>45538</v>
      </c>
      <c r="Y184">
        <v>340414639</v>
      </c>
      <c r="Z184" t="s">
        <v>510</v>
      </c>
      <c r="AC184" s="6"/>
      <c r="AH184" s="8"/>
      <c r="AJ184" s="10"/>
      <c r="AK184" s="10"/>
    </row>
    <row r="185" spans="1:37" x14ac:dyDescent="0.3">
      <c r="A185" s="6">
        <v>45540</v>
      </c>
      <c r="B185" s="11">
        <v>45540</v>
      </c>
      <c r="C185">
        <v>20081920</v>
      </c>
      <c r="D185" t="s">
        <v>177</v>
      </c>
      <c r="E185" t="s">
        <v>511</v>
      </c>
      <c r="F185" t="s">
        <v>512</v>
      </c>
      <c r="G185" s="8">
        <v>2000</v>
      </c>
      <c r="H185" t="s">
        <v>28</v>
      </c>
      <c r="I185" s="10">
        <v>5.0200250000000004</v>
      </c>
      <c r="J185" s="10">
        <v>10040.049999999999</v>
      </c>
      <c r="K185">
        <v>5.0199999999999996</v>
      </c>
      <c r="L185" t="s">
        <v>476</v>
      </c>
      <c r="M185" t="s">
        <v>316</v>
      </c>
      <c r="N185" t="s">
        <v>477</v>
      </c>
      <c r="O185" t="s">
        <v>60</v>
      </c>
      <c r="P185">
        <v>2000</v>
      </c>
      <c r="Q185" t="s">
        <v>28</v>
      </c>
      <c r="R185">
        <v>836000</v>
      </c>
      <c r="S185">
        <v>418</v>
      </c>
      <c r="T185" t="s">
        <v>114</v>
      </c>
      <c r="U185" t="s">
        <v>44</v>
      </c>
      <c r="V185">
        <v>20</v>
      </c>
      <c r="W185">
        <v>2008</v>
      </c>
      <c r="X185" s="17">
        <v>45539</v>
      </c>
      <c r="Y185">
        <v>344653674</v>
      </c>
      <c r="Z185" t="s">
        <v>513</v>
      </c>
      <c r="AC185" s="6"/>
      <c r="AH185" s="8"/>
      <c r="AJ185" s="10"/>
      <c r="AK185" s="10"/>
    </row>
    <row r="186" spans="1:37" x14ac:dyDescent="0.3">
      <c r="A186" s="6">
        <v>45541</v>
      </c>
      <c r="B186" s="11">
        <v>45541</v>
      </c>
      <c r="C186">
        <v>20081920</v>
      </c>
      <c r="D186" t="s">
        <v>132</v>
      </c>
      <c r="E186" t="s">
        <v>313</v>
      </c>
      <c r="F186" t="s">
        <v>514</v>
      </c>
      <c r="G186" s="8">
        <v>1000</v>
      </c>
      <c r="H186" t="s">
        <v>28</v>
      </c>
      <c r="I186" s="10">
        <v>1.69234</v>
      </c>
      <c r="J186" s="10">
        <v>1692.34</v>
      </c>
      <c r="K186">
        <v>1.69</v>
      </c>
      <c r="L186" t="s">
        <v>379</v>
      </c>
      <c r="M186" t="s">
        <v>316</v>
      </c>
      <c r="N186" t="s">
        <v>317</v>
      </c>
      <c r="O186" t="s">
        <v>60</v>
      </c>
      <c r="P186">
        <v>1000</v>
      </c>
      <c r="Q186" t="s">
        <v>28</v>
      </c>
      <c r="R186">
        <v>141000</v>
      </c>
      <c r="S186">
        <v>141</v>
      </c>
      <c r="T186" t="s">
        <v>114</v>
      </c>
      <c r="U186" t="s">
        <v>44</v>
      </c>
      <c r="V186">
        <v>20</v>
      </c>
      <c r="W186">
        <v>2008</v>
      </c>
      <c r="X186" s="17">
        <v>45540</v>
      </c>
      <c r="Y186">
        <v>341400006</v>
      </c>
      <c r="Z186" t="s">
        <v>318</v>
      </c>
      <c r="AC186" s="6"/>
      <c r="AH186" s="8"/>
      <c r="AJ186" s="10"/>
      <c r="AK186" s="10"/>
    </row>
    <row r="187" spans="1:37" x14ac:dyDescent="0.3">
      <c r="A187" s="6">
        <v>45542</v>
      </c>
      <c r="B187" s="11">
        <v>45542</v>
      </c>
      <c r="C187">
        <v>20081920</v>
      </c>
      <c r="D187" t="s">
        <v>132</v>
      </c>
      <c r="E187" t="s">
        <v>313</v>
      </c>
      <c r="F187" t="s">
        <v>515</v>
      </c>
      <c r="G187" s="8">
        <v>1000</v>
      </c>
      <c r="H187" t="s">
        <v>28</v>
      </c>
      <c r="I187" s="10">
        <v>1.69234</v>
      </c>
      <c r="J187" s="10">
        <v>1692.34</v>
      </c>
      <c r="K187">
        <v>1.69</v>
      </c>
      <c r="L187" t="s">
        <v>379</v>
      </c>
      <c r="M187" t="s">
        <v>316</v>
      </c>
      <c r="N187" t="s">
        <v>317</v>
      </c>
      <c r="O187" t="s">
        <v>60</v>
      </c>
      <c r="P187">
        <v>1000</v>
      </c>
      <c r="Q187" t="s">
        <v>28</v>
      </c>
      <c r="R187">
        <v>141000</v>
      </c>
      <c r="S187">
        <v>141</v>
      </c>
      <c r="T187" t="s">
        <v>114</v>
      </c>
      <c r="U187" t="s">
        <v>44</v>
      </c>
      <c r="V187">
        <v>20</v>
      </c>
      <c r="W187">
        <v>2008</v>
      </c>
      <c r="X187" s="17">
        <v>45541</v>
      </c>
      <c r="Y187">
        <v>341163896</v>
      </c>
      <c r="Z187" t="s">
        <v>318</v>
      </c>
      <c r="AC187" s="6"/>
      <c r="AH187" s="8"/>
      <c r="AJ187" s="10"/>
      <c r="AK187" s="10"/>
    </row>
    <row r="188" spans="1:37" x14ac:dyDescent="0.3">
      <c r="A188" s="6">
        <v>45552</v>
      </c>
      <c r="B188" s="11">
        <v>45552</v>
      </c>
      <c r="C188">
        <v>12099990</v>
      </c>
      <c r="D188" t="s">
        <v>319</v>
      </c>
      <c r="E188" t="s">
        <v>256</v>
      </c>
      <c r="F188" t="s">
        <v>516</v>
      </c>
      <c r="G188" s="8">
        <v>50</v>
      </c>
      <c r="H188" t="s">
        <v>28</v>
      </c>
      <c r="I188" s="10">
        <v>5.6594000000000007</v>
      </c>
      <c r="J188" s="10">
        <v>282.97000000000003</v>
      </c>
      <c r="K188">
        <v>5.66</v>
      </c>
      <c r="L188" t="s">
        <v>189</v>
      </c>
      <c r="M188" t="s">
        <v>190</v>
      </c>
      <c r="N188" t="s">
        <v>51</v>
      </c>
      <c r="O188" t="s">
        <v>32</v>
      </c>
      <c r="P188">
        <v>50</v>
      </c>
      <c r="Q188" t="s">
        <v>28</v>
      </c>
      <c r="R188">
        <v>289.5</v>
      </c>
      <c r="S188">
        <v>5.79</v>
      </c>
      <c r="T188" t="s">
        <v>33</v>
      </c>
      <c r="U188" t="s">
        <v>163</v>
      </c>
      <c r="V188">
        <v>12</v>
      </c>
      <c r="W188">
        <v>1209</v>
      </c>
      <c r="X188" s="17">
        <v>45542</v>
      </c>
      <c r="Y188">
        <v>342172474</v>
      </c>
      <c r="Z188" t="s">
        <v>259</v>
      </c>
      <c r="AC188" s="6"/>
      <c r="AH188" s="8"/>
      <c r="AJ188" s="10"/>
      <c r="AK188" s="10"/>
    </row>
    <row r="189" spans="1:37" x14ac:dyDescent="0.3">
      <c r="A189" s="6">
        <v>45552</v>
      </c>
      <c r="B189" s="11">
        <v>45552</v>
      </c>
      <c r="C189">
        <v>20081920</v>
      </c>
      <c r="D189" t="s">
        <v>177</v>
      </c>
      <c r="E189" t="s">
        <v>313</v>
      </c>
      <c r="F189" t="s">
        <v>489</v>
      </c>
      <c r="G189" s="8">
        <v>2500</v>
      </c>
      <c r="H189" t="s">
        <v>28</v>
      </c>
      <c r="I189" s="10">
        <v>1.69234</v>
      </c>
      <c r="J189" s="10">
        <v>4230.8500000000004</v>
      </c>
      <c r="K189">
        <v>1.69</v>
      </c>
      <c r="L189" t="s">
        <v>379</v>
      </c>
      <c r="M189" t="s">
        <v>316</v>
      </c>
      <c r="N189" t="s">
        <v>317</v>
      </c>
      <c r="O189" t="s">
        <v>60</v>
      </c>
      <c r="P189">
        <v>2500</v>
      </c>
      <c r="Q189" t="s">
        <v>28</v>
      </c>
      <c r="R189">
        <v>352500</v>
      </c>
      <c r="S189">
        <v>141</v>
      </c>
      <c r="T189" t="s">
        <v>114</v>
      </c>
      <c r="U189" t="s">
        <v>44</v>
      </c>
      <c r="V189">
        <v>20</v>
      </c>
      <c r="W189">
        <v>2008</v>
      </c>
      <c r="X189" s="17">
        <v>45543</v>
      </c>
      <c r="Y189">
        <v>341280702</v>
      </c>
      <c r="Z189" t="s">
        <v>318</v>
      </c>
      <c r="AC189" s="6"/>
      <c r="AH189" s="8"/>
      <c r="AJ189" s="10"/>
      <c r="AK189" s="10"/>
    </row>
    <row r="190" spans="1:37" x14ac:dyDescent="0.3">
      <c r="A190" s="6">
        <v>45553</v>
      </c>
      <c r="B190" s="11">
        <v>45553</v>
      </c>
      <c r="C190">
        <v>20081920</v>
      </c>
      <c r="D190" t="s">
        <v>132</v>
      </c>
      <c r="E190" t="s">
        <v>313</v>
      </c>
      <c r="F190" t="s">
        <v>517</v>
      </c>
      <c r="G190" s="8">
        <v>100</v>
      </c>
      <c r="H190" t="s">
        <v>28</v>
      </c>
      <c r="I190" s="10">
        <v>1.6617999999999999</v>
      </c>
      <c r="J190" s="10">
        <v>166.18</v>
      </c>
      <c r="K190">
        <v>1.66</v>
      </c>
      <c r="L190" t="s">
        <v>315</v>
      </c>
      <c r="M190" t="s">
        <v>316</v>
      </c>
      <c r="N190" t="s">
        <v>317</v>
      </c>
      <c r="O190" t="s">
        <v>60</v>
      </c>
      <c r="P190">
        <v>100</v>
      </c>
      <c r="Q190" t="s">
        <v>28</v>
      </c>
      <c r="R190">
        <v>14100</v>
      </c>
      <c r="S190">
        <v>141</v>
      </c>
      <c r="T190" t="s">
        <v>114</v>
      </c>
      <c r="U190" t="s">
        <v>44</v>
      </c>
      <c r="V190">
        <v>20</v>
      </c>
      <c r="W190">
        <v>2008</v>
      </c>
      <c r="X190" s="17">
        <v>45544</v>
      </c>
      <c r="Y190">
        <v>341265347</v>
      </c>
      <c r="Z190" t="s">
        <v>318</v>
      </c>
      <c r="AC190" s="6"/>
      <c r="AH190" s="8"/>
      <c r="AJ190" s="10"/>
      <c r="AK190" s="10"/>
    </row>
    <row r="191" spans="1:37" x14ac:dyDescent="0.3">
      <c r="A191" s="6">
        <v>45553</v>
      </c>
      <c r="B191" s="11">
        <v>45553</v>
      </c>
      <c r="C191">
        <v>20081920</v>
      </c>
      <c r="D191" t="s">
        <v>132</v>
      </c>
      <c r="E191" t="s">
        <v>313</v>
      </c>
      <c r="F191" t="s">
        <v>329</v>
      </c>
      <c r="G191" s="8">
        <v>500</v>
      </c>
      <c r="H191" t="s">
        <v>28</v>
      </c>
      <c r="I191" s="10">
        <v>1.6618200000000001</v>
      </c>
      <c r="J191" s="10">
        <v>830.91</v>
      </c>
      <c r="K191">
        <v>1.66</v>
      </c>
      <c r="L191" t="s">
        <v>315</v>
      </c>
      <c r="M191" t="s">
        <v>316</v>
      </c>
      <c r="N191" t="s">
        <v>317</v>
      </c>
      <c r="O191" t="s">
        <v>60</v>
      </c>
      <c r="P191">
        <v>500</v>
      </c>
      <c r="Q191" t="s">
        <v>28</v>
      </c>
      <c r="R191">
        <v>70500</v>
      </c>
      <c r="S191">
        <v>141</v>
      </c>
      <c r="T191" t="s">
        <v>114</v>
      </c>
      <c r="U191" t="s">
        <v>44</v>
      </c>
      <c r="V191">
        <v>20</v>
      </c>
      <c r="W191">
        <v>2008</v>
      </c>
      <c r="X191" s="17">
        <v>45545</v>
      </c>
      <c r="Y191">
        <v>341251428</v>
      </c>
      <c r="Z191" t="s">
        <v>318</v>
      </c>
      <c r="AC191" s="6"/>
      <c r="AH191" s="8"/>
      <c r="AJ191" s="10"/>
      <c r="AK191" s="10"/>
    </row>
    <row r="192" spans="1:37" x14ac:dyDescent="0.3">
      <c r="A192" s="6">
        <v>45553</v>
      </c>
      <c r="B192" s="11">
        <v>45553</v>
      </c>
      <c r="C192">
        <v>20081990</v>
      </c>
      <c r="D192" t="s">
        <v>132</v>
      </c>
      <c r="E192" t="s">
        <v>518</v>
      </c>
      <c r="F192" t="s">
        <v>519</v>
      </c>
      <c r="G192" s="8">
        <v>1000</v>
      </c>
      <c r="H192" t="s">
        <v>28</v>
      </c>
      <c r="I192" s="10">
        <v>1.5603100000000001</v>
      </c>
      <c r="J192" s="10">
        <v>1560.31</v>
      </c>
      <c r="K192">
        <v>1.56</v>
      </c>
      <c r="L192" t="s">
        <v>315</v>
      </c>
      <c r="M192" t="s">
        <v>316</v>
      </c>
      <c r="N192" t="s">
        <v>317</v>
      </c>
      <c r="O192" t="s">
        <v>60</v>
      </c>
      <c r="P192">
        <v>1000</v>
      </c>
      <c r="Q192" t="s">
        <v>28</v>
      </c>
      <c r="R192">
        <v>130000</v>
      </c>
      <c r="S192">
        <v>130</v>
      </c>
      <c r="T192" t="s">
        <v>114</v>
      </c>
      <c r="U192" t="s">
        <v>44</v>
      </c>
      <c r="V192">
        <v>20</v>
      </c>
      <c r="W192">
        <v>2008</v>
      </c>
      <c r="X192" s="17">
        <v>45546</v>
      </c>
      <c r="Y192">
        <v>341207650</v>
      </c>
      <c r="Z192" t="s">
        <v>520</v>
      </c>
      <c r="AC192" s="6"/>
      <c r="AH192" s="8"/>
      <c r="AJ192" s="10"/>
      <c r="AK192" s="10"/>
    </row>
    <row r="193" spans="1:37" x14ac:dyDescent="0.3">
      <c r="A193" s="6">
        <v>45555</v>
      </c>
      <c r="B193" s="11">
        <v>45555</v>
      </c>
      <c r="C193">
        <v>20081920</v>
      </c>
      <c r="D193" t="s">
        <v>132</v>
      </c>
      <c r="E193" t="s">
        <v>313</v>
      </c>
      <c r="F193" t="s">
        <v>521</v>
      </c>
      <c r="G193" s="8">
        <v>1000</v>
      </c>
      <c r="H193" t="s">
        <v>28</v>
      </c>
      <c r="I193" s="10">
        <v>1.6974400000000001</v>
      </c>
      <c r="J193" s="10">
        <v>1697.44</v>
      </c>
      <c r="K193">
        <v>1.7</v>
      </c>
      <c r="L193" t="s">
        <v>322</v>
      </c>
      <c r="M193" t="s">
        <v>316</v>
      </c>
      <c r="N193" t="s">
        <v>323</v>
      </c>
      <c r="O193" t="s">
        <v>60</v>
      </c>
      <c r="P193">
        <v>1000</v>
      </c>
      <c r="Q193" t="s">
        <v>28</v>
      </c>
      <c r="R193">
        <v>141000</v>
      </c>
      <c r="S193">
        <v>141</v>
      </c>
      <c r="T193" t="s">
        <v>114</v>
      </c>
      <c r="U193" t="s">
        <v>44</v>
      </c>
      <c r="V193">
        <v>20</v>
      </c>
      <c r="W193">
        <v>2008</v>
      </c>
      <c r="X193" s="17">
        <v>45547</v>
      </c>
      <c r="Y193">
        <v>344662494</v>
      </c>
      <c r="Z193" t="s">
        <v>318</v>
      </c>
      <c r="AC193" s="6"/>
      <c r="AH193" s="8"/>
      <c r="AJ193" s="10"/>
      <c r="AK193" s="10"/>
    </row>
    <row r="194" spans="1:37" x14ac:dyDescent="0.3">
      <c r="A194" s="6">
        <v>45558</v>
      </c>
      <c r="B194" s="11">
        <v>45558</v>
      </c>
      <c r="C194">
        <v>20081990</v>
      </c>
      <c r="D194" t="s">
        <v>522</v>
      </c>
      <c r="E194" t="s">
        <v>523</v>
      </c>
      <c r="F194" t="s">
        <v>524</v>
      </c>
      <c r="G194" s="8">
        <v>15</v>
      </c>
      <c r="H194" t="s">
        <v>28</v>
      </c>
      <c r="I194" s="10">
        <v>6.7159999999999993</v>
      </c>
      <c r="J194" s="10">
        <v>100.74</v>
      </c>
      <c r="K194">
        <v>6.72</v>
      </c>
      <c r="L194" t="s">
        <v>75</v>
      </c>
      <c r="M194" t="s">
        <v>50</v>
      </c>
      <c r="N194" t="s">
        <v>113</v>
      </c>
      <c r="O194" t="s">
        <v>32</v>
      </c>
      <c r="P194">
        <v>15</v>
      </c>
      <c r="Q194" t="s">
        <v>28</v>
      </c>
      <c r="R194">
        <v>82.5</v>
      </c>
      <c r="S194">
        <v>5.5</v>
      </c>
      <c r="T194" t="s">
        <v>52</v>
      </c>
      <c r="U194" t="s">
        <v>44</v>
      </c>
      <c r="V194">
        <v>20</v>
      </c>
      <c r="W194">
        <v>2008</v>
      </c>
      <c r="X194" s="17">
        <v>45548</v>
      </c>
      <c r="Y194">
        <v>343068129</v>
      </c>
      <c r="Z194" t="s">
        <v>525</v>
      </c>
      <c r="AC194" s="6"/>
      <c r="AH194" s="8"/>
      <c r="AJ194" s="10"/>
      <c r="AK194" s="10"/>
    </row>
    <row r="195" spans="1:37" x14ac:dyDescent="0.3">
      <c r="A195" s="6">
        <v>45558</v>
      </c>
      <c r="B195" s="11">
        <v>45558</v>
      </c>
      <c r="C195">
        <v>20081990</v>
      </c>
      <c r="D195" t="s">
        <v>526</v>
      </c>
      <c r="E195" t="s">
        <v>523</v>
      </c>
      <c r="F195" t="s">
        <v>524</v>
      </c>
      <c r="G195" s="8">
        <v>35</v>
      </c>
      <c r="H195" t="s">
        <v>28</v>
      </c>
      <c r="I195" s="10">
        <v>6.3671428571428574</v>
      </c>
      <c r="J195" s="10">
        <v>222.85</v>
      </c>
      <c r="K195">
        <v>6.37</v>
      </c>
      <c r="L195" t="s">
        <v>75</v>
      </c>
      <c r="M195" t="s">
        <v>50</v>
      </c>
      <c r="N195" t="s">
        <v>113</v>
      </c>
      <c r="O195" t="s">
        <v>32</v>
      </c>
      <c r="P195">
        <v>35</v>
      </c>
      <c r="Q195" t="s">
        <v>28</v>
      </c>
      <c r="R195">
        <v>182.35</v>
      </c>
      <c r="S195">
        <v>5.21</v>
      </c>
      <c r="T195" t="s">
        <v>52</v>
      </c>
      <c r="U195" t="s">
        <v>44</v>
      </c>
      <c r="V195">
        <v>20</v>
      </c>
      <c r="W195">
        <v>2008</v>
      </c>
      <c r="X195" s="17">
        <v>45549</v>
      </c>
      <c r="Y195">
        <v>343068130</v>
      </c>
      <c r="Z195" t="s">
        <v>525</v>
      </c>
      <c r="AC195" s="6"/>
      <c r="AH195" s="8"/>
      <c r="AJ195" s="10"/>
      <c r="AK195" s="10"/>
    </row>
    <row r="196" spans="1:37" x14ac:dyDescent="0.3">
      <c r="A196" s="6">
        <v>45560</v>
      </c>
      <c r="B196" s="11">
        <v>45560</v>
      </c>
      <c r="C196">
        <v>20081990</v>
      </c>
      <c r="D196" t="s">
        <v>527</v>
      </c>
      <c r="E196" t="s">
        <v>528</v>
      </c>
      <c r="F196" t="s">
        <v>529</v>
      </c>
      <c r="G196" s="8">
        <v>20</v>
      </c>
      <c r="H196" t="s">
        <v>28</v>
      </c>
      <c r="I196" s="10">
        <v>7.3879999999999999</v>
      </c>
      <c r="J196" s="10">
        <v>147.76</v>
      </c>
      <c r="K196">
        <v>7.39</v>
      </c>
      <c r="L196" t="s">
        <v>278</v>
      </c>
      <c r="M196" t="s">
        <v>67</v>
      </c>
      <c r="N196" t="s">
        <v>42</v>
      </c>
      <c r="O196" t="s">
        <v>32</v>
      </c>
      <c r="P196">
        <v>20</v>
      </c>
      <c r="Q196" t="s">
        <v>28</v>
      </c>
      <c r="R196">
        <v>192</v>
      </c>
      <c r="S196">
        <v>9.6</v>
      </c>
      <c r="T196" t="s">
        <v>448</v>
      </c>
      <c r="U196" t="s">
        <v>44</v>
      </c>
      <c r="V196">
        <v>20</v>
      </c>
      <c r="W196">
        <v>2008</v>
      </c>
      <c r="X196" s="17">
        <v>45550</v>
      </c>
      <c r="Y196">
        <v>343419433</v>
      </c>
      <c r="Z196" t="s">
        <v>530</v>
      </c>
      <c r="AC196" s="6"/>
      <c r="AH196" s="8"/>
      <c r="AJ196" s="10"/>
      <c r="AK196" s="10"/>
    </row>
    <row r="197" spans="1:37" x14ac:dyDescent="0.3">
      <c r="A197" s="6">
        <v>45561</v>
      </c>
      <c r="B197" s="11">
        <v>45561</v>
      </c>
      <c r="C197">
        <v>20081990</v>
      </c>
      <c r="D197" t="s">
        <v>177</v>
      </c>
      <c r="E197" t="s">
        <v>429</v>
      </c>
      <c r="F197" t="s">
        <v>430</v>
      </c>
      <c r="G197" s="8">
        <v>1500</v>
      </c>
      <c r="H197" t="s">
        <v>28</v>
      </c>
      <c r="I197" s="10">
        <v>1.589093333333333</v>
      </c>
      <c r="J197" s="10">
        <v>2383.64</v>
      </c>
      <c r="K197">
        <v>1.59</v>
      </c>
      <c r="L197" t="s">
        <v>379</v>
      </c>
      <c r="M197" t="s">
        <v>316</v>
      </c>
      <c r="N197" t="s">
        <v>317</v>
      </c>
      <c r="O197" t="s">
        <v>60</v>
      </c>
      <c r="P197">
        <v>1500</v>
      </c>
      <c r="Q197" t="s">
        <v>28</v>
      </c>
      <c r="R197">
        <v>198000</v>
      </c>
      <c r="S197">
        <v>132</v>
      </c>
      <c r="T197" t="s">
        <v>114</v>
      </c>
      <c r="U197" t="s">
        <v>44</v>
      </c>
      <c r="V197">
        <v>20</v>
      </c>
      <c r="W197">
        <v>2008</v>
      </c>
      <c r="X197" s="17">
        <v>45551</v>
      </c>
      <c r="Y197">
        <v>343629840</v>
      </c>
      <c r="Z197" t="s">
        <v>432</v>
      </c>
      <c r="AC197" s="6"/>
      <c r="AH197" s="8"/>
      <c r="AJ197" s="10"/>
      <c r="AK197" s="10"/>
    </row>
    <row r="198" spans="1:37" x14ac:dyDescent="0.3">
      <c r="A198" s="6">
        <v>45565</v>
      </c>
      <c r="B198" s="11">
        <v>45565</v>
      </c>
      <c r="C198">
        <v>20081920</v>
      </c>
      <c r="D198" t="s">
        <v>132</v>
      </c>
      <c r="E198" t="s">
        <v>313</v>
      </c>
      <c r="F198" t="s">
        <v>450</v>
      </c>
      <c r="G198" s="8">
        <v>150</v>
      </c>
      <c r="H198" t="s">
        <v>28</v>
      </c>
      <c r="I198" s="10">
        <v>1.6668666666666669</v>
      </c>
      <c r="J198" s="10">
        <v>250.03</v>
      </c>
      <c r="K198">
        <v>1.67</v>
      </c>
      <c r="L198" t="s">
        <v>315</v>
      </c>
      <c r="M198" t="s">
        <v>316</v>
      </c>
      <c r="N198" t="s">
        <v>317</v>
      </c>
      <c r="O198" t="s">
        <v>60</v>
      </c>
      <c r="P198">
        <v>150</v>
      </c>
      <c r="Q198" t="s">
        <v>28</v>
      </c>
      <c r="R198">
        <v>21150</v>
      </c>
      <c r="S198">
        <v>141</v>
      </c>
      <c r="T198" t="s">
        <v>114</v>
      </c>
      <c r="U198" t="s">
        <v>44</v>
      </c>
      <c r="V198">
        <v>20</v>
      </c>
      <c r="W198">
        <v>2008</v>
      </c>
      <c r="X198" s="17">
        <v>45552</v>
      </c>
      <c r="Y198">
        <v>343629769</v>
      </c>
      <c r="Z198" t="s">
        <v>318</v>
      </c>
      <c r="AC198" s="6"/>
      <c r="AH198" s="8"/>
      <c r="AJ198" s="10"/>
      <c r="AK198" s="10"/>
    </row>
    <row r="199" spans="1:37" x14ac:dyDescent="0.3">
      <c r="A199" s="6">
        <v>45565</v>
      </c>
      <c r="B199" s="11">
        <v>45565</v>
      </c>
      <c r="C199">
        <v>20081990</v>
      </c>
      <c r="D199" t="s">
        <v>132</v>
      </c>
      <c r="E199" t="s">
        <v>435</v>
      </c>
      <c r="F199" t="s">
        <v>436</v>
      </c>
      <c r="G199" s="8">
        <v>300</v>
      </c>
      <c r="H199" t="s">
        <v>28</v>
      </c>
      <c r="I199" s="10">
        <v>1.7732000000000001</v>
      </c>
      <c r="J199" s="10">
        <v>531.96</v>
      </c>
      <c r="K199">
        <v>1.77</v>
      </c>
      <c r="L199" t="s">
        <v>315</v>
      </c>
      <c r="M199" t="s">
        <v>316</v>
      </c>
      <c r="N199" t="s">
        <v>317</v>
      </c>
      <c r="O199" t="s">
        <v>60</v>
      </c>
      <c r="P199">
        <v>300</v>
      </c>
      <c r="Q199" t="s">
        <v>28</v>
      </c>
      <c r="R199">
        <v>45000</v>
      </c>
      <c r="S199">
        <v>150</v>
      </c>
      <c r="T199" t="s">
        <v>114</v>
      </c>
      <c r="U199" t="s">
        <v>44</v>
      </c>
      <c r="V199">
        <v>20</v>
      </c>
      <c r="W199">
        <v>2008</v>
      </c>
      <c r="X199" s="17">
        <v>45553</v>
      </c>
      <c r="Y199">
        <v>343629577</v>
      </c>
      <c r="Z199" t="s">
        <v>437</v>
      </c>
      <c r="AC199" s="6"/>
      <c r="AH199" s="8"/>
      <c r="AJ199" s="10"/>
      <c r="AK199" s="10"/>
    </row>
    <row r="200" spans="1:37" x14ac:dyDescent="0.3">
      <c r="A200" s="6">
        <v>45569</v>
      </c>
      <c r="B200" s="11">
        <v>45569</v>
      </c>
      <c r="C200">
        <v>20081920</v>
      </c>
      <c r="D200" t="s">
        <v>132</v>
      </c>
      <c r="E200" t="s">
        <v>313</v>
      </c>
      <c r="F200" t="s">
        <v>531</v>
      </c>
      <c r="G200" s="8">
        <v>1000</v>
      </c>
      <c r="H200" t="s">
        <v>28</v>
      </c>
      <c r="I200" s="10">
        <v>1.69336</v>
      </c>
      <c r="J200" s="10">
        <v>1693.36</v>
      </c>
      <c r="K200">
        <v>1.69</v>
      </c>
      <c r="L200" t="s">
        <v>379</v>
      </c>
      <c r="M200" t="s">
        <v>316</v>
      </c>
      <c r="N200" t="s">
        <v>317</v>
      </c>
      <c r="O200" t="s">
        <v>60</v>
      </c>
      <c r="P200">
        <v>1000</v>
      </c>
      <c r="Q200" t="s">
        <v>28</v>
      </c>
      <c r="R200">
        <v>141000</v>
      </c>
      <c r="S200">
        <v>141</v>
      </c>
      <c r="T200" t="s">
        <v>114</v>
      </c>
      <c r="U200" t="s">
        <v>44</v>
      </c>
      <c r="V200">
        <v>20</v>
      </c>
      <c r="W200">
        <v>2008</v>
      </c>
      <c r="X200" s="17">
        <v>45566</v>
      </c>
      <c r="Y200">
        <v>345557412</v>
      </c>
      <c r="Z200" t="s">
        <v>318</v>
      </c>
      <c r="AC200" s="6"/>
      <c r="AH200" s="8"/>
      <c r="AJ200" s="10"/>
      <c r="AK200" s="10"/>
    </row>
    <row r="201" spans="1:37" x14ac:dyDescent="0.3">
      <c r="A201" s="6">
        <v>45572</v>
      </c>
      <c r="B201" s="11">
        <v>45572</v>
      </c>
      <c r="C201">
        <v>20081920</v>
      </c>
      <c r="D201" t="s">
        <v>132</v>
      </c>
      <c r="E201" t="s">
        <v>313</v>
      </c>
      <c r="F201" t="s">
        <v>533</v>
      </c>
      <c r="G201" s="8">
        <v>500</v>
      </c>
      <c r="H201" t="s">
        <v>28</v>
      </c>
      <c r="I201" s="10">
        <v>1.66282</v>
      </c>
      <c r="J201" s="10">
        <v>831.41</v>
      </c>
      <c r="K201">
        <v>1.66</v>
      </c>
      <c r="L201" t="s">
        <v>379</v>
      </c>
      <c r="M201" t="s">
        <v>316</v>
      </c>
      <c r="N201" t="s">
        <v>317</v>
      </c>
      <c r="O201" t="s">
        <v>60</v>
      </c>
      <c r="P201">
        <v>500</v>
      </c>
      <c r="Q201" t="s">
        <v>28</v>
      </c>
      <c r="R201">
        <v>70500</v>
      </c>
      <c r="S201">
        <v>141</v>
      </c>
      <c r="T201" t="s">
        <v>114</v>
      </c>
      <c r="U201" t="s">
        <v>44</v>
      </c>
      <c r="V201">
        <v>20</v>
      </c>
      <c r="W201">
        <v>2008</v>
      </c>
      <c r="X201" s="17">
        <v>45567</v>
      </c>
      <c r="Y201">
        <v>345592174</v>
      </c>
      <c r="Z201" t="s">
        <v>318</v>
      </c>
      <c r="AC201" s="6"/>
      <c r="AH201" s="8"/>
      <c r="AJ201" s="10"/>
      <c r="AK201" s="10"/>
    </row>
    <row r="202" spans="1:37" x14ac:dyDescent="0.3">
      <c r="A202" s="6">
        <v>45572</v>
      </c>
      <c r="B202" s="11">
        <v>45572</v>
      </c>
      <c r="C202">
        <v>20081920</v>
      </c>
      <c r="D202" t="s">
        <v>132</v>
      </c>
      <c r="E202" t="s">
        <v>313</v>
      </c>
      <c r="F202" t="s">
        <v>534</v>
      </c>
      <c r="G202" s="8">
        <v>1000</v>
      </c>
      <c r="H202" t="s">
        <v>28</v>
      </c>
      <c r="I202" s="10">
        <v>1.69336</v>
      </c>
      <c r="J202" s="10">
        <v>1693.36</v>
      </c>
      <c r="K202">
        <v>1.69</v>
      </c>
      <c r="L202" t="s">
        <v>379</v>
      </c>
      <c r="M202" t="s">
        <v>316</v>
      </c>
      <c r="N202" t="s">
        <v>317</v>
      </c>
      <c r="O202" t="s">
        <v>60</v>
      </c>
      <c r="P202">
        <v>1000</v>
      </c>
      <c r="Q202" t="s">
        <v>28</v>
      </c>
      <c r="R202">
        <v>141000</v>
      </c>
      <c r="S202">
        <v>141</v>
      </c>
      <c r="T202" t="s">
        <v>114</v>
      </c>
      <c r="U202" t="s">
        <v>44</v>
      </c>
      <c r="V202">
        <v>20</v>
      </c>
      <c r="W202">
        <v>2008</v>
      </c>
      <c r="X202" s="17">
        <v>45568</v>
      </c>
      <c r="Y202">
        <v>345622191</v>
      </c>
      <c r="Z202" t="s">
        <v>318</v>
      </c>
      <c r="AC202" s="6"/>
      <c r="AH202" s="8"/>
      <c r="AJ202" s="10"/>
      <c r="AK202" s="10"/>
    </row>
    <row r="203" spans="1:37" x14ac:dyDescent="0.3">
      <c r="A203" s="6">
        <v>45583</v>
      </c>
      <c r="B203" s="11">
        <v>45583</v>
      </c>
      <c r="C203">
        <v>20081920</v>
      </c>
      <c r="D203" t="s">
        <v>177</v>
      </c>
      <c r="E203" t="s">
        <v>313</v>
      </c>
      <c r="F203" t="s">
        <v>439</v>
      </c>
      <c r="G203" s="8">
        <v>3275</v>
      </c>
      <c r="H203" t="s">
        <v>28</v>
      </c>
      <c r="I203" s="10">
        <v>1.6913221374045799</v>
      </c>
      <c r="J203" s="10">
        <v>5539.08</v>
      </c>
      <c r="K203">
        <v>1.69</v>
      </c>
      <c r="L203" t="s">
        <v>379</v>
      </c>
      <c r="M203" t="s">
        <v>316</v>
      </c>
      <c r="N203" t="s">
        <v>317</v>
      </c>
      <c r="O203" t="s">
        <v>60</v>
      </c>
      <c r="P203">
        <v>3275</v>
      </c>
      <c r="Q203" t="s">
        <v>28</v>
      </c>
      <c r="R203">
        <v>461775</v>
      </c>
      <c r="S203">
        <v>141</v>
      </c>
      <c r="T203" t="s">
        <v>114</v>
      </c>
      <c r="U203" t="s">
        <v>44</v>
      </c>
      <c r="V203">
        <v>20</v>
      </c>
      <c r="W203">
        <v>2008</v>
      </c>
      <c r="X203" s="17">
        <v>45569</v>
      </c>
      <c r="Y203">
        <v>346876428</v>
      </c>
      <c r="Z203" t="s">
        <v>318</v>
      </c>
      <c r="AC203" s="6"/>
      <c r="AH203" s="8"/>
      <c r="AJ203" s="10"/>
      <c r="AK203" s="10"/>
    </row>
    <row r="204" spans="1:37" x14ac:dyDescent="0.3">
      <c r="A204" s="6">
        <v>45583</v>
      </c>
      <c r="B204" s="11">
        <v>45583</v>
      </c>
      <c r="C204">
        <v>20081920</v>
      </c>
      <c r="D204" t="s">
        <v>177</v>
      </c>
      <c r="E204" t="s">
        <v>313</v>
      </c>
      <c r="F204" t="s">
        <v>535</v>
      </c>
      <c r="G204" s="8">
        <v>500</v>
      </c>
      <c r="H204" t="s">
        <v>28</v>
      </c>
      <c r="I204" s="10">
        <v>1.66082</v>
      </c>
      <c r="J204" s="10">
        <v>830.41</v>
      </c>
      <c r="K204">
        <v>1.66</v>
      </c>
      <c r="L204" t="s">
        <v>379</v>
      </c>
      <c r="M204" t="s">
        <v>316</v>
      </c>
      <c r="N204" t="s">
        <v>317</v>
      </c>
      <c r="O204" t="s">
        <v>60</v>
      </c>
      <c r="P204">
        <v>500</v>
      </c>
      <c r="Q204" t="s">
        <v>28</v>
      </c>
      <c r="R204">
        <v>70500</v>
      </c>
      <c r="S204">
        <v>141</v>
      </c>
      <c r="T204" t="s">
        <v>114</v>
      </c>
      <c r="U204" t="s">
        <v>44</v>
      </c>
      <c r="V204">
        <v>20</v>
      </c>
      <c r="W204">
        <v>2008</v>
      </c>
      <c r="X204" s="17">
        <v>45570</v>
      </c>
      <c r="Y204">
        <v>346967037</v>
      </c>
      <c r="Z204" t="s">
        <v>318</v>
      </c>
      <c r="AC204" s="6"/>
      <c r="AH204" s="8"/>
      <c r="AJ204" s="10"/>
      <c r="AK204" s="10"/>
    </row>
    <row r="205" spans="1:37" x14ac:dyDescent="0.3">
      <c r="A205" s="6">
        <v>45584</v>
      </c>
      <c r="B205" s="11">
        <v>45584</v>
      </c>
      <c r="C205">
        <v>12079990</v>
      </c>
      <c r="D205" t="s">
        <v>536</v>
      </c>
      <c r="E205" t="s">
        <v>441</v>
      </c>
      <c r="F205" t="s">
        <v>79</v>
      </c>
      <c r="G205" s="8">
        <v>1000</v>
      </c>
      <c r="H205" t="s">
        <v>28</v>
      </c>
      <c r="I205" s="10">
        <v>5.0739599999999996</v>
      </c>
      <c r="J205" s="10">
        <v>5073.96</v>
      </c>
      <c r="K205">
        <v>5073.96</v>
      </c>
      <c r="L205" t="s">
        <v>537</v>
      </c>
      <c r="M205" t="s">
        <v>443</v>
      </c>
      <c r="N205" t="s">
        <v>51</v>
      </c>
      <c r="O205" t="s">
        <v>32</v>
      </c>
      <c r="P205">
        <v>1</v>
      </c>
      <c r="Q205" t="s">
        <v>43</v>
      </c>
      <c r="R205">
        <v>5200</v>
      </c>
      <c r="S205">
        <v>5200</v>
      </c>
      <c r="T205" t="s">
        <v>33</v>
      </c>
      <c r="U205" t="s">
        <v>34</v>
      </c>
      <c r="V205">
        <v>12</v>
      </c>
      <c r="W205">
        <v>1207</v>
      </c>
      <c r="X205" s="17">
        <v>45571</v>
      </c>
      <c r="Y205">
        <v>346838832</v>
      </c>
      <c r="Z205" t="s">
        <v>444</v>
      </c>
      <c r="AC205" s="6"/>
      <c r="AH205" s="8"/>
      <c r="AJ205" s="10"/>
      <c r="AK205" s="10"/>
    </row>
    <row r="206" spans="1:37" x14ac:dyDescent="0.3">
      <c r="A206" s="6">
        <v>45587</v>
      </c>
      <c r="B206" s="11">
        <v>45587</v>
      </c>
      <c r="C206">
        <v>20081920</v>
      </c>
      <c r="D206" t="s">
        <v>132</v>
      </c>
      <c r="E206" t="s">
        <v>313</v>
      </c>
      <c r="F206" t="s">
        <v>538</v>
      </c>
      <c r="G206" s="8">
        <v>200</v>
      </c>
      <c r="H206" t="s">
        <v>28</v>
      </c>
      <c r="I206" s="10">
        <v>1.6608000000000001</v>
      </c>
      <c r="J206" s="10">
        <v>332.16</v>
      </c>
      <c r="K206">
        <v>1.66</v>
      </c>
      <c r="L206" t="s">
        <v>315</v>
      </c>
      <c r="M206" t="s">
        <v>316</v>
      </c>
      <c r="N206" t="s">
        <v>317</v>
      </c>
      <c r="O206" t="s">
        <v>60</v>
      </c>
      <c r="P206">
        <v>200</v>
      </c>
      <c r="Q206" t="s">
        <v>28</v>
      </c>
      <c r="R206">
        <v>28200</v>
      </c>
      <c r="S206">
        <v>141</v>
      </c>
      <c r="T206" t="s">
        <v>114</v>
      </c>
      <c r="U206" t="s">
        <v>44</v>
      </c>
      <c r="V206">
        <v>20</v>
      </c>
      <c r="W206">
        <v>2008</v>
      </c>
      <c r="X206" s="17">
        <v>45572</v>
      </c>
      <c r="Y206">
        <v>349416106</v>
      </c>
      <c r="Z206" t="s">
        <v>318</v>
      </c>
      <c r="AC206" s="6"/>
      <c r="AH206" s="8"/>
      <c r="AJ206" s="10"/>
      <c r="AK206" s="10"/>
    </row>
    <row r="207" spans="1:37" x14ac:dyDescent="0.3">
      <c r="A207" s="6">
        <v>45587</v>
      </c>
      <c r="B207" s="11">
        <v>45587</v>
      </c>
      <c r="C207">
        <v>20081920</v>
      </c>
      <c r="D207" t="s">
        <v>132</v>
      </c>
      <c r="E207" t="s">
        <v>313</v>
      </c>
      <c r="F207" t="s">
        <v>539</v>
      </c>
      <c r="G207" s="8">
        <v>1000</v>
      </c>
      <c r="H207" t="s">
        <v>28</v>
      </c>
      <c r="I207" s="10">
        <v>1.6913199999999999</v>
      </c>
      <c r="J207" s="10">
        <v>1691.32</v>
      </c>
      <c r="K207">
        <v>1.69</v>
      </c>
      <c r="L207" t="s">
        <v>379</v>
      </c>
      <c r="M207" t="s">
        <v>316</v>
      </c>
      <c r="N207" t="s">
        <v>317</v>
      </c>
      <c r="O207" t="s">
        <v>60</v>
      </c>
      <c r="P207">
        <v>1000</v>
      </c>
      <c r="Q207" t="s">
        <v>28</v>
      </c>
      <c r="R207">
        <v>141000</v>
      </c>
      <c r="S207">
        <v>141</v>
      </c>
      <c r="T207" t="s">
        <v>114</v>
      </c>
      <c r="U207" t="s">
        <v>44</v>
      </c>
      <c r="V207">
        <v>20</v>
      </c>
      <c r="W207">
        <v>2008</v>
      </c>
      <c r="X207" s="17">
        <v>45573</v>
      </c>
      <c r="Y207">
        <v>349493144</v>
      </c>
      <c r="Z207" t="s">
        <v>318</v>
      </c>
      <c r="AC207" s="6"/>
      <c r="AH207" s="8"/>
      <c r="AJ207" s="10"/>
      <c r="AK207" s="10"/>
    </row>
    <row r="208" spans="1:37" x14ac:dyDescent="0.3">
      <c r="A208" s="6">
        <v>45588</v>
      </c>
      <c r="B208" s="11">
        <v>45588</v>
      </c>
      <c r="C208">
        <v>20081920</v>
      </c>
      <c r="D208" t="s">
        <v>132</v>
      </c>
      <c r="E208" t="s">
        <v>313</v>
      </c>
      <c r="F208" t="s">
        <v>540</v>
      </c>
      <c r="G208" s="8">
        <v>2000</v>
      </c>
      <c r="H208" t="s">
        <v>28</v>
      </c>
      <c r="I208" s="10">
        <v>1.6913199999999999</v>
      </c>
      <c r="J208" s="10">
        <v>3382.64</v>
      </c>
      <c r="K208">
        <v>1.69</v>
      </c>
      <c r="L208" t="s">
        <v>379</v>
      </c>
      <c r="M208" t="s">
        <v>316</v>
      </c>
      <c r="N208" t="s">
        <v>317</v>
      </c>
      <c r="O208" t="s">
        <v>60</v>
      </c>
      <c r="P208">
        <v>2000</v>
      </c>
      <c r="Q208" t="s">
        <v>28</v>
      </c>
      <c r="R208">
        <v>282000</v>
      </c>
      <c r="S208">
        <v>141</v>
      </c>
      <c r="T208" t="s">
        <v>114</v>
      </c>
      <c r="U208" t="s">
        <v>44</v>
      </c>
      <c r="V208">
        <v>20</v>
      </c>
      <c r="W208">
        <v>2008</v>
      </c>
      <c r="X208" s="17">
        <v>45574</v>
      </c>
      <c r="Y208">
        <v>349434313</v>
      </c>
      <c r="Z208" t="s">
        <v>318</v>
      </c>
      <c r="AC208" s="6"/>
      <c r="AH208" s="8"/>
      <c r="AJ208" s="10"/>
      <c r="AK208" s="10"/>
    </row>
    <row r="209" spans="1:37" x14ac:dyDescent="0.3">
      <c r="A209" s="6">
        <v>45605</v>
      </c>
      <c r="B209" s="11">
        <v>45605</v>
      </c>
      <c r="C209">
        <v>20081990</v>
      </c>
      <c r="D209" t="s">
        <v>541</v>
      </c>
      <c r="E209" t="s">
        <v>542</v>
      </c>
      <c r="F209" t="s">
        <v>79</v>
      </c>
      <c r="G209" s="8">
        <v>600</v>
      </c>
      <c r="H209" t="s">
        <v>28</v>
      </c>
      <c r="I209" s="10">
        <v>8.8755000000000006</v>
      </c>
      <c r="J209" s="10">
        <v>5325.3</v>
      </c>
      <c r="K209">
        <v>8.8800000000000008</v>
      </c>
      <c r="L209" t="s">
        <v>543</v>
      </c>
      <c r="M209" t="s">
        <v>544</v>
      </c>
      <c r="N209" t="s">
        <v>89</v>
      </c>
      <c r="O209" t="s">
        <v>32</v>
      </c>
      <c r="P209">
        <v>600</v>
      </c>
      <c r="Q209" t="s">
        <v>28</v>
      </c>
      <c r="R209">
        <v>5040</v>
      </c>
      <c r="S209">
        <v>8.4</v>
      </c>
      <c r="T209" t="s">
        <v>33</v>
      </c>
      <c r="U209" t="s">
        <v>44</v>
      </c>
      <c r="V209">
        <v>20</v>
      </c>
      <c r="W209">
        <v>2008</v>
      </c>
      <c r="X209" s="17">
        <v>45597</v>
      </c>
      <c r="Y209">
        <v>351206061</v>
      </c>
      <c r="Z209" t="s">
        <v>546</v>
      </c>
      <c r="AC209" s="6"/>
      <c r="AH209" s="8"/>
      <c r="AJ209" s="10"/>
      <c r="AK209" s="10"/>
    </row>
    <row r="210" spans="1:37" x14ac:dyDescent="0.3">
      <c r="A210" s="6">
        <v>45612</v>
      </c>
      <c r="B210" s="11">
        <v>45612</v>
      </c>
      <c r="C210">
        <v>20081920</v>
      </c>
      <c r="D210" t="s">
        <v>547</v>
      </c>
      <c r="E210" t="s">
        <v>127</v>
      </c>
      <c r="F210" t="s">
        <v>79</v>
      </c>
      <c r="G210" s="8">
        <v>1000</v>
      </c>
      <c r="H210" t="s">
        <v>28</v>
      </c>
      <c r="I210" s="10">
        <v>5.17584</v>
      </c>
      <c r="J210" s="10">
        <v>5175.84</v>
      </c>
      <c r="K210">
        <v>5.18</v>
      </c>
      <c r="L210" t="s">
        <v>80</v>
      </c>
      <c r="M210" t="s">
        <v>81</v>
      </c>
      <c r="N210" t="s">
        <v>51</v>
      </c>
      <c r="O210" t="s">
        <v>32</v>
      </c>
      <c r="P210">
        <v>1000</v>
      </c>
      <c r="Q210" t="s">
        <v>28</v>
      </c>
      <c r="R210">
        <v>5600</v>
      </c>
      <c r="S210">
        <v>5.6</v>
      </c>
      <c r="T210" t="s">
        <v>33</v>
      </c>
      <c r="U210" t="s">
        <v>44</v>
      </c>
      <c r="V210">
        <v>20</v>
      </c>
      <c r="W210">
        <v>2008</v>
      </c>
      <c r="X210" s="17">
        <v>45598</v>
      </c>
      <c r="Y210">
        <v>352287465</v>
      </c>
      <c r="Z210" t="s">
        <v>130</v>
      </c>
      <c r="AC210" s="6"/>
      <c r="AH210" s="8"/>
      <c r="AJ210" s="10"/>
      <c r="AK210" s="10"/>
    </row>
    <row r="211" spans="1:37" x14ac:dyDescent="0.3">
      <c r="A211" s="6">
        <v>45613</v>
      </c>
      <c r="B211" s="11">
        <v>45613</v>
      </c>
      <c r="C211">
        <v>20081920</v>
      </c>
      <c r="D211" t="s">
        <v>177</v>
      </c>
      <c r="E211" t="s">
        <v>313</v>
      </c>
      <c r="F211" t="s">
        <v>534</v>
      </c>
      <c r="G211" s="8">
        <v>2000</v>
      </c>
      <c r="H211" t="s">
        <v>28</v>
      </c>
      <c r="I211" s="10">
        <v>1.6862550000000001</v>
      </c>
      <c r="J211" s="10">
        <v>3372.51</v>
      </c>
      <c r="K211">
        <v>1.69</v>
      </c>
      <c r="L211" t="s">
        <v>379</v>
      </c>
      <c r="M211" t="s">
        <v>316</v>
      </c>
      <c r="N211" t="s">
        <v>317</v>
      </c>
      <c r="O211" t="s">
        <v>60</v>
      </c>
      <c r="P211">
        <v>2000</v>
      </c>
      <c r="Q211" t="s">
        <v>28</v>
      </c>
      <c r="R211">
        <v>282000</v>
      </c>
      <c r="S211">
        <v>141</v>
      </c>
      <c r="T211" t="s">
        <v>114</v>
      </c>
      <c r="U211" t="s">
        <v>44</v>
      </c>
      <c r="V211">
        <v>20</v>
      </c>
      <c r="W211">
        <v>2008</v>
      </c>
      <c r="X211" s="17">
        <v>45599</v>
      </c>
      <c r="Y211">
        <v>352499227</v>
      </c>
      <c r="Z211" t="s">
        <v>318</v>
      </c>
      <c r="AC211" s="6"/>
      <c r="AH211" s="8"/>
      <c r="AJ211" s="10"/>
      <c r="AK211" s="10"/>
    </row>
    <row r="212" spans="1:37" x14ac:dyDescent="0.3">
      <c r="A212" s="6">
        <v>45613</v>
      </c>
      <c r="B212" s="11">
        <v>45613</v>
      </c>
      <c r="C212">
        <v>20081920</v>
      </c>
      <c r="D212" t="s">
        <v>177</v>
      </c>
      <c r="E212" t="s">
        <v>313</v>
      </c>
      <c r="F212" t="s">
        <v>533</v>
      </c>
      <c r="G212" s="8">
        <v>1500</v>
      </c>
      <c r="H212" t="s">
        <v>28</v>
      </c>
      <c r="I212" s="10">
        <v>1.6862533333333329</v>
      </c>
      <c r="J212" s="10">
        <v>2529.38</v>
      </c>
      <c r="K212">
        <v>1.69</v>
      </c>
      <c r="L212" t="s">
        <v>379</v>
      </c>
      <c r="M212" t="s">
        <v>316</v>
      </c>
      <c r="N212" t="s">
        <v>317</v>
      </c>
      <c r="O212" t="s">
        <v>60</v>
      </c>
      <c r="P212">
        <v>1500</v>
      </c>
      <c r="Q212" t="s">
        <v>28</v>
      </c>
      <c r="R212">
        <v>211500</v>
      </c>
      <c r="S212">
        <v>141</v>
      </c>
      <c r="T212" t="s">
        <v>114</v>
      </c>
      <c r="U212" t="s">
        <v>44</v>
      </c>
      <c r="V212">
        <v>20</v>
      </c>
      <c r="W212">
        <v>2008</v>
      </c>
      <c r="X212" s="17">
        <v>45600</v>
      </c>
      <c r="Y212">
        <v>352476370</v>
      </c>
      <c r="Z212" t="s">
        <v>318</v>
      </c>
      <c r="AC212" s="6"/>
      <c r="AH212" s="8"/>
      <c r="AJ212" s="10"/>
      <c r="AK212" s="10"/>
    </row>
    <row r="213" spans="1:37" x14ac:dyDescent="0.3">
      <c r="A213" s="6">
        <v>45618</v>
      </c>
      <c r="B213" s="11">
        <v>45618</v>
      </c>
      <c r="C213">
        <v>20081920</v>
      </c>
      <c r="D213" t="s">
        <v>458</v>
      </c>
      <c r="E213" t="s">
        <v>387</v>
      </c>
      <c r="F213" t="s">
        <v>388</v>
      </c>
      <c r="G213" s="8">
        <v>420</v>
      </c>
      <c r="H213" t="s">
        <v>28</v>
      </c>
      <c r="I213" s="10">
        <v>5.3616190476190484</v>
      </c>
      <c r="J213" s="10">
        <v>2251.88</v>
      </c>
      <c r="K213">
        <v>5.36</v>
      </c>
      <c r="L213" t="s">
        <v>40</v>
      </c>
      <c r="M213" t="s">
        <v>41</v>
      </c>
      <c r="N213" t="s">
        <v>42</v>
      </c>
      <c r="O213" t="s">
        <v>32</v>
      </c>
      <c r="P213">
        <v>420</v>
      </c>
      <c r="Q213" t="s">
        <v>28</v>
      </c>
      <c r="R213">
        <v>2284.8000000000002</v>
      </c>
      <c r="S213">
        <v>5.44</v>
      </c>
      <c r="T213" t="s">
        <v>33</v>
      </c>
      <c r="U213" t="s">
        <v>44</v>
      </c>
      <c r="V213">
        <v>20</v>
      </c>
      <c r="W213">
        <v>2008</v>
      </c>
      <c r="X213" s="17">
        <v>45601</v>
      </c>
      <c r="Y213">
        <v>352858787</v>
      </c>
      <c r="Z213" t="s">
        <v>389</v>
      </c>
      <c r="AC213" s="6"/>
      <c r="AH213" s="8"/>
      <c r="AJ213" s="10"/>
      <c r="AK213" s="10"/>
    </row>
    <row r="214" spans="1:37" x14ac:dyDescent="0.3">
      <c r="A214" s="6">
        <v>45621</v>
      </c>
      <c r="B214" s="11">
        <v>45621</v>
      </c>
      <c r="C214">
        <v>20081920</v>
      </c>
      <c r="D214" t="s">
        <v>132</v>
      </c>
      <c r="E214" t="s">
        <v>313</v>
      </c>
      <c r="F214" t="s">
        <v>521</v>
      </c>
      <c r="G214" s="8">
        <v>1500</v>
      </c>
      <c r="H214" t="s">
        <v>28</v>
      </c>
      <c r="I214" s="10">
        <v>1.6832266666666671</v>
      </c>
      <c r="J214" s="10">
        <v>2524.84</v>
      </c>
      <c r="K214">
        <v>1.68</v>
      </c>
      <c r="L214" t="s">
        <v>322</v>
      </c>
      <c r="M214" t="s">
        <v>316</v>
      </c>
      <c r="N214" t="s">
        <v>323</v>
      </c>
      <c r="O214" t="s">
        <v>60</v>
      </c>
      <c r="P214">
        <v>1500</v>
      </c>
      <c r="Q214" t="s">
        <v>28</v>
      </c>
      <c r="R214">
        <v>211500</v>
      </c>
      <c r="S214">
        <v>141</v>
      </c>
      <c r="T214" t="s">
        <v>114</v>
      </c>
      <c r="U214" t="s">
        <v>44</v>
      </c>
      <c r="V214">
        <v>20</v>
      </c>
      <c r="W214">
        <v>2008</v>
      </c>
      <c r="X214" s="17">
        <v>45602</v>
      </c>
      <c r="Y214">
        <v>354625238</v>
      </c>
      <c r="Z214" t="s">
        <v>318</v>
      </c>
      <c r="AC214" s="6"/>
      <c r="AH214" s="8"/>
      <c r="AJ214" s="10"/>
      <c r="AK214" s="10"/>
    </row>
    <row r="215" spans="1:37" x14ac:dyDescent="0.3">
      <c r="A215" s="6">
        <v>45621</v>
      </c>
      <c r="B215" s="11">
        <v>45621</v>
      </c>
      <c r="C215">
        <v>20081920</v>
      </c>
      <c r="D215" t="s">
        <v>177</v>
      </c>
      <c r="E215" t="s">
        <v>429</v>
      </c>
      <c r="F215" t="s">
        <v>430</v>
      </c>
      <c r="G215" s="8">
        <v>1500</v>
      </c>
      <c r="H215" t="s">
        <v>28</v>
      </c>
      <c r="I215" s="10">
        <v>1.575786666666666</v>
      </c>
      <c r="J215" s="10">
        <v>2363.6799999999998</v>
      </c>
      <c r="K215">
        <v>1.58</v>
      </c>
      <c r="L215" t="s">
        <v>379</v>
      </c>
      <c r="M215" t="s">
        <v>316</v>
      </c>
      <c r="N215" t="s">
        <v>317</v>
      </c>
      <c r="O215" t="s">
        <v>60</v>
      </c>
      <c r="P215">
        <v>1500</v>
      </c>
      <c r="Q215" t="s">
        <v>28</v>
      </c>
      <c r="R215">
        <v>198000</v>
      </c>
      <c r="S215">
        <v>132</v>
      </c>
      <c r="T215" t="s">
        <v>114</v>
      </c>
      <c r="U215" t="s">
        <v>44</v>
      </c>
      <c r="V215">
        <v>20</v>
      </c>
      <c r="W215">
        <v>2008</v>
      </c>
      <c r="X215" s="17">
        <v>45603</v>
      </c>
      <c r="Y215">
        <v>353989413</v>
      </c>
      <c r="Z215" t="s">
        <v>432</v>
      </c>
      <c r="AC215" s="6"/>
      <c r="AH215" s="8"/>
      <c r="AJ215" s="10"/>
      <c r="AK215" s="10"/>
    </row>
    <row r="216" spans="1:37" x14ac:dyDescent="0.3">
      <c r="A216" s="6">
        <v>45621</v>
      </c>
      <c r="B216" s="11">
        <v>45621</v>
      </c>
      <c r="C216">
        <v>20081920</v>
      </c>
      <c r="D216" t="s">
        <v>132</v>
      </c>
      <c r="E216" t="s">
        <v>313</v>
      </c>
      <c r="F216" t="s">
        <v>548</v>
      </c>
      <c r="G216" s="8">
        <v>3000</v>
      </c>
      <c r="H216" t="s">
        <v>28</v>
      </c>
      <c r="I216" s="10">
        <v>1.68323</v>
      </c>
      <c r="J216" s="10">
        <v>5049.6899999999996</v>
      </c>
      <c r="K216">
        <v>1.68</v>
      </c>
      <c r="L216" t="s">
        <v>379</v>
      </c>
      <c r="M216" t="s">
        <v>316</v>
      </c>
      <c r="N216" t="s">
        <v>317</v>
      </c>
      <c r="O216" t="s">
        <v>60</v>
      </c>
      <c r="P216">
        <v>3000</v>
      </c>
      <c r="Q216" t="s">
        <v>28</v>
      </c>
      <c r="R216">
        <v>423000</v>
      </c>
      <c r="S216">
        <v>141</v>
      </c>
      <c r="T216" t="s">
        <v>114</v>
      </c>
      <c r="U216" t="s">
        <v>44</v>
      </c>
      <c r="V216">
        <v>20</v>
      </c>
      <c r="W216">
        <v>2008</v>
      </c>
      <c r="X216" s="17">
        <v>45604</v>
      </c>
      <c r="Y216">
        <v>353883253</v>
      </c>
      <c r="Z216" t="s">
        <v>318</v>
      </c>
      <c r="AC216" s="6"/>
      <c r="AH216" s="8"/>
      <c r="AJ216" s="10"/>
      <c r="AK216" s="10"/>
    </row>
    <row r="217" spans="1:37" x14ac:dyDescent="0.3">
      <c r="A217" s="6">
        <v>45621</v>
      </c>
      <c r="B217" s="11">
        <v>45621</v>
      </c>
      <c r="C217">
        <v>20081920</v>
      </c>
      <c r="D217" t="s">
        <v>132</v>
      </c>
      <c r="E217" t="s">
        <v>313</v>
      </c>
      <c r="F217" t="s">
        <v>549</v>
      </c>
      <c r="G217" s="8">
        <v>500</v>
      </c>
      <c r="H217" t="s">
        <v>28</v>
      </c>
      <c r="I217" s="10">
        <v>1.65286</v>
      </c>
      <c r="J217" s="10">
        <v>826.43</v>
      </c>
      <c r="K217">
        <v>1.65</v>
      </c>
      <c r="L217" t="s">
        <v>315</v>
      </c>
      <c r="M217" t="s">
        <v>316</v>
      </c>
      <c r="N217" t="s">
        <v>317</v>
      </c>
      <c r="O217" t="s">
        <v>60</v>
      </c>
      <c r="P217">
        <v>500</v>
      </c>
      <c r="Q217" t="s">
        <v>28</v>
      </c>
      <c r="R217">
        <v>70500</v>
      </c>
      <c r="S217">
        <v>141</v>
      </c>
      <c r="T217" t="s">
        <v>114</v>
      </c>
      <c r="U217" t="s">
        <v>44</v>
      </c>
      <c r="V217">
        <v>20</v>
      </c>
      <c r="W217">
        <v>2008</v>
      </c>
      <c r="X217" s="17">
        <v>45605</v>
      </c>
      <c r="Y217">
        <v>353883163</v>
      </c>
      <c r="Z217" t="s">
        <v>318</v>
      </c>
      <c r="AC217" s="6"/>
      <c r="AH217" s="8"/>
      <c r="AJ217" s="10"/>
      <c r="AK217" s="10"/>
    </row>
    <row r="218" spans="1:37" x14ac:dyDescent="0.3">
      <c r="A218" s="6">
        <v>45624</v>
      </c>
      <c r="B218" s="11">
        <v>45624</v>
      </c>
      <c r="C218">
        <v>20081920</v>
      </c>
      <c r="D218" t="s">
        <v>550</v>
      </c>
      <c r="E218" t="s">
        <v>551</v>
      </c>
      <c r="F218" t="s">
        <v>552</v>
      </c>
      <c r="G218" s="8">
        <v>30</v>
      </c>
      <c r="H218" t="s">
        <v>28</v>
      </c>
      <c r="I218" s="10">
        <v>5.2706666666666671</v>
      </c>
      <c r="J218" s="10">
        <v>158.12</v>
      </c>
      <c r="K218">
        <v>5.27</v>
      </c>
      <c r="L218" t="s">
        <v>149</v>
      </c>
      <c r="M218" t="s">
        <v>150</v>
      </c>
      <c r="N218" t="s">
        <v>174</v>
      </c>
      <c r="O218" t="s">
        <v>32</v>
      </c>
      <c r="P218">
        <v>30</v>
      </c>
      <c r="Q218" t="s">
        <v>28</v>
      </c>
      <c r="R218">
        <v>165</v>
      </c>
      <c r="S218">
        <v>5.5</v>
      </c>
      <c r="T218" t="s">
        <v>33</v>
      </c>
      <c r="U218" t="s">
        <v>44</v>
      </c>
      <c r="V218">
        <v>20</v>
      </c>
      <c r="W218">
        <v>2008</v>
      </c>
      <c r="X218" s="17">
        <v>45606</v>
      </c>
      <c r="Y218">
        <v>353417866</v>
      </c>
      <c r="Z218" t="s">
        <v>553</v>
      </c>
      <c r="AC218" s="6"/>
      <c r="AH218" s="8"/>
      <c r="AJ218" s="10"/>
      <c r="AK218" s="10"/>
    </row>
    <row r="219" spans="1:37" x14ac:dyDescent="0.3">
      <c r="A219" s="6">
        <v>45630</v>
      </c>
      <c r="B219" s="11">
        <v>45630</v>
      </c>
      <c r="C219">
        <v>12099990</v>
      </c>
      <c r="D219" t="s">
        <v>457</v>
      </c>
      <c r="E219" t="s">
        <v>256</v>
      </c>
      <c r="F219" t="s">
        <v>516</v>
      </c>
      <c r="G219" s="8">
        <v>75</v>
      </c>
      <c r="H219" t="s">
        <v>28</v>
      </c>
      <c r="I219" s="10">
        <v>4.3538666666666668</v>
      </c>
      <c r="J219" s="10">
        <v>326.54000000000002</v>
      </c>
      <c r="K219">
        <v>4.3499999999999996</v>
      </c>
      <c r="L219" t="s">
        <v>189</v>
      </c>
      <c r="M219" t="s">
        <v>190</v>
      </c>
      <c r="N219" t="s">
        <v>51</v>
      </c>
      <c r="O219" t="s">
        <v>32</v>
      </c>
      <c r="P219">
        <v>75</v>
      </c>
      <c r="Q219" t="s">
        <v>28</v>
      </c>
      <c r="R219">
        <v>334.5</v>
      </c>
      <c r="S219">
        <v>4.46</v>
      </c>
      <c r="T219" t="s">
        <v>33</v>
      </c>
      <c r="U219" t="s">
        <v>163</v>
      </c>
      <c r="V219">
        <v>12</v>
      </c>
      <c r="W219">
        <v>1209</v>
      </c>
      <c r="X219" s="17">
        <v>45627</v>
      </c>
      <c r="Y219">
        <v>356000683</v>
      </c>
      <c r="Z219" t="s">
        <v>259</v>
      </c>
      <c r="AC219" s="6"/>
      <c r="AH219" s="8"/>
      <c r="AJ219" s="10"/>
      <c r="AK219" s="10"/>
    </row>
    <row r="220" spans="1:37" x14ac:dyDescent="0.3">
      <c r="A220" s="6">
        <v>45631</v>
      </c>
      <c r="B220" s="11">
        <v>45631</v>
      </c>
      <c r="C220">
        <v>20081920</v>
      </c>
      <c r="D220" t="s">
        <v>473</v>
      </c>
      <c r="E220" t="s">
        <v>474</v>
      </c>
      <c r="F220" t="s">
        <v>555</v>
      </c>
      <c r="G220" s="8">
        <v>2000</v>
      </c>
      <c r="H220" t="s">
        <v>28</v>
      </c>
      <c r="I220" s="10">
        <v>4.5960550000000007</v>
      </c>
      <c r="J220" s="10">
        <v>9192.11</v>
      </c>
      <c r="K220">
        <v>4.5999999999999996</v>
      </c>
      <c r="L220" t="s">
        <v>476</v>
      </c>
      <c r="M220" t="s">
        <v>316</v>
      </c>
      <c r="N220" t="s">
        <v>477</v>
      </c>
      <c r="O220" t="s">
        <v>60</v>
      </c>
      <c r="P220">
        <v>2000</v>
      </c>
      <c r="Q220" t="s">
        <v>28</v>
      </c>
      <c r="R220">
        <v>770000</v>
      </c>
      <c r="S220">
        <v>385</v>
      </c>
      <c r="T220" t="s">
        <v>114</v>
      </c>
      <c r="U220" t="s">
        <v>44</v>
      </c>
      <c r="V220">
        <v>20</v>
      </c>
      <c r="W220">
        <v>2008</v>
      </c>
      <c r="X220" s="17">
        <v>45628</v>
      </c>
      <c r="Y220">
        <v>359720259</v>
      </c>
      <c r="Z220" t="s">
        <v>478</v>
      </c>
      <c r="AC220" s="6"/>
      <c r="AH220" s="8"/>
      <c r="AJ220" s="10"/>
      <c r="AK220" s="10"/>
    </row>
    <row r="221" spans="1:37" x14ac:dyDescent="0.3">
      <c r="A221" s="6">
        <v>45635</v>
      </c>
      <c r="B221" s="11">
        <v>45635</v>
      </c>
      <c r="C221">
        <v>20081920</v>
      </c>
      <c r="D221" t="s">
        <v>556</v>
      </c>
      <c r="E221" t="s">
        <v>557</v>
      </c>
      <c r="F221" t="s">
        <v>79</v>
      </c>
      <c r="G221" s="8">
        <v>25</v>
      </c>
      <c r="H221" t="s">
        <v>28</v>
      </c>
      <c r="I221" s="10">
        <v>7.0724</v>
      </c>
      <c r="J221" s="10">
        <v>176.81</v>
      </c>
      <c r="K221">
        <v>7.07</v>
      </c>
      <c r="L221" t="s">
        <v>558</v>
      </c>
      <c r="M221" t="s">
        <v>162</v>
      </c>
      <c r="N221" t="s">
        <v>559</v>
      </c>
      <c r="O221" t="s">
        <v>32</v>
      </c>
      <c r="P221">
        <v>25</v>
      </c>
      <c r="Q221" t="s">
        <v>28</v>
      </c>
      <c r="R221">
        <v>181</v>
      </c>
      <c r="S221">
        <v>7.24</v>
      </c>
      <c r="T221" t="s">
        <v>33</v>
      </c>
      <c r="U221" t="s">
        <v>44</v>
      </c>
      <c r="V221">
        <v>20</v>
      </c>
      <c r="W221">
        <v>2008</v>
      </c>
      <c r="X221" s="17">
        <v>45629</v>
      </c>
      <c r="Y221">
        <v>359497146</v>
      </c>
      <c r="Z221" t="s">
        <v>560</v>
      </c>
      <c r="AC221" s="6"/>
      <c r="AH221" s="8"/>
      <c r="AJ221" s="10"/>
      <c r="AK221" s="10"/>
    </row>
    <row r="222" spans="1:37" x14ac:dyDescent="0.3">
      <c r="A222" s="6">
        <v>45637</v>
      </c>
      <c r="B222" s="11">
        <v>45637</v>
      </c>
      <c r="C222">
        <v>20081990</v>
      </c>
      <c r="D222" t="s">
        <v>561</v>
      </c>
      <c r="E222" t="s">
        <v>261</v>
      </c>
      <c r="F222" t="s">
        <v>79</v>
      </c>
      <c r="G222" s="8">
        <v>4500</v>
      </c>
      <c r="H222" t="s">
        <v>28</v>
      </c>
      <c r="I222" s="10">
        <v>4.735164444444445</v>
      </c>
      <c r="J222" s="10">
        <v>21308.240000000002</v>
      </c>
      <c r="K222">
        <v>4735.16</v>
      </c>
      <c r="L222" t="s">
        <v>334</v>
      </c>
      <c r="M222" t="s">
        <v>335</v>
      </c>
      <c r="N222" t="s">
        <v>89</v>
      </c>
      <c r="O222" t="s">
        <v>32</v>
      </c>
      <c r="P222">
        <v>4.5</v>
      </c>
      <c r="Q222" t="s">
        <v>43</v>
      </c>
      <c r="R222">
        <v>22342.5</v>
      </c>
      <c r="S222">
        <v>4965</v>
      </c>
      <c r="T222" t="s">
        <v>33</v>
      </c>
      <c r="U222" t="s">
        <v>44</v>
      </c>
      <c r="V222">
        <v>20</v>
      </c>
      <c r="W222">
        <v>2008</v>
      </c>
      <c r="X222" s="17">
        <v>45630</v>
      </c>
      <c r="Y222">
        <v>356707800</v>
      </c>
      <c r="Z222" t="s">
        <v>262</v>
      </c>
      <c r="AC222" s="6"/>
      <c r="AH222" s="8"/>
      <c r="AJ222" s="10"/>
      <c r="AK222" s="10"/>
    </row>
    <row r="223" spans="1:37" x14ac:dyDescent="0.3">
      <c r="A223" s="6">
        <v>45638</v>
      </c>
      <c r="B223" s="11">
        <v>45638</v>
      </c>
      <c r="C223">
        <v>12079990</v>
      </c>
      <c r="D223" t="s">
        <v>177</v>
      </c>
      <c r="E223" t="s">
        <v>499</v>
      </c>
      <c r="F223" t="s">
        <v>500</v>
      </c>
      <c r="G223" s="8">
        <v>50</v>
      </c>
      <c r="H223" t="s">
        <v>28</v>
      </c>
      <c r="I223" s="10">
        <v>2.9201999999999999</v>
      </c>
      <c r="J223" s="10">
        <v>146.01</v>
      </c>
      <c r="K223">
        <v>2.92</v>
      </c>
      <c r="L223" t="s">
        <v>501</v>
      </c>
      <c r="M223" t="s">
        <v>316</v>
      </c>
      <c r="N223" t="s">
        <v>502</v>
      </c>
      <c r="O223" t="s">
        <v>60</v>
      </c>
      <c r="P223">
        <v>50</v>
      </c>
      <c r="Q223" t="s">
        <v>28</v>
      </c>
      <c r="R223">
        <v>149</v>
      </c>
      <c r="S223">
        <v>2.98</v>
      </c>
      <c r="T223" t="s">
        <v>33</v>
      </c>
      <c r="U223" t="s">
        <v>34</v>
      </c>
      <c r="V223">
        <v>12</v>
      </c>
      <c r="W223">
        <v>1207</v>
      </c>
      <c r="X223" s="17">
        <v>45631</v>
      </c>
      <c r="Y223">
        <v>359693068</v>
      </c>
      <c r="Z223" t="s">
        <v>503</v>
      </c>
      <c r="AC223" s="6"/>
      <c r="AH223" s="8"/>
      <c r="AJ223" s="10"/>
      <c r="AK223" s="10"/>
    </row>
    <row r="224" spans="1:37" x14ac:dyDescent="0.3">
      <c r="A224" s="6">
        <v>45639</v>
      </c>
      <c r="B224" s="11">
        <v>45639</v>
      </c>
      <c r="C224">
        <v>20081920</v>
      </c>
      <c r="D224" t="s">
        <v>132</v>
      </c>
      <c r="E224" t="s">
        <v>313</v>
      </c>
      <c r="F224" t="s">
        <v>489</v>
      </c>
      <c r="G224" s="8">
        <v>1000</v>
      </c>
      <c r="H224" t="s">
        <v>28</v>
      </c>
      <c r="I224" s="10">
        <v>1.6772100000000001</v>
      </c>
      <c r="J224" s="10">
        <v>1677.21</v>
      </c>
      <c r="K224">
        <v>1.68</v>
      </c>
      <c r="L224" t="s">
        <v>379</v>
      </c>
      <c r="M224" t="s">
        <v>316</v>
      </c>
      <c r="N224" t="s">
        <v>317</v>
      </c>
      <c r="O224" t="s">
        <v>60</v>
      </c>
      <c r="P224">
        <v>1000</v>
      </c>
      <c r="Q224" t="s">
        <v>28</v>
      </c>
      <c r="R224">
        <v>141000</v>
      </c>
      <c r="S224">
        <v>141</v>
      </c>
      <c r="T224" t="s">
        <v>114</v>
      </c>
      <c r="U224" t="s">
        <v>44</v>
      </c>
      <c r="V224">
        <v>20</v>
      </c>
      <c r="W224">
        <v>2008</v>
      </c>
      <c r="X224" s="17">
        <v>45632</v>
      </c>
      <c r="Y224">
        <v>356558972</v>
      </c>
      <c r="Z224" t="s">
        <v>318</v>
      </c>
      <c r="AC224" s="6"/>
      <c r="AH224" s="8"/>
      <c r="AJ224" s="10"/>
      <c r="AK224" s="10"/>
    </row>
    <row r="225" spans="1:37" x14ac:dyDescent="0.3">
      <c r="A225" s="6">
        <v>45639</v>
      </c>
      <c r="B225" s="11">
        <v>45639</v>
      </c>
      <c r="C225">
        <v>20081920</v>
      </c>
      <c r="D225" t="s">
        <v>177</v>
      </c>
      <c r="E225" t="s">
        <v>313</v>
      </c>
      <c r="F225" t="s">
        <v>314</v>
      </c>
      <c r="G225" s="8">
        <v>500</v>
      </c>
      <c r="H225" t="s">
        <v>28</v>
      </c>
      <c r="I225" s="10">
        <v>1.64696</v>
      </c>
      <c r="J225" s="10">
        <v>823.48</v>
      </c>
      <c r="K225">
        <v>1.65</v>
      </c>
      <c r="L225" t="s">
        <v>379</v>
      </c>
      <c r="M225" t="s">
        <v>316</v>
      </c>
      <c r="N225" t="s">
        <v>317</v>
      </c>
      <c r="O225" t="s">
        <v>60</v>
      </c>
      <c r="P225">
        <v>500</v>
      </c>
      <c r="Q225" t="s">
        <v>28</v>
      </c>
      <c r="R225">
        <v>70500</v>
      </c>
      <c r="S225">
        <v>141</v>
      </c>
      <c r="T225" t="s">
        <v>114</v>
      </c>
      <c r="U225" t="s">
        <v>44</v>
      </c>
      <c r="V225">
        <v>20</v>
      </c>
      <c r="W225">
        <v>2008</v>
      </c>
      <c r="X225" s="17">
        <v>45633</v>
      </c>
      <c r="Y225">
        <v>356634725</v>
      </c>
      <c r="Z225" t="s">
        <v>318</v>
      </c>
      <c r="AC225" s="6"/>
      <c r="AH225" s="8"/>
      <c r="AJ225" s="10"/>
      <c r="AK225" s="10"/>
    </row>
    <row r="226" spans="1:37" x14ac:dyDescent="0.3">
      <c r="A226" s="6">
        <v>45643</v>
      </c>
      <c r="B226" s="11">
        <v>45643</v>
      </c>
      <c r="C226">
        <v>12060090</v>
      </c>
      <c r="D226" t="s">
        <v>562</v>
      </c>
      <c r="E226" t="s">
        <v>213</v>
      </c>
      <c r="F226" t="s">
        <v>563</v>
      </c>
      <c r="G226" s="8">
        <v>10</v>
      </c>
      <c r="H226" t="s">
        <v>28</v>
      </c>
      <c r="I226" s="10">
        <v>4.6549999999999994</v>
      </c>
      <c r="J226" s="10">
        <v>46.55</v>
      </c>
      <c r="K226">
        <v>4.66</v>
      </c>
      <c r="L226" t="s">
        <v>149</v>
      </c>
      <c r="M226" t="s">
        <v>150</v>
      </c>
      <c r="N226" t="s">
        <v>174</v>
      </c>
      <c r="O226" t="s">
        <v>32</v>
      </c>
      <c r="P226">
        <v>10</v>
      </c>
      <c r="Q226" t="s">
        <v>28</v>
      </c>
      <c r="R226">
        <v>47.5</v>
      </c>
      <c r="S226">
        <v>4.75</v>
      </c>
      <c r="T226" t="s">
        <v>33</v>
      </c>
      <c r="U226" t="s">
        <v>215</v>
      </c>
      <c r="V226">
        <v>12</v>
      </c>
      <c r="W226">
        <v>1206</v>
      </c>
      <c r="X226" s="17">
        <v>45634</v>
      </c>
      <c r="Y226">
        <v>357447696</v>
      </c>
      <c r="Z226" t="s">
        <v>217</v>
      </c>
      <c r="AC226" s="6"/>
      <c r="AH226" s="8"/>
      <c r="AJ226" s="10"/>
      <c r="AK226" s="10"/>
    </row>
    <row r="227" spans="1:37" x14ac:dyDescent="0.3">
      <c r="A227" s="6">
        <v>45643</v>
      </c>
      <c r="B227" s="11">
        <v>45643</v>
      </c>
      <c r="C227">
        <v>20081920</v>
      </c>
      <c r="D227" t="s">
        <v>564</v>
      </c>
      <c r="E227" t="s">
        <v>557</v>
      </c>
      <c r="F227" t="s">
        <v>79</v>
      </c>
      <c r="G227" s="8">
        <v>10</v>
      </c>
      <c r="H227" t="s">
        <v>28</v>
      </c>
      <c r="I227" s="10">
        <v>4.4240000000000004</v>
      </c>
      <c r="J227" s="10">
        <v>44.24</v>
      </c>
      <c r="K227">
        <v>4.42</v>
      </c>
      <c r="L227" t="s">
        <v>399</v>
      </c>
      <c r="M227" t="s">
        <v>400</v>
      </c>
      <c r="N227" t="s">
        <v>559</v>
      </c>
      <c r="O227" t="s">
        <v>32</v>
      </c>
      <c r="P227">
        <v>10</v>
      </c>
      <c r="Q227" t="s">
        <v>28</v>
      </c>
      <c r="R227">
        <v>45.1</v>
      </c>
      <c r="S227">
        <v>4.51</v>
      </c>
      <c r="T227" t="s">
        <v>33</v>
      </c>
      <c r="U227" t="s">
        <v>44</v>
      </c>
      <c r="V227">
        <v>20</v>
      </c>
      <c r="W227">
        <v>2008</v>
      </c>
      <c r="X227" s="17">
        <v>45635</v>
      </c>
      <c r="Y227">
        <v>359545490</v>
      </c>
      <c r="Z227" t="s">
        <v>560</v>
      </c>
      <c r="AC227" s="6"/>
      <c r="AH227" s="8"/>
      <c r="AJ227" s="10"/>
      <c r="AK227" s="10"/>
    </row>
    <row r="228" spans="1:37" x14ac:dyDescent="0.3">
      <c r="A228" s="6">
        <v>45649</v>
      </c>
      <c r="B228" s="11">
        <v>45649</v>
      </c>
      <c r="C228">
        <v>20081920</v>
      </c>
      <c r="D228" t="s">
        <v>565</v>
      </c>
      <c r="E228" t="s">
        <v>127</v>
      </c>
      <c r="F228" t="s">
        <v>79</v>
      </c>
      <c r="G228" s="8">
        <v>1000</v>
      </c>
      <c r="H228" t="s">
        <v>28</v>
      </c>
      <c r="I228" s="10">
        <v>4.9632100000000001</v>
      </c>
      <c r="J228" s="10">
        <v>4963.21</v>
      </c>
      <c r="K228">
        <v>4.96</v>
      </c>
      <c r="L228" t="s">
        <v>80</v>
      </c>
      <c r="M228" t="s">
        <v>81</v>
      </c>
      <c r="N228" t="s">
        <v>51</v>
      </c>
      <c r="O228" t="s">
        <v>32</v>
      </c>
      <c r="P228">
        <v>1000</v>
      </c>
      <c r="Q228" t="s">
        <v>28</v>
      </c>
      <c r="R228">
        <v>5500</v>
      </c>
      <c r="S228">
        <v>5.5</v>
      </c>
      <c r="T228" t="s">
        <v>33</v>
      </c>
      <c r="U228" t="s">
        <v>44</v>
      </c>
      <c r="V228">
        <v>20</v>
      </c>
      <c r="W228">
        <v>2008</v>
      </c>
      <c r="X228" s="17">
        <v>45636</v>
      </c>
      <c r="Y228">
        <v>358055214</v>
      </c>
      <c r="Z228" t="s">
        <v>130</v>
      </c>
      <c r="AC228" s="6"/>
      <c r="AH228" s="8"/>
      <c r="AJ228" s="10"/>
      <c r="AK228" s="10"/>
    </row>
    <row r="229" spans="1:37" x14ac:dyDescent="0.3">
      <c r="A229" s="6">
        <v>45649</v>
      </c>
      <c r="B229" s="11">
        <v>45649</v>
      </c>
      <c r="C229">
        <v>20081920</v>
      </c>
      <c r="D229" t="s">
        <v>565</v>
      </c>
      <c r="E229" t="s">
        <v>127</v>
      </c>
      <c r="F229" t="s">
        <v>79</v>
      </c>
      <c r="G229" s="8">
        <v>1000</v>
      </c>
      <c r="H229" t="s">
        <v>28</v>
      </c>
      <c r="I229" s="10">
        <v>4.9632100000000001</v>
      </c>
      <c r="J229" s="10">
        <v>4963.21</v>
      </c>
      <c r="K229">
        <v>4.96</v>
      </c>
      <c r="L229" t="s">
        <v>80</v>
      </c>
      <c r="M229" t="s">
        <v>81</v>
      </c>
      <c r="N229" t="s">
        <v>51</v>
      </c>
      <c r="O229" t="s">
        <v>32</v>
      </c>
      <c r="P229">
        <v>1000</v>
      </c>
      <c r="Q229" t="s">
        <v>28</v>
      </c>
      <c r="R229">
        <v>4970</v>
      </c>
      <c r="S229">
        <v>4.97</v>
      </c>
      <c r="T229" t="s">
        <v>33</v>
      </c>
      <c r="U229" t="s">
        <v>44</v>
      </c>
      <c r="V229">
        <v>20</v>
      </c>
      <c r="W229">
        <v>2008</v>
      </c>
      <c r="X229" s="17">
        <v>45637</v>
      </c>
      <c r="Y229">
        <v>358055117</v>
      </c>
      <c r="Z229" t="s">
        <v>130</v>
      </c>
      <c r="AC229" s="6"/>
      <c r="AH229" s="8"/>
      <c r="AJ229" s="10"/>
      <c r="AK229" s="10"/>
    </row>
    <row r="230" spans="1:37" x14ac:dyDescent="0.3">
      <c r="A230" s="6">
        <v>45650</v>
      </c>
      <c r="B230" s="11">
        <v>45650</v>
      </c>
      <c r="C230">
        <v>20081920</v>
      </c>
      <c r="D230" t="s">
        <v>132</v>
      </c>
      <c r="E230" t="s">
        <v>313</v>
      </c>
      <c r="F230" t="s">
        <v>445</v>
      </c>
      <c r="G230" s="8">
        <v>100</v>
      </c>
      <c r="H230" t="s">
        <v>28</v>
      </c>
      <c r="I230" s="10">
        <v>1.6400999999999999</v>
      </c>
      <c r="J230" s="10">
        <v>164.01</v>
      </c>
      <c r="K230">
        <v>1.64</v>
      </c>
      <c r="L230" t="s">
        <v>315</v>
      </c>
      <c r="M230" t="s">
        <v>316</v>
      </c>
      <c r="N230" t="s">
        <v>317</v>
      </c>
      <c r="O230" t="s">
        <v>60</v>
      </c>
      <c r="P230">
        <v>100</v>
      </c>
      <c r="Q230" t="s">
        <v>28</v>
      </c>
      <c r="R230">
        <v>14100</v>
      </c>
      <c r="S230">
        <v>141</v>
      </c>
      <c r="T230" t="s">
        <v>114</v>
      </c>
      <c r="U230" t="s">
        <v>44</v>
      </c>
      <c r="V230">
        <v>20</v>
      </c>
      <c r="W230">
        <v>2008</v>
      </c>
      <c r="X230" s="17">
        <v>45638</v>
      </c>
      <c r="Y230">
        <v>358222935</v>
      </c>
      <c r="Z230" t="s">
        <v>318</v>
      </c>
      <c r="AC230" s="6"/>
      <c r="AH230" s="8"/>
      <c r="AJ230" s="10"/>
      <c r="AK230" s="10"/>
    </row>
    <row r="231" spans="1:37" x14ac:dyDescent="0.3">
      <c r="A231" s="6">
        <v>45653</v>
      </c>
      <c r="B231" s="11">
        <v>45653</v>
      </c>
      <c r="C231">
        <v>12060090</v>
      </c>
      <c r="D231" t="s">
        <v>177</v>
      </c>
      <c r="E231" t="s">
        <v>566</v>
      </c>
      <c r="F231" t="s">
        <v>567</v>
      </c>
      <c r="G231" s="8">
        <v>5</v>
      </c>
      <c r="H231" t="s">
        <v>28</v>
      </c>
      <c r="I231" s="10">
        <v>11.05</v>
      </c>
      <c r="J231" s="10">
        <v>55.25</v>
      </c>
      <c r="K231">
        <v>11.05</v>
      </c>
      <c r="L231" t="s">
        <v>135</v>
      </c>
      <c r="M231" t="s">
        <v>136</v>
      </c>
      <c r="N231" t="s">
        <v>137</v>
      </c>
      <c r="O231" t="s">
        <v>60</v>
      </c>
      <c r="P231">
        <v>5</v>
      </c>
      <c r="Q231" t="s">
        <v>28</v>
      </c>
      <c r="R231">
        <v>4750</v>
      </c>
      <c r="S231">
        <v>950</v>
      </c>
      <c r="T231" t="s">
        <v>114</v>
      </c>
      <c r="U231" t="s">
        <v>215</v>
      </c>
      <c r="V231">
        <v>12</v>
      </c>
      <c r="W231">
        <v>1206</v>
      </c>
      <c r="X231" s="17">
        <v>45639</v>
      </c>
      <c r="Y231">
        <v>359385990</v>
      </c>
      <c r="Z231" t="s">
        <v>568</v>
      </c>
      <c r="AC231" s="6"/>
      <c r="AH231" s="8"/>
      <c r="AJ231" s="10"/>
      <c r="AK231" s="10"/>
    </row>
    <row r="232" spans="1:37" x14ac:dyDescent="0.3">
      <c r="A232" s="6">
        <v>45654</v>
      </c>
      <c r="B232" s="11">
        <v>45654</v>
      </c>
      <c r="C232">
        <v>20081920</v>
      </c>
      <c r="D232" t="s">
        <v>132</v>
      </c>
      <c r="E232" t="s">
        <v>313</v>
      </c>
      <c r="F232" t="s">
        <v>538</v>
      </c>
      <c r="G232" s="8">
        <v>250</v>
      </c>
      <c r="H232" t="s">
        <v>28</v>
      </c>
      <c r="I232" s="10">
        <v>1.64012</v>
      </c>
      <c r="J232" s="10">
        <v>410.03</v>
      </c>
      <c r="K232">
        <v>1.64</v>
      </c>
      <c r="L232" t="s">
        <v>315</v>
      </c>
      <c r="M232" t="s">
        <v>316</v>
      </c>
      <c r="N232" t="s">
        <v>317</v>
      </c>
      <c r="O232" t="s">
        <v>60</v>
      </c>
      <c r="P232">
        <v>250</v>
      </c>
      <c r="Q232" t="s">
        <v>28</v>
      </c>
      <c r="R232">
        <v>35250</v>
      </c>
      <c r="S232">
        <v>141</v>
      </c>
      <c r="T232" t="s">
        <v>114</v>
      </c>
      <c r="U232" t="s">
        <v>44</v>
      </c>
      <c r="V232">
        <v>20</v>
      </c>
      <c r="W232">
        <v>2008</v>
      </c>
      <c r="X232" s="17">
        <v>45640</v>
      </c>
      <c r="Y232">
        <v>358243823</v>
      </c>
      <c r="Z232" t="s">
        <v>318</v>
      </c>
      <c r="AC232" s="6"/>
      <c r="AH232" s="8"/>
      <c r="AJ232" s="10"/>
      <c r="AK232" s="10"/>
    </row>
    <row r="233" spans="1:37" x14ac:dyDescent="0.3">
      <c r="A233" s="6">
        <v>45654</v>
      </c>
      <c r="B233" s="11">
        <v>45654</v>
      </c>
      <c r="C233">
        <v>20081920</v>
      </c>
      <c r="D233" t="s">
        <v>132</v>
      </c>
      <c r="E233" t="s">
        <v>313</v>
      </c>
      <c r="F233" t="s">
        <v>569</v>
      </c>
      <c r="G233" s="8">
        <v>1000</v>
      </c>
      <c r="H233" t="s">
        <v>28</v>
      </c>
      <c r="I233" s="10">
        <v>1.6702399999999999</v>
      </c>
      <c r="J233" s="10">
        <v>1670.24</v>
      </c>
      <c r="K233">
        <v>1.67</v>
      </c>
      <c r="L233" t="s">
        <v>315</v>
      </c>
      <c r="M233" t="s">
        <v>316</v>
      </c>
      <c r="N233" t="s">
        <v>317</v>
      </c>
      <c r="O233" t="s">
        <v>60</v>
      </c>
      <c r="P233">
        <v>1000</v>
      </c>
      <c r="Q233" t="s">
        <v>28</v>
      </c>
      <c r="R233">
        <v>141000</v>
      </c>
      <c r="S233">
        <v>141</v>
      </c>
      <c r="T233" t="s">
        <v>114</v>
      </c>
      <c r="U233" t="s">
        <v>44</v>
      </c>
      <c r="V233">
        <v>20</v>
      </c>
      <c r="W233">
        <v>2008</v>
      </c>
      <c r="X233" s="17">
        <v>45641</v>
      </c>
      <c r="Y233">
        <v>358971289</v>
      </c>
      <c r="Z233" t="s">
        <v>318</v>
      </c>
      <c r="AC233" s="6"/>
      <c r="AH233" s="8"/>
      <c r="AJ233" s="10"/>
      <c r="AK233" s="10"/>
    </row>
    <row r="234" spans="1:37" x14ac:dyDescent="0.3">
      <c r="A234" s="6">
        <v>45657</v>
      </c>
      <c r="B234" s="11">
        <v>45657</v>
      </c>
      <c r="C234">
        <v>20081990</v>
      </c>
      <c r="D234" t="s">
        <v>570</v>
      </c>
      <c r="E234" t="s">
        <v>261</v>
      </c>
      <c r="F234" t="s">
        <v>79</v>
      </c>
      <c r="G234" s="8">
        <v>3000</v>
      </c>
      <c r="H234" t="s">
        <v>28</v>
      </c>
      <c r="I234" s="10">
        <v>4.0277666666666656</v>
      </c>
      <c r="J234" s="10">
        <v>12083.3</v>
      </c>
      <c r="K234">
        <v>4027.77</v>
      </c>
      <c r="L234" t="s">
        <v>571</v>
      </c>
      <c r="M234" t="s">
        <v>572</v>
      </c>
      <c r="N234" t="s">
        <v>89</v>
      </c>
      <c r="O234" t="s">
        <v>32</v>
      </c>
      <c r="P234">
        <v>3</v>
      </c>
      <c r="Q234" t="s">
        <v>43</v>
      </c>
      <c r="R234">
        <v>12915</v>
      </c>
      <c r="S234">
        <v>4305</v>
      </c>
      <c r="T234" t="s">
        <v>33</v>
      </c>
      <c r="U234" t="s">
        <v>44</v>
      </c>
      <c r="V234">
        <v>20</v>
      </c>
      <c r="W234">
        <v>2008</v>
      </c>
      <c r="X234" s="17">
        <v>45642</v>
      </c>
      <c r="Y234">
        <v>358292004</v>
      </c>
      <c r="Z234" t="s">
        <v>262</v>
      </c>
      <c r="AC234" s="6"/>
      <c r="AH234" s="8"/>
      <c r="AJ234" s="10"/>
      <c r="AK234" s="10"/>
    </row>
    <row r="235" spans="1:37" x14ac:dyDescent="0.3">
      <c r="A235" s="6">
        <v>45660</v>
      </c>
      <c r="B235" s="11">
        <v>45660</v>
      </c>
      <c r="C235">
        <v>20081920</v>
      </c>
      <c r="D235" t="s">
        <v>573</v>
      </c>
      <c r="E235" t="s">
        <v>574</v>
      </c>
      <c r="F235" t="s">
        <v>575</v>
      </c>
      <c r="G235" s="8">
        <v>20</v>
      </c>
      <c r="H235" t="s">
        <v>28</v>
      </c>
      <c r="I235" s="10">
        <v>10.61954664310954</v>
      </c>
      <c r="J235" s="10">
        <v>212.39093286219079</v>
      </c>
      <c r="K235">
        <v>10.62</v>
      </c>
      <c r="L235" t="s">
        <v>278</v>
      </c>
      <c r="M235" t="s">
        <v>67</v>
      </c>
      <c r="N235" t="s">
        <v>124</v>
      </c>
      <c r="O235" t="s">
        <v>32</v>
      </c>
      <c r="P235">
        <v>20</v>
      </c>
      <c r="Q235" t="s">
        <v>28</v>
      </c>
      <c r="R235">
        <v>216.72</v>
      </c>
      <c r="S235">
        <v>10.836</v>
      </c>
      <c r="T235" t="s">
        <v>33</v>
      </c>
      <c r="U235" t="s">
        <v>576</v>
      </c>
      <c r="V235">
        <v>20</v>
      </c>
      <c r="W235">
        <v>2008</v>
      </c>
      <c r="X235" s="17">
        <v>45658</v>
      </c>
      <c r="Y235">
        <v>706011</v>
      </c>
      <c r="Z235" t="s">
        <v>578</v>
      </c>
      <c r="AC235" s="6"/>
      <c r="AH235" s="8"/>
      <c r="AJ235" s="10"/>
      <c r="AK235" s="10"/>
    </row>
    <row r="236" spans="1:37" x14ac:dyDescent="0.3">
      <c r="A236" s="6">
        <v>45664</v>
      </c>
      <c r="B236" s="11">
        <v>45664</v>
      </c>
      <c r="C236">
        <v>20081920</v>
      </c>
      <c r="D236" t="s">
        <v>132</v>
      </c>
      <c r="E236" t="s">
        <v>313</v>
      </c>
      <c r="F236" t="s">
        <v>579</v>
      </c>
      <c r="G236" s="8">
        <v>500</v>
      </c>
      <c r="H236" t="s">
        <v>28</v>
      </c>
      <c r="I236" s="10">
        <v>1.6275599999999999</v>
      </c>
      <c r="J236" s="10">
        <v>813.78</v>
      </c>
      <c r="K236">
        <v>1.63</v>
      </c>
      <c r="L236" t="s">
        <v>379</v>
      </c>
      <c r="M236" t="s">
        <v>316</v>
      </c>
      <c r="N236" t="s">
        <v>317</v>
      </c>
      <c r="O236" t="s">
        <v>60</v>
      </c>
      <c r="P236">
        <v>500</v>
      </c>
      <c r="Q236" t="s">
        <v>28</v>
      </c>
      <c r="R236">
        <v>70500</v>
      </c>
      <c r="S236">
        <v>141</v>
      </c>
      <c r="T236" t="s">
        <v>114</v>
      </c>
      <c r="U236" t="s">
        <v>576</v>
      </c>
      <c r="V236">
        <v>20</v>
      </c>
      <c r="W236">
        <v>2008</v>
      </c>
      <c r="X236" s="17">
        <v>45659</v>
      </c>
      <c r="Y236">
        <v>547345</v>
      </c>
      <c r="Z236" t="s">
        <v>318</v>
      </c>
      <c r="AC236" s="6"/>
      <c r="AH236" s="8"/>
      <c r="AJ236" s="10"/>
      <c r="AK236" s="10"/>
    </row>
    <row r="237" spans="1:37" x14ac:dyDescent="0.3">
      <c r="A237" s="6">
        <v>45668</v>
      </c>
      <c r="B237" s="11">
        <v>45668</v>
      </c>
      <c r="C237">
        <v>20081920</v>
      </c>
      <c r="D237" t="s">
        <v>580</v>
      </c>
      <c r="E237" t="s">
        <v>581</v>
      </c>
      <c r="F237" t="s">
        <v>582</v>
      </c>
      <c r="G237" s="8">
        <v>48</v>
      </c>
      <c r="H237" t="s">
        <v>28</v>
      </c>
      <c r="I237" s="10">
        <v>6.430625</v>
      </c>
      <c r="J237" s="10">
        <v>308.67</v>
      </c>
      <c r="K237">
        <v>6.43</v>
      </c>
      <c r="L237" t="s">
        <v>583</v>
      </c>
      <c r="M237" t="s">
        <v>343</v>
      </c>
      <c r="N237" t="s">
        <v>89</v>
      </c>
      <c r="O237" t="s">
        <v>32</v>
      </c>
      <c r="P237">
        <v>48</v>
      </c>
      <c r="Q237" t="s">
        <v>28</v>
      </c>
      <c r="R237">
        <v>312</v>
      </c>
      <c r="S237">
        <v>6.5</v>
      </c>
      <c r="T237" t="s">
        <v>33</v>
      </c>
      <c r="U237" t="s">
        <v>576</v>
      </c>
      <c r="V237">
        <v>20</v>
      </c>
      <c r="W237">
        <v>2008</v>
      </c>
      <c r="X237" s="17">
        <v>45660</v>
      </c>
      <c r="Y237">
        <v>1820205</v>
      </c>
      <c r="Z237" t="s">
        <v>584</v>
      </c>
      <c r="AC237" s="6"/>
      <c r="AH237" s="8"/>
      <c r="AJ237" s="10"/>
      <c r="AK237" s="10"/>
    </row>
    <row r="238" spans="1:37" x14ac:dyDescent="0.3">
      <c r="A238" s="6">
        <v>45670</v>
      </c>
      <c r="B238" s="11">
        <v>45670</v>
      </c>
      <c r="C238">
        <v>20081920</v>
      </c>
      <c r="D238" t="s">
        <v>132</v>
      </c>
      <c r="E238" t="s">
        <v>313</v>
      </c>
      <c r="F238" t="s">
        <v>540</v>
      </c>
      <c r="G238" s="8">
        <v>2250</v>
      </c>
      <c r="H238" t="s">
        <v>28</v>
      </c>
      <c r="I238" s="10">
        <v>1.6574577777777779</v>
      </c>
      <c r="J238" s="10">
        <v>3729.28</v>
      </c>
      <c r="K238">
        <v>1.66</v>
      </c>
      <c r="L238" t="s">
        <v>379</v>
      </c>
      <c r="M238" t="s">
        <v>316</v>
      </c>
      <c r="N238" t="s">
        <v>317</v>
      </c>
      <c r="O238" t="s">
        <v>60</v>
      </c>
      <c r="P238">
        <v>2250</v>
      </c>
      <c r="Q238" t="s">
        <v>28</v>
      </c>
      <c r="R238">
        <v>317250</v>
      </c>
      <c r="S238">
        <v>141</v>
      </c>
      <c r="T238" t="s">
        <v>114</v>
      </c>
      <c r="U238" t="s">
        <v>576</v>
      </c>
      <c r="V238">
        <v>20</v>
      </c>
      <c r="W238">
        <v>2008</v>
      </c>
      <c r="X238" s="17">
        <v>45661</v>
      </c>
      <c r="Y238">
        <v>1423472</v>
      </c>
      <c r="Z238" t="s">
        <v>318</v>
      </c>
      <c r="AC238" s="6"/>
      <c r="AH238" s="8"/>
      <c r="AJ238" s="10"/>
      <c r="AK238" s="10"/>
    </row>
    <row r="239" spans="1:37" x14ac:dyDescent="0.3">
      <c r="A239" s="6">
        <v>45674</v>
      </c>
      <c r="B239" s="11">
        <v>45674</v>
      </c>
      <c r="C239">
        <v>20081930</v>
      </c>
      <c r="D239" t="s">
        <v>585</v>
      </c>
      <c r="E239" t="s">
        <v>586</v>
      </c>
      <c r="F239" t="s">
        <v>587</v>
      </c>
      <c r="G239" s="8">
        <v>103.125</v>
      </c>
      <c r="H239" t="s">
        <v>28</v>
      </c>
      <c r="I239" s="10">
        <v>0.23757575757575761</v>
      </c>
      <c r="J239" s="10">
        <v>24.5</v>
      </c>
      <c r="K239">
        <v>0.24</v>
      </c>
      <c r="L239" t="s">
        <v>180</v>
      </c>
      <c r="M239" t="s">
        <v>112</v>
      </c>
      <c r="N239" t="s">
        <v>588</v>
      </c>
      <c r="O239" t="s">
        <v>32</v>
      </c>
      <c r="P239">
        <v>103.125</v>
      </c>
      <c r="Q239" t="s">
        <v>28</v>
      </c>
      <c r="R239">
        <v>24.75</v>
      </c>
      <c r="S239">
        <v>0.24</v>
      </c>
      <c r="T239" t="s">
        <v>33</v>
      </c>
      <c r="U239" t="s">
        <v>589</v>
      </c>
      <c r="V239">
        <v>20</v>
      </c>
      <c r="W239">
        <v>2008</v>
      </c>
      <c r="X239" s="17">
        <v>45662</v>
      </c>
      <c r="Y239">
        <v>2092151</v>
      </c>
      <c r="Z239" t="s">
        <v>590</v>
      </c>
      <c r="AC239" s="6"/>
      <c r="AH239" s="8"/>
      <c r="AJ239" s="10"/>
      <c r="AK239" s="10"/>
    </row>
    <row r="240" spans="1:37" x14ac:dyDescent="0.3">
      <c r="A240" s="6">
        <v>45674</v>
      </c>
      <c r="B240" s="11">
        <v>45674</v>
      </c>
      <c r="C240">
        <v>20081930</v>
      </c>
      <c r="D240" t="s">
        <v>585</v>
      </c>
      <c r="E240" t="s">
        <v>586</v>
      </c>
      <c r="F240" t="s">
        <v>587</v>
      </c>
      <c r="G240" s="8">
        <v>103.125</v>
      </c>
      <c r="H240" t="s">
        <v>28</v>
      </c>
      <c r="I240" s="10">
        <v>0.23756351713859911</v>
      </c>
      <c r="J240" s="10">
        <v>24.498737704918032</v>
      </c>
      <c r="K240">
        <v>0.24</v>
      </c>
      <c r="L240" t="s">
        <v>180</v>
      </c>
      <c r="M240" t="s">
        <v>112</v>
      </c>
      <c r="N240" t="s">
        <v>588</v>
      </c>
      <c r="O240" t="s">
        <v>32</v>
      </c>
      <c r="P240">
        <v>103.125</v>
      </c>
      <c r="Q240" t="s">
        <v>28</v>
      </c>
      <c r="R240">
        <v>24.956</v>
      </c>
      <c r="S240">
        <v>0.24199999999999999</v>
      </c>
      <c r="T240" t="s">
        <v>33</v>
      </c>
      <c r="U240" t="s">
        <v>589</v>
      </c>
      <c r="V240">
        <v>20</v>
      </c>
      <c r="W240">
        <v>2008</v>
      </c>
      <c r="X240" s="17">
        <v>45663</v>
      </c>
      <c r="Y240">
        <v>2092122</v>
      </c>
      <c r="Z240" t="s">
        <v>590</v>
      </c>
      <c r="AC240" s="6"/>
      <c r="AH240" s="8"/>
      <c r="AJ240" s="10"/>
      <c r="AK240" s="10"/>
    </row>
    <row r="241" spans="1:37" x14ac:dyDescent="0.3">
      <c r="A241" s="6">
        <v>45679</v>
      </c>
      <c r="B241" s="11">
        <v>45679</v>
      </c>
      <c r="C241">
        <v>12129990</v>
      </c>
      <c r="D241" t="s">
        <v>346</v>
      </c>
      <c r="E241" t="s">
        <v>47</v>
      </c>
      <c r="F241" t="s">
        <v>74</v>
      </c>
      <c r="G241" s="8">
        <v>260</v>
      </c>
      <c r="H241" t="s">
        <v>28</v>
      </c>
      <c r="I241" s="10">
        <v>4.5496923076923084</v>
      </c>
      <c r="J241" s="10">
        <v>1182.92</v>
      </c>
      <c r="K241">
        <v>4.55</v>
      </c>
      <c r="L241" t="s">
        <v>75</v>
      </c>
      <c r="M241" t="s">
        <v>50</v>
      </c>
      <c r="N241" t="s">
        <v>51</v>
      </c>
      <c r="O241" t="s">
        <v>32</v>
      </c>
      <c r="P241">
        <v>260</v>
      </c>
      <c r="Q241" t="s">
        <v>28</v>
      </c>
      <c r="R241">
        <v>1014</v>
      </c>
      <c r="S241">
        <v>3.9</v>
      </c>
      <c r="T241" t="s">
        <v>52</v>
      </c>
      <c r="U241" t="s">
        <v>591</v>
      </c>
      <c r="V241">
        <v>12</v>
      </c>
      <c r="W241">
        <v>1212</v>
      </c>
      <c r="X241" s="17">
        <v>45664</v>
      </c>
      <c r="Y241">
        <v>3753174</v>
      </c>
      <c r="Z241" t="s">
        <v>53</v>
      </c>
      <c r="AC241" s="6"/>
      <c r="AH241" s="8"/>
      <c r="AJ241" s="10"/>
      <c r="AK241" s="10"/>
    </row>
    <row r="242" spans="1:37" x14ac:dyDescent="0.3">
      <c r="A242" s="6">
        <v>45680</v>
      </c>
      <c r="B242" s="11">
        <v>45680</v>
      </c>
      <c r="C242">
        <v>12079990</v>
      </c>
      <c r="D242" t="s">
        <v>177</v>
      </c>
      <c r="E242" t="s">
        <v>154</v>
      </c>
      <c r="F242" t="s">
        <v>79</v>
      </c>
      <c r="G242" s="8">
        <v>48</v>
      </c>
      <c r="H242" t="s">
        <v>28</v>
      </c>
      <c r="I242" s="10">
        <v>6.6854166666666659</v>
      </c>
      <c r="J242" s="10">
        <v>320.89999999999998</v>
      </c>
      <c r="K242">
        <v>6.69</v>
      </c>
      <c r="L242" t="s">
        <v>278</v>
      </c>
      <c r="M242" t="s">
        <v>67</v>
      </c>
      <c r="N242" t="s">
        <v>51</v>
      </c>
      <c r="O242" t="s">
        <v>32</v>
      </c>
      <c r="P242">
        <v>48</v>
      </c>
      <c r="Q242" t="s">
        <v>28</v>
      </c>
      <c r="R242">
        <v>328.8</v>
      </c>
      <c r="S242">
        <v>6.85</v>
      </c>
      <c r="T242" t="s">
        <v>33</v>
      </c>
      <c r="U242" t="s">
        <v>592</v>
      </c>
      <c r="V242">
        <v>12</v>
      </c>
      <c r="W242">
        <v>1207</v>
      </c>
      <c r="X242" s="17">
        <v>45665</v>
      </c>
      <c r="Y242">
        <v>3373451</v>
      </c>
      <c r="Z242" t="s">
        <v>158</v>
      </c>
      <c r="AC242" s="6"/>
      <c r="AH242" s="8"/>
      <c r="AJ242" s="10"/>
      <c r="AK242" s="10"/>
    </row>
    <row r="243" spans="1:37" x14ac:dyDescent="0.3">
      <c r="A243" s="6">
        <v>45684</v>
      </c>
      <c r="B243" s="11">
        <v>45684</v>
      </c>
      <c r="C243">
        <v>20081920</v>
      </c>
      <c r="D243" t="s">
        <v>132</v>
      </c>
      <c r="E243" t="s">
        <v>313</v>
      </c>
      <c r="F243" t="s">
        <v>593</v>
      </c>
      <c r="G243" s="8">
        <v>3000</v>
      </c>
      <c r="H243" t="s">
        <v>28</v>
      </c>
      <c r="I243" s="10">
        <v>1.647753333333333</v>
      </c>
      <c r="J243" s="10">
        <v>4943.26</v>
      </c>
      <c r="K243">
        <v>1.65</v>
      </c>
      <c r="L243" t="s">
        <v>315</v>
      </c>
      <c r="M243" t="s">
        <v>316</v>
      </c>
      <c r="N243" t="s">
        <v>317</v>
      </c>
      <c r="O243" t="s">
        <v>60</v>
      </c>
      <c r="P243">
        <v>3000</v>
      </c>
      <c r="Q243" t="s">
        <v>28</v>
      </c>
      <c r="R243">
        <v>423000</v>
      </c>
      <c r="S243">
        <v>141</v>
      </c>
      <c r="T243" t="s">
        <v>114</v>
      </c>
      <c r="U243" t="s">
        <v>576</v>
      </c>
      <c r="V243">
        <v>20</v>
      </c>
      <c r="W243">
        <v>2008</v>
      </c>
      <c r="X243" s="17">
        <v>45666</v>
      </c>
      <c r="Y243">
        <v>3247253</v>
      </c>
      <c r="Z243" t="s">
        <v>318</v>
      </c>
      <c r="AC243" s="6"/>
      <c r="AH243" s="8"/>
      <c r="AJ243" s="10"/>
      <c r="AK243" s="10"/>
    </row>
    <row r="244" spans="1:37" x14ac:dyDescent="0.3">
      <c r="A244" s="6">
        <v>45684</v>
      </c>
      <c r="B244" s="11">
        <v>45684</v>
      </c>
      <c r="C244">
        <v>12079990</v>
      </c>
      <c r="D244" t="s">
        <v>177</v>
      </c>
      <c r="E244" t="s">
        <v>272</v>
      </c>
      <c r="F244" t="s">
        <v>594</v>
      </c>
      <c r="G244" s="8">
        <v>12.5</v>
      </c>
      <c r="H244" t="s">
        <v>28</v>
      </c>
      <c r="I244" s="10">
        <v>7.4088000000000003</v>
      </c>
      <c r="J244" s="10">
        <v>92.61</v>
      </c>
      <c r="K244">
        <v>7.41</v>
      </c>
      <c r="L244" t="s">
        <v>29</v>
      </c>
      <c r="M244" t="s">
        <v>30</v>
      </c>
      <c r="N244" t="s">
        <v>595</v>
      </c>
      <c r="O244" t="s">
        <v>32</v>
      </c>
      <c r="P244">
        <v>12.5</v>
      </c>
      <c r="Q244" t="s">
        <v>28</v>
      </c>
      <c r="R244">
        <v>94.5</v>
      </c>
      <c r="S244">
        <v>7.56</v>
      </c>
      <c r="T244" t="s">
        <v>33</v>
      </c>
      <c r="U244" t="s">
        <v>592</v>
      </c>
      <c r="V244">
        <v>12</v>
      </c>
      <c r="W244">
        <v>1207</v>
      </c>
      <c r="X244" s="17">
        <v>45667</v>
      </c>
      <c r="Y244">
        <v>4753040</v>
      </c>
      <c r="Z244" t="s">
        <v>274</v>
      </c>
      <c r="AC244" s="6"/>
      <c r="AH244" s="8"/>
      <c r="AJ244" s="10"/>
      <c r="AK244" s="10"/>
    </row>
    <row r="245" spans="1:37" x14ac:dyDescent="0.3">
      <c r="A245" s="6">
        <v>45687</v>
      </c>
      <c r="B245" s="11">
        <v>45687</v>
      </c>
      <c r="C245">
        <v>20081920</v>
      </c>
      <c r="D245" t="s">
        <v>177</v>
      </c>
      <c r="E245" t="s">
        <v>403</v>
      </c>
      <c r="F245" t="s">
        <v>540</v>
      </c>
      <c r="G245" s="8">
        <v>2500</v>
      </c>
      <c r="H245" t="s">
        <v>28</v>
      </c>
      <c r="I245" s="10">
        <v>1.4023399999999999</v>
      </c>
      <c r="J245" s="10">
        <v>3505.85</v>
      </c>
      <c r="K245">
        <v>1.4</v>
      </c>
      <c r="L245" t="s">
        <v>379</v>
      </c>
      <c r="M245" t="s">
        <v>316</v>
      </c>
      <c r="N245" t="s">
        <v>317</v>
      </c>
      <c r="O245" t="s">
        <v>60</v>
      </c>
      <c r="P245">
        <v>2500</v>
      </c>
      <c r="Q245" t="s">
        <v>28</v>
      </c>
      <c r="R245">
        <v>300000</v>
      </c>
      <c r="S245">
        <v>120</v>
      </c>
      <c r="T245" t="s">
        <v>114</v>
      </c>
      <c r="U245" t="s">
        <v>576</v>
      </c>
      <c r="V245">
        <v>20</v>
      </c>
      <c r="W245">
        <v>2008</v>
      </c>
      <c r="X245" s="17">
        <v>45668</v>
      </c>
      <c r="Y245">
        <v>3232390</v>
      </c>
      <c r="Z245" t="s">
        <v>405</v>
      </c>
      <c r="AC245" s="6"/>
      <c r="AH245" s="8"/>
      <c r="AJ245" s="10"/>
      <c r="AK245" s="10"/>
    </row>
    <row r="246" spans="1:37" x14ac:dyDescent="0.3">
      <c r="A246" s="6">
        <v>45688</v>
      </c>
      <c r="B246" s="11">
        <v>45688</v>
      </c>
      <c r="C246">
        <v>20081920</v>
      </c>
      <c r="D246" t="s">
        <v>177</v>
      </c>
      <c r="E246" t="s">
        <v>313</v>
      </c>
      <c r="F246" t="s">
        <v>439</v>
      </c>
      <c r="G246" s="8">
        <v>6750</v>
      </c>
      <c r="H246" t="s">
        <v>28</v>
      </c>
      <c r="I246" s="10">
        <v>1.6477511111111109</v>
      </c>
      <c r="J246" s="10">
        <v>11122.32</v>
      </c>
      <c r="K246">
        <v>1.65</v>
      </c>
      <c r="L246" t="s">
        <v>379</v>
      </c>
      <c r="M246" t="s">
        <v>316</v>
      </c>
      <c r="N246" t="s">
        <v>317</v>
      </c>
      <c r="O246" t="s">
        <v>60</v>
      </c>
      <c r="P246">
        <v>6750</v>
      </c>
      <c r="Q246" t="s">
        <v>28</v>
      </c>
      <c r="R246">
        <v>951750</v>
      </c>
      <c r="S246">
        <v>141</v>
      </c>
      <c r="T246" t="s">
        <v>114</v>
      </c>
      <c r="U246" t="s">
        <v>576</v>
      </c>
      <c r="V246">
        <v>20</v>
      </c>
      <c r="W246">
        <v>2008</v>
      </c>
      <c r="X246" s="17">
        <v>45669</v>
      </c>
      <c r="Y246">
        <v>3225609</v>
      </c>
      <c r="Z246" t="s">
        <v>318</v>
      </c>
      <c r="AC246" s="6"/>
      <c r="AH246" s="8"/>
      <c r="AJ246" s="10"/>
      <c r="AK246" s="10"/>
    </row>
    <row r="247" spans="1:37" x14ac:dyDescent="0.3">
      <c r="A247" s="6">
        <v>45689</v>
      </c>
      <c r="B247" s="11">
        <v>45689</v>
      </c>
      <c r="C247">
        <v>12129990</v>
      </c>
      <c r="D247" t="s">
        <v>132</v>
      </c>
      <c r="E247" t="s">
        <v>596</v>
      </c>
      <c r="F247" t="s">
        <v>597</v>
      </c>
      <c r="G247" s="8">
        <v>60</v>
      </c>
      <c r="H247" t="s">
        <v>28</v>
      </c>
      <c r="I247" s="10">
        <v>4.8019999999999996</v>
      </c>
      <c r="J247" s="10">
        <v>288.12</v>
      </c>
      <c r="K247">
        <v>4.8</v>
      </c>
      <c r="L247" t="s">
        <v>149</v>
      </c>
      <c r="M247" t="s">
        <v>150</v>
      </c>
      <c r="N247" t="s">
        <v>174</v>
      </c>
      <c r="O247" t="s">
        <v>32</v>
      </c>
      <c r="P247">
        <v>60</v>
      </c>
      <c r="Q247" t="s">
        <v>28</v>
      </c>
      <c r="R247">
        <v>294</v>
      </c>
      <c r="S247">
        <v>4.9000000000000004</v>
      </c>
      <c r="T247" t="s">
        <v>33</v>
      </c>
      <c r="U247" t="s">
        <v>591</v>
      </c>
      <c r="V247">
        <v>12</v>
      </c>
      <c r="W247">
        <v>1212</v>
      </c>
      <c r="X247" s="17">
        <v>45689</v>
      </c>
      <c r="Y247">
        <v>5927613</v>
      </c>
      <c r="Z247" t="s">
        <v>599</v>
      </c>
      <c r="AC247" s="6"/>
      <c r="AH247" s="8"/>
      <c r="AJ247" s="10"/>
      <c r="AK247" s="10"/>
    </row>
    <row r="248" spans="1:37" x14ac:dyDescent="0.3">
      <c r="A248" s="6">
        <v>45689</v>
      </c>
      <c r="B248" s="11">
        <v>45689</v>
      </c>
      <c r="C248">
        <v>12099990</v>
      </c>
      <c r="D248" t="s">
        <v>457</v>
      </c>
      <c r="E248" t="s">
        <v>256</v>
      </c>
      <c r="F248" t="s">
        <v>516</v>
      </c>
      <c r="G248" s="8">
        <v>100</v>
      </c>
      <c r="H248" t="s">
        <v>28</v>
      </c>
      <c r="I248" s="10">
        <v>5.6582000000000008</v>
      </c>
      <c r="J248" s="10">
        <v>565.82000000000005</v>
      </c>
      <c r="K248">
        <v>5.66</v>
      </c>
      <c r="L248" t="s">
        <v>189</v>
      </c>
      <c r="M248" t="s">
        <v>190</v>
      </c>
      <c r="N248" t="s">
        <v>51</v>
      </c>
      <c r="O248" t="s">
        <v>32</v>
      </c>
      <c r="P248">
        <v>100</v>
      </c>
      <c r="Q248" t="s">
        <v>28</v>
      </c>
      <c r="R248">
        <v>579</v>
      </c>
      <c r="S248">
        <v>5.79</v>
      </c>
      <c r="T248" t="s">
        <v>33</v>
      </c>
      <c r="U248" t="s">
        <v>600</v>
      </c>
      <c r="V248">
        <v>12</v>
      </c>
      <c r="W248">
        <v>1209</v>
      </c>
      <c r="X248" s="17">
        <v>45690</v>
      </c>
      <c r="Y248">
        <v>5955149</v>
      </c>
      <c r="Z248" t="s">
        <v>259</v>
      </c>
      <c r="AC248" s="6"/>
      <c r="AH248" s="8"/>
      <c r="AJ248" s="10"/>
      <c r="AK248" s="10"/>
    </row>
    <row r="249" spans="1:37" x14ac:dyDescent="0.3">
      <c r="A249" s="6">
        <v>45691</v>
      </c>
      <c r="B249" s="11">
        <v>45691</v>
      </c>
      <c r="C249">
        <v>20081920</v>
      </c>
      <c r="D249" t="s">
        <v>601</v>
      </c>
      <c r="E249" t="s">
        <v>249</v>
      </c>
      <c r="F249" t="s">
        <v>250</v>
      </c>
      <c r="G249" s="8">
        <v>90</v>
      </c>
      <c r="H249" t="s">
        <v>28</v>
      </c>
      <c r="I249" s="10">
        <v>8.9603333333333328</v>
      </c>
      <c r="J249" s="10">
        <v>806.43</v>
      </c>
      <c r="K249">
        <v>8.9600000000000009</v>
      </c>
      <c r="L249" t="s">
        <v>602</v>
      </c>
      <c r="M249" t="s">
        <v>252</v>
      </c>
      <c r="N249" t="s">
        <v>89</v>
      </c>
      <c r="O249" t="s">
        <v>32</v>
      </c>
      <c r="P249">
        <v>90</v>
      </c>
      <c r="Q249" t="s">
        <v>28</v>
      </c>
      <c r="R249">
        <v>844.2</v>
      </c>
      <c r="S249">
        <v>9.3800000000000008</v>
      </c>
      <c r="T249" t="s">
        <v>33</v>
      </c>
      <c r="U249" t="s">
        <v>576</v>
      </c>
      <c r="V249">
        <v>20</v>
      </c>
      <c r="W249">
        <v>2008</v>
      </c>
      <c r="X249" s="17">
        <v>45691</v>
      </c>
      <c r="Y249">
        <v>6018098</v>
      </c>
      <c r="Z249" t="s">
        <v>253</v>
      </c>
      <c r="AC249" s="6"/>
      <c r="AH249" s="8"/>
      <c r="AJ249" s="10"/>
      <c r="AK249" s="10"/>
    </row>
    <row r="250" spans="1:37" x14ac:dyDescent="0.3">
      <c r="A250" s="6">
        <v>45691</v>
      </c>
      <c r="B250" s="11">
        <v>45691</v>
      </c>
      <c r="C250">
        <v>20081920</v>
      </c>
      <c r="D250" t="s">
        <v>603</v>
      </c>
      <c r="E250" t="s">
        <v>249</v>
      </c>
      <c r="F250" t="s">
        <v>250</v>
      </c>
      <c r="G250" s="8">
        <v>60</v>
      </c>
      <c r="H250" t="s">
        <v>28</v>
      </c>
      <c r="I250" s="10">
        <v>7.9258333333333333</v>
      </c>
      <c r="J250" s="10">
        <v>475.55</v>
      </c>
      <c r="K250">
        <v>7.93</v>
      </c>
      <c r="L250" t="s">
        <v>602</v>
      </c>
      <c r="M250" t="s">
        <v>252</v>
      </c>
      <c r="N250" t="s">
        <v>89</v>
      </c>
      <c r="O250" t="s">
        <v>32</v>
      </c>
      <c r="P250">
        <v>60</v>
      </c>
      <c r="Q250" t="s">
        <v>28</v>
      </c>
      <c r="R250">
        <v>498</v>
      </c>
      <c r="S250">
        <v>8.3000000000000007</v>
      </c>
      <c r="T250" t="s">
        <v>33</v>
      </c>
      <c r="U250" t="s">
        <v>576</v>
      </c>
      <c r="V250">
        <v>20</v>
      </c>
      <c r="W250">
        <v>2008</v>
      </c>
      <c r="X250" s="17">
        <v>45692</v>
      </c>
      <c r="Y250">
        <v>6018129</v>
      </c>
      <c r="Z250" t="s">
        <v>253</v>
      </c>
      <c r="AC250" s="6"/>
      <c r="AH250" s="8"/>
      <c r="AJ250" s="10"/>
      <c r="AK250" s="10"/>
    </row>
    <row r="251" spans="1:37" x14ac:dyDescent="0.3">
      <c r="A251" s="6">
        <v>45693</v>
      </c>
      <c r="B251" s="11">
        <v>45693</v>
      </c>
      <c r="C251">
        <v>20081920</v>
      </c>
      <c r="D251" t="s">
        <v>132</v>
      </c>
      <c r="E251" t="s">
        <v>313</v>
      </c>
      <c r="F251" t="s">
        <v>479</v>
      </c>
      <c r="G251" s="8">
        <v>1000</v>
      </c>
      <c r="H251" t="s">
        <v>28</v>
      </c>
      <c r="I251" s="10">
        <v>1.64775</v>
      </c>
      <c r="J251" s="10">
        <v>1647.75</v>
      </c>
      <c r="K251">
        <v>1.65</v>
      </c>
      <c r="L251" t="s">
        <v>379</v>
      </c>
      <c r="M251" t="s">
        <v>316</v>
      </c>
      <c r="N251" t="s">
        <v>317</v>
      </c>
      <c r="O251" t="s">
        <v>60</v>
      </c>
      <c r="P251">
        <v>1000</v>
      </c>
      <c r="Q251" t="s">
        <v>28</v>
      </c>
      <c r="R251">
        <v>141000</v>
      </c>
      <c r="S251">
        <v>141</v>
      </c>
      <c r="T251" t="s">
        <v>114</v>
      </c>
      <c r="U251" t="s">
        <v>576</v>
      </c>
      <c r="V251">
        <v>20</v>
      </c>
      <c r="W251">
        <v>2008</v>
      </c>
      <c r="X251" s="17">
        <v>45693</v>
      </c>
      <c r="Y251">
        <v>5992726</v>
      </c>
      <c r="Z251" t="s">
        <v>318</v>
      </c>
      <c r="AC251" s="6"/>
      <c r="AH251" s="8"/>
      <c r="AJ251" s="10"/>
      <c r="AK251" s="10"/>
    </row>
    <row r="252" spans="1:37" x14ac:dyDescent="0.3">
      <c r="A252" s="6">
        <v>45696</v>
      </c>
      <c r="B252" s="11">
        <v>45696</v>
      </c>
      <c r="C252">
        <v>20081920</v>
      </c>
      <c r="D252" t="s">
        <v>177</v>
      </c>
      <c r="E252" t="s">
        <v>604</v>
      </c>
      <c r="F252" t="s">
        <v>605</v>
      </c>
      <c r="G252" s="8">
        <v>100</v>
      </c>
      <c r="H252" t="s">
        <v>28</v>
      </c>
      <c r="I252" s="10">
        <v>4.3762999999999996</v>
      </c>
      <c r="J252" s="10">
        <v>437.63</v>
      </c>
      <c r="K252">
        <v>4.38</v>
      </c>
      <c r="L252" t="s">
        <v>149</v>
      </c>
      <c r="M252" t="s">
        <v>150</v>
      </c>
      <c r="N252" t="s">
        <v>174</v>
      </c>
      <c r="O252" t="s">
        <v>32</v>
      </c>
      <c r="P252">
        <v>100</v>
      </c>
      <c r="Q252" t="s">
        <v>28</v>
      </c>
      <c r="R252">
        <v>460</v>
      </c>
      <c r="S252">
        <v>4.5999999999999996</v>
      </c>
      <c r="T252" t="s">
        <v>33</v>
      </c>
      <c r="U252" t="s">
        <v>576</v>
      </c>
      <c r="V252">
        <v>20</v>
      </c>
      <c r="W252">
        <v>2008</v>
      </c>
      <c r="X252" s="17">
        <v>45694</v>
      </c>
      <c r="Y252">
        <v>5912866</v>
      </c>
      <c r="Z252" t="s">
        <v>606</v>
      </c>
      <c r="AC252" s="6"/>
      <c r="AH252" s="8"/>
      <c r="AJ252" s="10"/>
      <c r="AK252" s="10"/>
    </row>
    <row r="253" spans="1:37" x14ac:dyDescent="0.3">
      <c r="A253" s="6">
        <v>45697</v>
      </c>
      <c r="B253" s="11">
        <v>45697</v>
      </c>
      <c r="C253">
        <v>20081920</v>
      </c>
      <c r="D253" t="s">
        <v>132</v>
      </c>
      <c r="E253" t="s">
        <v>313</v>
      </c>
      <c r="F253" t="s">
        <v>607</v>
      </c>
      <c r="G253" s="8">
        <v>1250</v>
      </c>
      <c r="H253" t="s">
        <v>28</v>
      </c>
      <c r="I253" s="10">
        <v>1.623048</v>
      </c>
      <c r="J253" s="10">
        <v>2028.81</v>
      </c>
      <c r="K253">
        <v>1.62</v>
      </c>
      <c r="L253" t="s">
        <v>322</v>
      </c>
      <c r="M253" t="s">
        <v>316</v>
      </c>
      <c r="N253" t="s">
        <v>323</v>
      </c>
      <c r="O253" t="s">
        <v>60</v>
      </c>
      <c r="P253">
        <v>1250</v>
      </c>
      <c r="Q253" t="s">
        <v>28</v>
      </c>
      <c r="R253">
        <v>2037.5</v>
      </c>
      <c r="S253">
        <v>1.63</v>
      </c>
      <c r="T253" t="s">
        <v>33</v>
      </c>
      <c r="U253" t="s">
        <v>576</v>
      </c>
      <c r="V253">
        <v>20</v>
      </c>
      <c r="W253">
        <v>2008</v>
      </c>
      <c r="X253" s="17">
        <v>45695</v>
      </c>
      <c r="Y253">
        <v>9110894</v>
      </c>
      <c r="Z253" t="s">
        <v>318</v>
      </c>
      <c r="AC253" s="6"/>
      <c r="AH253" s="8"/>
      <c r="AJ253" s="10"/>
      <c r="AK253" s="10"/>
    </row>
    <row r="254" spans="1:37" x14ac:dyDescent="0.3">
      <c r="A254" s="6">
        <v>45697</v>
      </c>
      <c r="B254" s="11">
        <v>45697</v>
      </c>
      <c r="C254">
        <v>20081920</v>
      </c>
      <c r="D254" t="s">
        <v>132</v>
      </c>
      <c r="E254" t="s">
        <v>313</v>
      </c>
      <c r="F254" t="s">
        <v>607</v>
      </c>
      <c r="G254" s="8">
        <v>1250</v>
      </c>
      <c r="H254" t="s">
        <v>28</v>
      </c>
      <c r="I254" s="10">
        <v>1.623048</v>
      </c>
      <c r="J254" s="10">
        <v>2028.81</v>
      </c>
      <c r="K254">
        <v>1.62</v>
      </c>
      <c r="L254" t="s">
        <v>322</v>
      </c>
      <c r="M254" t="s">
        <v>316</v>
      </c>
      <c r="N254" t="s">
        <v>323</v>
      </c>
      <c r="O254" t="s">
        <v>60</v>
      </c>
      <c r="P254">
        <v>1250</v>
      </c>
      <c r="Q254" t="s">
        <v>28</v>
      </c>
      <c r="R254">
        <v>176250</v>
      </c>
      <c r="S254">
        <v>141</v>
      </c>
      <c r="T254" t="s">
        <v>114</v>
      </c>
      <c r="U254" t="s">
        <v>576</v>
      </c>
      <c r="V254">
        <v>20</v>
      </c>
      <c r="W254">
        <v>2008</v>
      </c>
      <c r="X254" s="17">
        <v>45696</v>
      </c>
      <c r="Y254">
        <v>9701656</v>
      </c>
      <c r="Z254" t="s">
        <v>318</v>
      </c>
      <c r="AC254" s="6"/>
      <c r="AH254" s="8"/>
      <c r="AJ254" s="10"/>
      <c r="AK254" s="10"/>
    </row>
    <row r="255" spans="1:37" x14ac:dyDescent="0.3">
      <c r="A255" s="6">
        <v>45698</v>
      </c>
      <c r="B255" s="11">
        <v>45698</v>
      </c>
      <c r="C255">
        <v>20081920</v>
      </c>
      <c r="D255" t="s">
        <v>608</v>
      </c>
      <c r="E255" t="s">
        <v>38</v>
      </c>
      <c r="F255" t="s">
        <v>434</v>
      </c>
      <c r="G255" s="8">
        <v>1000</v>
      </c>
      <c r="H255" t="s">
        <v>28</v>
      </c>
      <c r="I255" s="10">
        <v>2.0439400000000001</v>
      </c>
      <c r="J255" s="10">
        <v>2043.94</v>
      </c>
      <c r="K255">
        <v>2043.94</v>
      </c>
      <c r="L255" t="s">
        <v>40</v>
      </c>
      <c r="M255" t="s">
        <v>41</v>
      </c>
      <c r="N255" t="s">
        <v>219</v>
      </c>
      <c r="O255" t="s">
        <v>32</v>
      </c>
      <c r="P255">
        <v>1</v>
      </c>
      <c r="Q255" t="s">
        <v>43</v>
      </c>
      <c r="R255">
        <v>2100</v>
      </c>
      <c r="S255">
        <v>2100</v>
      </c>
      <c r="T255" t="s">
        <v>33</v>
      </c>
      <c r="U255" t="s">
        <v>576</v>
      </c>
      <c r="V255">
        <v>20</v>
      </c>
      <c r="W255">
        <v>2008</v>
      </c>
      <c r="X255" s="17">
        <v>45697</v>
      </c>
      <c r="Y255">
        <v>6189454</v>
      </c>
      <c r="Z255" t="s">
        <v>45</v>
      </c>
      <c r="AC255" s="6"/>
      <c r="AH255" s="8"/>
      <c r="AJ255" s="10"/>
      <c r="AK255" s="10"/>
    </row>
    <row r="256" spans="1:37" x14ac:dyDescent="0.3">
      <c r="A256" s="6">
        <v>45699</v>
      </c>
      <c r="B256" s="11">
        <v>45699</v>
      </c>
      <c r="C256">
        <v>20081920</v>
      </c>
      <c r="D256" t="s">
        <v>609</v>
      </c>
      <c r="E256" t="s">
        <v>610</v>
      </c>
      <c r="F256" t="s">
        <v>611</v>
      </c>
      <c r="G256" s="8">
        <v>1500</v>
      </c>
      <c r="H256" t="s">
        <v>28</v>
      </c>
      <c r="I256" s="10">
        <v>2.2621933333333328</v>
      </c>
      <c r="J256" s="10">
        <v>3393.29</v>
      </c>
      <c r="K256">
        <v>2262.19</v>
      </c>
      <c r="L256" t="s">
        <v>612</v>
      </c>
      <c r="M256" t="s">
        <v>81</v>
      </c>
      <c r="N256" t="s">
        <v>51</v>
      </c>
      <c r="O256" t="s">
        <v>32</v>
      </c>
      <c r="P256">
        <v>1.5</v>
      </c>
      <c r="Q256" t="s">
        <v>43</v>
      </c>
      <c r="R256">
        <v>3697.5</v>
      </c>
      <c r="S256">
        <v>2465</v>
      </c>
      <c r="T256" t="s">
        <v>33</v>
      </c>
      <c r="U256" t="s">
        <v>576</v>
      </c>
      <c r="V256">
        <v>20</v>
      </c>
      <c r="W256">
        <v>2008</v>
      </c>
      <c r="X256" s="17">
        <v>45698</v>
      </c>
      <c r="Y256">
        <v>8004808</v>
      </c>
      <c r="Z256" t="s">
        <v>613</v>
      </c>
      <c r="AC256" s="6"/>
      <c r="AH256" s="8"/>
      <c r="AJ256" s="10"/>
      <c r="AK256" s="10"/>
    </row>
    <row r="257" spans="1:37" x14ac:dyDescent="0.3">
      <c r="A257" s="6">
        <v>45701</v>
      </c>
      <c r="B257" s="11">
        <v>45701</v>
      </c>
      <c r="C257">
        <v>12079990</v>
      </c>
      <c r="D257" t="s">
        <v>177</v>
      </c>
      <c r="E257" t="s">
        <v>272</v>
      </c>
      <c r="F257" t="s">
        <v>273</v>
      </c>
      <c r="G257" s="8">
        <v>25</v>
      </c>
      <c r="H257" t="s">
        <v>28</v>
      </c>
      <c r="I257" s="10">
        <v>9.0128000000000004</v>
      </c>
      <c r="J257" s="10">
        <v>225.32</v>
      </c>
      <c r="K257">
        <v>9.01</v>
      </c>
      <c r="L257" t="s">
        <v>156</v>
      </c>
      <c r="M257" t="s">
        <v>157</v>
      </c>
      <c r="N257" t="s">
        <v>174</v>
      </c>
      <c r="O257" t="s">
        <v>32</v>
      </c>
      <c r="P257">
        <v>25</v>
      </c>
      <c r="Q257" t="s">
        <v>28</v>
      </c>
      <c r="R257">
        <v>230</v>
      </c>
      <c r="S257">
        <v>9.1999999999999993</v>
      </c>
      <c r="T257" t="s">
        <v>33</v>
      </c>
      <c r="U257" t="s">
        <v>592</v>
      </c>
      <c r="V257">
        <v>12</v>
      </c>
      <c r="W257">
        <v>1207</v>
      </c>
      <c r="X257" s="17">
        <v>45699</v>
      </c>
      <c r="Y257">
        <v>7280459</v>
      </c>
      <c r="Z257" t="s">
        <v>274</v>
      </c>
      <c r="AC257" s="6"/>
      <c r="AH257" s="8"/>
      <c r="AJ257" s="10"/>
      <c r="AK257" s="10"/>
    </row>
    <row r="258" spans="1:37" x14ac:dyDescent="0.3">
      <c r="A258" s="6">
        <v>45703</v>
      </c>
      <c r="B258" s="11">
        <v>45703</v>
      </c>
      <c r="C258">
        <v>20081920</v>
      </c>
      <c r="D258" t="s">
        <v>614</v>
      </c>
      <c r="E258" t="s">
        <v>557</v>
      </c>
      <c r="F258" t="s">
        <v>79</v>
      </c>
      <c r="G258" s="8">
        <v>9</v>
      </c>
      <c r="H258" t="s">
        <v>28</v>
      </c>
      <c r="I258" s="10">
        <v>22.921111111111109</v>
      </c>
      <c r="J258" s="10">
        <v>206.29</v>
      </c>
      <c r="K258">
        <v>22.92</v>
      </c>
      <c r="L258" t="s">
        <v>558</v>
      </c>
      <c r="M258" t="s">
        <v>162</v>
      </c>
      <c r="N258" t="s">
        <v>559</v>
      </c>
      <c r="O258" t="s">
        <v>32</v>
      </c>
      <c r="P258">
        <v>9</v>
      </c>
      <c r="Q258" t="s">
        <v>28</v>
      </c>
      <c r="R258">
        <v>211.23</v>
      </c>
      <c r="S258">
        <v>23.47</v>
      </c>
      <c r="T258" t="s">
        <v>33</v>
      </c>
      <c r="U258" t="s">
        <v>576</v>
      </c>
      <c r="V258">
        <v>20</v>
      </c>
      <c r="W258">
        <v>2008</v>
      </c>
      <c r="X258" s="17">
        <v>45700</v>
      </c>
      <c r="Y258">
        <v>9365509</v>
      </c>
      <c r="Z258" t="s">
        <v>560</v>
      </c>
      <c r="AC258" s="6"/>
      <c r="AH258" s="8"/>
      <c r="AJ258" s="10"/>
      <c r="AK258" s="10"/>
    </row>
    <row r="259" spans="1:37" x14ac:dyDescent="0.3">
      <c r="A259" s="6">
        <v>45706</v>
      </c>
      <c r="B259" s="11">
        <v>45706</v>
      </c>
      <c r="C259">
        <v>20081920</v>
      </c>
      <c r="D259" t="s">
        <v>132</v>
      </c>
      <c r="E259" t="s">
        <v>313</v>
      </c>
      <c r="F259" t="s">
        <v>534</v>
      </c>
      <c r="G259" s="8">
        <v>1500</v>
      </c>
      <c r="H259" t="s">
        <v>28</v>
      </c>
      <c r="I259" s="10">
        <v>1.623046666666667</v>
      </c>
      <c r="J259" s="10">
        <v>2434.5700000000002</v>
      </c>
      <c r="K259">
        <v>1.62</v>
      </c>
      <c r="L259" t="s">
        <v>379</v>
      </c>
      <c r="M259" t="s">
        <v>316</v>
      </c>
      <c r="N259" t="s">
        <v>317</v>
      </c>
      <c r="O259" t="s">
        <v>60</v>
      </c>
      <c r="P259">
        <v>1500</v>
      </c>
      <c r="Q259" t="s">
        <v>28</v>
      </c>
      <c r="R259">
        <v>211500</v>
      </c>
      <c r="S259">
        <v>141</v>
      </c>
      <c r="T259" t="s">
        <v>114</v>
      </c>
      <c r="U259" t="s">
        <v>576</v>
      </c>
      <c r="V259">
        <v>20</v>
      </c>
      <c r="W259">
        <v>2008</v>
      </c>
      <c r="X259" s="17">
        <v>45701</v>
      </c>
      <c r="Y259">
        <v>7979134</v>
      </c>
      <c r="Z259" t="s">
        <v>318</v>
      </c>
      <c r="AC259" s="6"/>
      <c r="AH259" s="8"/>
      <c r="AJ259" s="10"/>
      <c r="AK259" s="10"/>
    </row>
    <row r="260" spans="1:37" x14ac:dyDescent="0.3">
      <c r="A260" s="6">
        <v>45706</v>
      </c>
      <c r="B260" s="11">
        <v>45706</v>
      </c>
      <c r="C260">
        <v>20081990</v>
      </c>
      <c r="D260" t="s">
        <v>177</v>
      </c>
      <c r="E260" t="s">
        <v>615</v>
      </c>
      <c r="F260" t="s">
        <v>79</v>
      </c>
      <c r="G260" s="8">
        <v>1500</v>
      </c>
      <c r="H260" t="s">
        <v>28</v>
      </c>
      <c r="I260" s="10">
        <v>3.4158666666666671</v>
      </c>
      <c r="J260" s="10">
        <v>5123.8</v>
      </c>
      <c r="K260">
        <v>3.42</v>
      </c>
      <c r="L260" t="s">
        <v>616</v>
      </c>
      <c r="M260" t="s">
        <v>617</v>
      </c>
      <c r="N260" t="s">
        <v>51</v>
      </c>
      <c r="O260" t="s">
        <v>32</v>
      </c>
      <c r="P260">
        <v>1500</v>
      </c>
      <c r="Q260" t="s">
        <v>28</v>
      </c>
      <c r="R260">
        <v>5235</v>
      </c>
      <c r="S260">
        <v>3.49</v>
      </c>
      <c r="T260" t="s">
        <v>33</v>
      </c>
      <c r="U260" t="s">
        <v>618</v>
      </c>
      <c r="V260">
        <v>20</v>
      </c>
      <c r="W260">
        <v>2008</v>
      </c>
      <c r="X260" s="17">
        <v>45702</v>
      </c>
      <c r="Y260">
        <v>6990471</v>
      </c>
      <c r="Z260" t="s">
        <v>619</v>
      </c>
      <c r="AC260" s="6"/>
      <c r="AH260" s="8"/>
      <c r="AJ260" s="10"/>
      <c r="AK260" s="10"/>
    </row>
    <row r="261" spans="1:37" x14ac:dyDescent="0.3">
      <c r="A261" s="6">
        <v>45706</v>
      </c>
      <c r="B261" s="11">
        <v>45706</v>
      </c>
      <c r="C261">
        <v>20081920</v>
      </c>
      <c r="D261" t="s">
        <v>177</v>
      </c>
      <c r="E261" t="s">
        <v>313</v>
      </c>
      <c r="F261" t="s">
        <v>533</v>
      </c>
      <c r="G261" s="8">
        <v>1500</v>
      </c>
      <c r="H261" t="s">
        <v>28</v>
      </c>
      <c r="I261" s="10">
        <v>1.623046666666667</v>
      </c>
      <c r="J261" s="10">
        <v>2434.5700000000002</v>
      </c>
      <c r="K261">
        <v>1.62</v>
      </c>
      <c r="L261" t="s">
        <v>379</v>
      </c>
      <c r="M261" t="s">
        <v>316</v>
      </c>
      <c r="N261" t="s">
        <v>317</v>
      </c>
      <c r="O261" t="s">
        <v>60</v>
      </c>
      <c r="P261">
        <v>1500</v>
      </c>
      <c r="Q261" t="s">
        <v>28</v>
      </c>
      <c r="R261">
        <v>211500</v>
      </c>
      <c r="S261">
        <v>141</v>
      </c>
      <c r="T261" t="s">
        <v>114</v>
      </c>
      <c r="U261" t="s">
        <v>576</v>
      </c>
      <c r="V261">
        <v>20</v>
      </c>
      <c r="W261">
        <v>2008</v>
      </c>
      <c r="X261" s="17">
        <v>45703</v>
      </c>
      <c r="Y261">
        <v>7900469</v>
      </c>
      <c r="Z261" t="s">
        <v>318</v>
      </c>
      <c r="AC261" s="6"/>
      <c r="AH261" s="8"/>
      <c r="AJ261" s="10"/>
      <c r="AK261" s="10"/>
    </row>
    <row r="262" spans="1:37" x14ac:dyDescent="0.3">
      <c r="A262" s="6">
        <v>45707</v>
      </c>
      <c r="B262" s="11">
        <v>45707</v>
      </c>
      <c r="C262">
        <v>20081920</v>
      </c>
      <c r="D262" t="s">
        <v>132</v>
      </c>
      <c r="E262" t="s">
        <v>313</v>
      </c>
      <c r="F262" t="s">
        <v>620</v>
      </c>
      <c r="G262" s="8">
        <v>500</v>
      </c>
      <c r="H262" t="s">
        <v>28</v>
      </c>
      <c r="I262" s="10">
        <v>1.59378</v>
      </c>
      <c r="J262" s="10">
        <v>796.89</v>
      </c>
      <c r="K262">
        <v>1.59</v>
      </c>
      <c r="L262" t="s">
        <v>315</v>
      </c>
      <c r="M262" t="s">
        <v>316</v>
      </c>
      <c r="N262" t="s">
        <v>317</v>
      </c>
      <c r="O262" t="s">
        <v>60</v>
      </c>
      <c r="P262">
        <v>500</v>
      </c>
      <c r="Q262" t="s">
        <v>28</v>
      </c>
      <c r="R262">
        <v>70500</v>
      </c>
      <c r="S262">
        <v>141</v>
      </c>
      <c r="T262" t="s">
        <v>114</v>
      </c>
      <c r="U262" t="s">
        <v>576</v>
      </c>
      <c r="V262">
        <v>20</v>
      </c>
      <c r="W262">
        <v>2008</v>
      </c>
      <c r="X262" s="17">
        <v>45704</v>
      </c>
      <c r="Y262">
        <v>7275410</v>
      </c>
      <c r="Z262" t="s">
        <v>318</v>
      </c>
      <c r="AC262" s="6"/>
      <c r="AH262" s="8"/>
      <c r="AJ262" s="10"/>
      <c r="AK262" s="10"/>
    </row>
    <row r="263" spans="1:37" x14ac:dyDescent="0.3">
      <c r="A263" s="6">
        <v>45707</v>
      </c>
      <c r="B263" s="11">
        <v>45707</v>
      </c>
      <c r="C263">
        <v>20081990</v>
      </c>
      <c r="D263" t="s">
        <v>621</v>
      </c>
      <c r="E263" t="s">
        <v>622</v>
      </c>
      <c r="F263" t="s">
        <v>548</v>
      </c>
      <c r="G263" s="8">
        <v>2000</v>
      </c>
      <c r="H263" t="s">
        <v>28</v>
      </c>
      <c r="I263" s="10">
        <v>1.3813150000000001</v>
      </c>
      <c r="J263" s="10">
        <v>2762.63</v>
      </c>
      <c r="K263">
        <v>1.38</v>
      </c>
      <c r="L263" t="s">
        <v>379</v>
      </c>
      <c r="M263" t="s">
        <v>316</v>
      </c>
      <c r="N263" t="s">
        <v>317</v>
      </c>
      <c r="O263" t="s">
        <v>60</v>
      </c>
      <c r="P263">
        <v>2000</v>
      </c>
      <c r="Q263" t="s">
        <v>28</v>
      </c>
      <c r="R263">
        <v>240000</v>
      </c>
      <c r="S263">
        <v>120</v>
      </c>
      <c r="T263" t="s">
        <v>114</v>
      </c>
      <c r="U263" t="s">
        <v>618</v>
      </c>
      <c r="V263">
        <v>20</v>
      </c>
      <c r="W263">
        <v>2008</v>
      </c>
      <c r="X263" s="17">
        <v>45705</v>
      </c>
      <c r="Y263">
        <v>7454246</v>
      </c>
      <c r="Z263" t="s">
        <v>623</v>
      </c>
      <c r="AC263" s="6"/>
      <c r="AH263" s="8"/>
      <c r="AJ263" s="10"/>
      <c r="AK263" s="10"/>
    </row>
    <row r="264" spans="1:37" x14ac:dyDescent="0.3">
      <c r="A264" s="6">
        <v>45710</v>
      </c>
      <c r="B264" s="11">
        <v>45710</v>
      </c>
      <c r="C264">
        <v>12129990</v>
      </c>
      <c r="D264" t="s">
        <v>220</v>
      </c>
      <c r="E264" t="s">
        <v>47</v>
      </c>
      <c r="F264" t="s">
        <v>74</v>
      </c>
      <c r="G264" s="8">
        <v>198</v>
      </c>
      <c r="H264" t="s">
        <v>28</v>
      </c>
      <c r="I264" s="10">
        <v>4.5070202020202021</v>
      </c>
      <c r="J264" s="10">
        <v>892.39</v>
      </c>
      <c r="K264">
        <v>4.51</v>
      </c>
      <c r="L264" t="s">
        <v>75</v>
      </c>
      <c r="M264" t="s">
        <v>50</v>
      </c>
      <c r="N264" t="s">
        <v>51</v>
      </c>
      <c r="O264" t="s">
        <v>32</v>
      </c>
      <c r="P264">
        <v>198</v>
      </c>
      <c r="Q264" t="s">
        <v>28</v>
      </c>
      <c r="R264">
        <v>772.2</v>
      </c>
      <c r="S264">
        <v>3.9</v>
      </c>
      <c r="T264" t="s">
        <v>52</v>
      </c>
      <c r="U264" t="s">
        <v>591</v>
      </c>
      <c r="V264">
        <v>12</v>
      </c>
      <c r="W264">
        <v>1212</v>
      </c>
      <c r="X264" s="17">
        <v>45706</v>
      </c>
      <c r="Y264">
        <v>7509727</v>
      </c>
      <c r="Z264" t="s">
        <v>53</v>
      </c>
      <c r="AC264" s="6"/>
      <c r="AH264" s="8"/>
      <c r="AJ264" s="10"/>
      <c r="AK264" s="10"/>
    </row>
    <row r="265" spans="1:37" x14ac:dyDescent="0.3">
      <c r="A265" s="6">
        <v>45710</v>
      </c>
      <c r="B265" s="11">
        <v>45710</v>
      </c>
      <c r="C265">
        <v>20081920</v>
      </c>
      <c r="D265" t="s">
        <v>177</v>
      </c>
      <c r="E265" t="s">
        <v>420</v>
      </c>
      <c r="F265" t="s">
        <v>244</v>
      </c>
      <c r="G265" s="8">
        <v>1000</v>
      </c>
      <c r="H265" t="s">
        <v>28</v>
      </c>
      <c r="I265" s="10">
        <v>1.1245799999999999</v>
      </c>
      <c r="J265" s="10">
        <v>1124.58</v>
      </c>
      <c r="K265">
        <v>1.1200000000000001</v>
      </c>
      <c r="L265" t="s">
        <v>40</v>
      </c>
      <c r="M265" t="s">
        <v>41</v>
      </c>
      <c r="N265" t="s">
        <v>266</v>
      </c>
      <c r="O265" t="s">
        <v>32</v>
      </c>
      <c r="P265">
        <v>1000</v>
      </c>
      <c r="Q265" t="s">
        <v>28</v>
      </c>
      <c r="R265">
        <v>1160</v>
      </c>
      <c r="S265">
        <v>1.1599999999999999</v>
      </c>
      <c r="T265" t="s">
        <v>33</v>
      </c>
      <c r="U265" t="s">
        <v>576</v>
      </c>
      <c r="V265">
        <v>20</v>
      </c>
      <c r="W265">
        <v>2008</v>
      </c>
      <c r="X265" s="17">
        <v>45707</v>
      </c>
      <c r="Y265">
        <v>7045257</v>
      </c>
      <c r="Z265" t="s">
        <v>421</v>
      </c>
      <c r="AC265" s="6"/>
      <c r="AH265" s="8"/>
      <c r="AJ265" s="10"/>
      <c r="AK265" s="10"/>
    </row>
    <row r="266" spans="1:37" x14ac:dyDescent="0.3">
      <c r="A266" s="6">
        <v>45711</v>
      </c>
      <c r="B266" s="11">
        <v>45711</v>
      </c>
      <c r="C266">
        <v>20081920</v>
      </c>
      <c r="D266" t="s">
        <v>132</v>
      </c>
      <c r="E266" t="s">
        <v>313</v>
      </c>
      <c r="F266" t="s">
        <v>624</v>
      </c>
      <c r="G266" s="8">
        <v>500</v>
      </c>
      <c r="H266" t="s">
        <v>28</v>
      </c>
      <c r="I266" s="10">
        <v>1.6057999999999999</v>
      </c>
      <c r="J266" s="10">
        <v>802.9</v>
      </c>
      <c r="K266">
        <v>1.61</v>
      </c>
      <c r="L266" t="s">
        <v>315</v>
      </c>
      <c r="M266" t="s">
        <v>316</v>
      </c>
      <c r="N266" t="s">
        <v>317</v>
      </c>
      <c r="O266" t="s">
        <v>60</v>
      </c>
      <c r="P266">
        <v>500</v>
      </c>
      <c r="Q266" t="s">
        <v>28</v>
      </c>
      <c r="R266">
        <v>70500</v>
      </c>
      <c r="S266">
        <v>141</v>
      </c>
      <c r="T266" t="s">
        <v>114</v>
      </c>
      <c r="U266" t="s">
        <v>576</v>
      </c>
      <c r="V266">
        <v>20</v>
      </c>
      <c r="W266">
        <v>2008</v>
      </c>
      <c r="X266" s="17">
        <v>45708</v>
      </c>
      <c r="Y266">
        <v>6700681</v>
      </c>
      <c r="Z266" t="s">
        <v>318</v>
      </c>
      <c r="AC266" s="6"/>
      <c r="AH266" s="8"/>
      <c r="AJ266" s="10"/>
      <c r="AK266" s="10"/>
    </row>
    <row r="267" spans="1:37" x14ac:dyDescent="0.3">
      <c r="A267" s="6">
        <v>45713</v>
      </c>
      <c r="B267" s="11">
        <v>45713</v>
      </c>
      <c r="C267">
        <v>20081990</v>
      </c>
      <c r="D267" t="s">
        <v>625</v>
      </c>
      <c r="E267" t="s">
        <v>127</v>
      </c>
      <c r="F267" t="s">
        <v>79</v>
      </c>
      <c r="G267" s="8">
        <v>200</v>
      </c>
      <c r="H267" t="s">
        <v>28</v>
      </c>
      <c r="I267" s="10">
        <v>3.9426000000000001</v>
      </c>
      <c r="J267" s="10">
        <v>788.52</v>
      </c>
      <c r="K267">
        <v>3.94</v>
      </c>
      <c r="L267" t="s">
        <v>128</v>
      </c>
      <c r="M267" t="s">
        <v>129</v>
      </c>
      <c r="N267" t="s">
        <v>51</v>
      </c>
      <c r="O267" t="s">
        <v>32</v>
      </c>
      <c r="P267">
        <v>200</v>
      </c>
      <c r="Q267" t="s">
        <v>28</v>
      </c>
      <c r="R267">
        <v>804</v>
      </c>
      <c r="S267">
        <v>4.0199999999999996</v>
      </c>
      <c r="T267" t="s">
        <v>33</v>
      </c>
      <c r="U267" t="s">
        <v>618</v>
      </c>
      <c r="V267">
        <v>20</v>
      </c>
      <c r="W267">
        <v>2008</v>
      </c>
      <c r="X267" s="17">
        <v>45709</v>
      </c>
      <c r="Y267">
        <v>8220379</v>
      </c>
      <c r="Z267" t="s">
        <v>130</v>
      </c>
      <c r="AC267" s="6"/>
      <c r="AH267" s="8"/>
      <c r="AJ267" s="10"/>
      <c r="AK267" s="10"/>
    </row>
    <row r="268" spans="1:37" x14ac:dyDescent="0.3">
      <c r="A268" s="6">
        <v>45713</v>
      </c>
      <c r="B268" s="11">
        <v>45713</v>
      </c>
      <c r="C268">
        <v>20081990</v>
      </c>
      <c r="D268" t="s">
        <v>625</v>
      </c>
      <c r="E268" t="s">
        <v>127</v>
      </c>
      <c r="F268" t="s">
        <v>79</v>
      </c>
      <c r="G268" s="8">
        <v>200</v>
      </c>
      <c r="H268" t="s">
        <v>28</v>
      </c>
      <c r="I268" s="10">
        <v>3.9426000000000001</v>
      </c>
      <c r="J268" s="10">
        <v>788.52</v>
      </c>
      <c r="K268">
        <v>3.94</v>
      </c>
      <c r="L268" t="s">
        <v>128</v>
      </c>
      <c r="M268" t="s">
        <v>129</v>
      </c>
      <c r="N268" t="s">
        <v>51</v>
      </c>
      <c r="O268" t="s">
        <v>32</v>
      </c>
      <c r="P268">
        <v>200</v>
      </c>
      <c r="Q268" t="s">
        <v>28</v>
      </c>
      <c r="R268">
        <v>840</v>
      </c>
      <c r="S268">
        <v>4.2</v>
      </c>
      <c r="T268" t="s">
        <v>33</v>
      </c>
      <c r="U268" t="s">
        <v>618</v>
      </c>
      <c r="V268">
        <v>20</v>
      </c>
      <c r="W268">
        <v>2008</v>
      </c>
      <c r="X268" s="17">
        <v>45710</v>
      </c>
      <c r="Y268">
        <v>8475658</v>
      </c>
      <c r="Z268" t="s">
        <v>130</v>
      </c>
      <c r="AC268" s="6"/>
      <c r="AH268" s="8"/>
      <c r="AJ268" s="10"/>
      <c r="AK268" s="10"/>
    </row>
    <row r="269" spans="1:37" x14ac:dyDescent="0.3">
      <c r="A269" s="6">
        <v>45715</v>
      </c>
      <c r="B269" s="11">
        <v>45715</v>
      </c>
      <c r="C269">
        <v>20081990</v>
      </c>
      <c r="D269" t="s">
        <v>177</v>
      </c>
      <c r="E269" t="s">
        <v>313</v>
      </c>
      <c r="F269" t="s">
        <v>534</v>
      </c>
      <c r="G269" s="8">
        <v>2500</v>
      </c>
      <c r="H269" t="s">
        <v>28</v>
      </c>
      <c r="I269" s="10">
        <v>1.6353040000000001</v>
      </c>
      <c r="J269" s="10">
        <v>4088.26</v>
      </c>
      <c r="K269">
        <v>1.64</v>
      </c>
      <c r="L269" t="s">
        <v>379</v>
      </c>
      <c r="M269" t="s">
        <v>316</v>
      </c>
      <c r="N269" t="s">
        <v>317</v>
      </c>
      <c r="O269" t="s">
        <v>60</v>
      </c>
      <c r="P269">
        <v>2500</v>
      </c>
      <c r="Q269" t="s">
        <v>28</v>
      </c>
      <c r="R269">
        <v>352500</v>
      </c>
      <c r="S269">
        <v>141</v>
      </c>
      <c r="T269" t="s">
        <v>114</v>
      </c>
      <c r="U269" t="s">
        <v>618</v>
      </c>
      <c r="V269">
        <v>20</v>
      </c>
      <c r="W269">
        <v>2008</v>
      </c>
      <c r="X269" s="17">
        <v>45711</v>
      </c>
      <c r="Y269">
        <v>8871611</v>
      </c>
      <c r="Z269" t="s">
        <v>318</v>
      </c>
      <c r="AC269" s="6"/>
      <c r="AH269" s="8"/>
      <c r="AJ269" s="10"/>
      <c r="AK269" s="10"/>
    </row>
    <row r="270" spans="1:37" x14ac:dyDescent="0.3">
      <c r="A270" s="6">
        <v>45715</v>
      </c>
      <c r="B270" s="11">
        <v>45715</v>
      </c>
      <c r="C270">
        <v>20081920</v>
      </c>
      <c r="D270" t="s">
        <v>132</v>
      </c>
      <c r="E270" t="s">
        <v>313</v>
      </c>
      <c r="F270" t="s">
        <v>579</v>
      </c>
      <c r="G270" s="8">
        <v>1500</v>
      </c>
      <c r="H270" t="s">
        <v>28</v>
      </c>
      <c r="I270" s="10">
        <v>1.6353066666666669</v>
      </c>
      <c r="J270" s="10">
        <v>2452.96</v>
      </c>
      <c r="K270">
        <v>1.64</v>
      </c>
      <c r="L270" t="s">
        <v>379</v>
      </c>
      <c r="M270" t="s">
        <v>316</v>
      </c>
      <c r="N270" t="s">
        <v>317</v>
      </c>
      <c r="O270" t="s">
        <v>60</v>
      </c>
      <c r="P270">
        <v>1500</v>
      </c>
      <c r="Q270" t="s">
        <v>28</v>
      </c>
      <c r="R270">
        <v>211500</v>
      </c>
      <c r="S270">
        <v>141</v>
      </c>
      <c r="T270" t="s">
        <v>114</v>
      </c>
      <c r="U270" t="s">
        <v>576</v>
      </c>
      <c r="V270">
        <v>20</v>
      </c>
      <c r="W270">
        <v>2008</v>
      </c>
      <c r="X270" s="17">
        <v>45712</v>
      </c>
      <c r="Y270">
        <v>8656495</v>
      </c>
      <c r="Z270" t="s">
        <v>318</v>
      </c>
      <c r="AC270" s="6"/>
      <c r="AH270" s="8"/>
      <c r="AJ270" s="10"/>
      <c r="AK270" s="10"/>
    </row>
    <row r="271" spans="1:37" x14ac:dyDescent="0.3">
      <c r="A271" s="6">
        <v>45717</v>
      </c>
      <c r="B271" s="11">
        <v>45717</v>
      </c>
      <c r="C271">
        <v>12019000</v>
      </c>
      <c r="D271" t="s">
        <v>626</v>
      </c>
      <c r="E271" t="s">
        <v>627</v>
      </c>
      <c r="F271" t="s">
        <v>628</v>
      </c>
      <c r="G271" s="8">
        <v>30</v>
      </c>
      <c r="H271" t="s">
        <v>28</v>
      </c>
      <c r="I271" s="10">
        <v>7.5006666666666666</v>
      </c>
      <c r="J271" s="10">
        <v>225.02</v>
      </c>
      <c r="K271">
        <v>7.5</v>
      </c>
      <c r="L271" t="s">
        <v>629</v>
      </c>
      <c r="M271" t="s">
        <v>228</v>
      </c>
      <c r="N271" t="s">
        <v>113</v>
      </c>
      <c r="O271" t="s">
        <v>32</v>
      </c>
      <c r="P271">
        <v>30</v>
      </c>
      <c r="Q271" t="s">
        <v>28</v>
      </c>
      <c r="R271">
        <v>378</v>
      </c>
      <c r="S271">
        <v>12.6</v>
      </c>
      <c r="T271" t="s">
        <v>230</v>
      </c>
      <c r="U271" t="s">
        <v>630</v>
      </c>
      <c r="V271">
        <v>12</v>
      </c>
      <c r="W271">
        <v>1201</v>
      </c>
      <c r="X271" s="17">
        <v>45717</v>
      </c>
      <c r="Y271">
        <v>10049293</v>
      </c>
      <c r="Z271" t="s">
        <v>632</v>
      </c>
      <c r="AC271" s="6"/>
      <c r="AH271" s="8"/>
      <c r="AJ271" s="10"/>
      <c r="AK271" s="10"/>
    </row>
    <row r="272" spans="1:37" x14ac:dyDescent="0.3">
      <c r="A272" s="6">
        <v>45717</v>
      </c>
      <c r="B272" s="11">
        <v>45717</v>
      </c>
      <c r="C272">
        <v>20081920</v>
      </c>
      <c r="D272" t="s">
        <v>132</v>
      </c>
      <c r="E272" t="s">
        <v>633</v>
      </c>
      <c r="F272" t="s">
        <v>634</v>
      </c>
      <c r="G272" s="8">
        <v>1000</v>
      </c>
      <c r="H272" t="s">
        <v>28</v>
      </c>
      <c r="I272" s="10">
        <v>1.63531</v>
      </c>
      <c r="J272" s="10">
        <v>1635.31</v>
      </c>
      <c r="K272">
        <v>1.64</v>
      </c>
      <c r="L272" t="s">
        <v>315</v>
      </c>
      <c r="M272" t="s">
        <v>316</v>
      </c>
      <c r="N272" t="s">
        <v>317</v>
      </c>
      <c r="O272" t="s">
        <v>60</v>
      </c>
      <c r="P272">
        <v>1000</v>
      </c>
      <c r="Q272" t="s">
        <v>28</v>
      </c>
      <c r="R272">
        <v>141000</v>
      </c>
      <c r="S272">
        <v>141</v>
      </c>
      <c r="T272" t="s">
        <v>114</v>
      </c>
      <c r="U272" t="s">
        <v>576</v>
      </c>
      <c r="V272">
        <v>20</v>
      </c>
      <c r="W272">
        <v>2008</v>
      </c>
      <c r="X272" s="17">
        <v>45718</v>
      </c>
      <c r="Y272">
        <v>11299812</v>
      </c>
      <c r="Z272" t="s">
        <v>635</v>
      </c>
      <c r="AC272" s="6"/>
      <c r="AH272" s="8"/>
      <c r="AJ272" s="10"/>
      <c r="AK272" s="10"/>
    </row>
    <row r="273" spans="1:37" x14ac:dyDescent="0.3">
      <c r="A273" s="6">
        <v>45717</v>
      </c>
      <c r="B273" s="11">
        <v>45717</v>
      </c>
      <c r="C273">
        <v>12019000</v>
      </c>
      <c r="D273" t="s">
        <v>626</v>
      </c>
      <c r="E273" t="s">
        <v>627</v>
      </c>
      <c r="F273" t="s">
        <v>628</v>
      </c>
      <c r="G273" s="8">
        <v>30</v>
      </c>
      <c r="H273" t="s">
        <v>28</v>
      </c>
      <c r="I273" s="10">
        <v>7.5006666666666666</v>
      </c>
      <c r="J273" s="10">
        <v>225.02</v>
      </c>
      <c r="K273">
        <v>7.5</v>
      </c>
      <c r="L273" t="s">
        <v>629</v>
      </c>
      <c r="M273" t="s">
        <v>228</v>
      </c>
      <c r="N273" t="s">
        <v>113</v>
      </c>
      <c r="O273" t="s">
        <v>32</v>
      </c>
      <c r="P273">
        <v>30</v>
      </c>
      <c r="Q273" t="s">
        <v>28</v>
      </c>
      <c r="R273">
        <v>229.5</v>
      </c>
      <c r="S273">
        <v>7.65</v>
      </c>
      <c r="T273" t="s">
        <v>33</v>
      </c>
      <c r="U273" t="s">
        <v>630</v>
      </c>
      <c r="V273">
        <v>12</v>
      </c>
      <c r="W273">
        <v>1201</v>
      </c>
      <c r="X273" s="17">
        <v>45719</v>
      </c>
      <c r="Y273">
        <v>10653434</v>
      </c>
      <c r="Z273" t="s">
        <v>632</v>
      </c>
      <c r="AC273" s="6"/>
      <c r="AH273" s="8"/>
      <c r="AJ273" s="10"/>
      <c r="AK273" s="10"/>
    </row>
    <row r="274" spans="1:37" x14ac:dyDescent="0.3">
      <c r="A274" s="6">
        <v>45717</v>
      </c>
      <c r="B274" s="11">
        <v>45717</v>
      </c>
      <c r="C274">
        <v>20081920</v>
      </c>
      <c r="D274" t="s">
        <v>177</v>
      </c>
      <c r="E274" t="s">
        <v>633</v>
      </c>
      <c r="F274" t="s">
        <v>479</v>
      </c>
      <c r="G274" s="8">
        <v>1000</v>
      </c>
      <c r="H274" t="s">
        <v>28</v>
      </c>
      <c r="I274" s="10">
        <v>1.63531</v>
      </c>
      <c r="J274" s="10">
        <v>1635.31</v>
      </c>
      <c r="K274">
        <v>1.64</v>
      </c>
      <c r="L274" t="s">
        <v>315</v>
      </c>
      <c r="M274" t="s">
        <v>316</v>
      </c>
      <c r="N274" t="s">
        <v>317</v>
      </c>
      <c r="O274" t="s">
        <v>60</v>
      </c>
      <c r="P274">
        <v>1000</v>
      </c>
      <c r="Q274" t="s">
        <v>28</v>
      </c>
      <c r="R274">
        <v>141000</v>
      </c>
      <c r="S274">
        <v>141</v>
      </c>
      <c r="T274" t="s">
        <v>114</v>
      </c>
      <c r="U274" t="s">
        <v>576</v>
      </c>
      <c r="V274">
        <v>20</v>
      </c>
      <c r="W274">
        <v>2008</v>
      </c>
      <c r="X274" s="17">
        <v>45720</v>
      </c>
      <c r="Y274">
        <v>11100462</v>
      </c>
      <c r="Z274" t="s">
        <v>635</v>
      </c>
      <c r="AC274" s="6"/>
      <c r="AH274" s="8"/>
      <c r="AJ274" s="10"/>
      <c r="AK274" s="10"/>
    </row>
    <row r="275" spans="1:37" x14ac:dyDescent="0.3">
      <c r="A275" s="6">
        <v>45718</v>
      </c>
      <c r="B275" s="11">
        <v>45718</v>
      </c>
      <c r="C275">
        <v>7099310</v>
      </c>
      <c r="D275" t="s">
        <v>132</v>
      </c>
      <c r="E275" t="s">
        <v>633</v>
      </c>
      <c r="F275" t="s">
        <v>636</v>
      </c>
      <c r="G275" s="8">
        <v>1200</v>
      </c>
      <c r="H275" t="s">
        <v>28</v>
      </c>
      <c r="I275" s="10">
        <v>3.6533416666666669</v>
      </c>
      <c r="J275" s="10">
        <v>4384.01</v>
      </c>
      <c r="K275">
        <v>3.65</v>
      </c>
      <c r="L275" t="s">
        <v>379</v>
      </c>
      <c r="M275" t="s">
        <v>316</v>
      </c>
      <c r="N275" t="s">
        <v>317</v>
      </c>
      <c r="O275" t="s">
        <v>60</v>
      </c>
      <c r="P275">
        <v>1200</v>
      </c>
      <c r="Q275" t="s">
        <v>28</v>
      </c>
      <c r="R275">
        <v>378000</v>
      </c>
      <c r="S275">
        <v>315</v>
      </c>
      <c r="T275" t="s">
        <v>114</v>
      </c>
      <c r="U275" t="s">
        <v>637</v>
      </c>
      <c r="V275">
        <v>7</v>
      </c>
      <c r="W275">
        <v>709</v>
      </c>
      <c r="X275" s="17">
        <v>45721</v>
      </c>
      <c r="Y275">
        <v>10973385</v>
      </c>
      <c r="Z275" t="s">
        <v>635</v>
      </c>
      <c r="AC275" s="6"/>
      <c r="AH275" s="8"/>
      <c r="AJ275" s="10"/>
      <c r="AK275" s="10"/>
    </row>
    <row r="276" spans="1:37" x14ac:dyDescent="0.3">
      <c r="A276" s="6">
        <v>45720</v>
      </c>
      <c r="B276" s="11">
        <v>45720</v>
      </c>
      <c r="C276">
        <v>20081920</v>
      </c>
      <c r="D276" t="s">
        <v>132</v>
      </c>
      <c r="E276" t="s">
        <v>622</v>
      </c>
      <c r="F276" t="s">
        <v>638</v>
      </c>
      <c r="G276" s="8">
        <v>2000</v>
      </c>
      <c r="H276" t="s">
        <v>28</v>
      </c>
      <c r="I276" s="10">
        <v>1.635305</v>
      </c>
      <c r="J276" s="10">
        <v>3270.61</v>
      </c>
      <c r="K276">
        <v>1.64</v>
      </c>
      <c r="L276" t="s">
        <v>379</v>
      </c>
      <c r="M276" t="s">
        <v>316</v>
      </c>
      <c r="N276" t="s">
        <v>317</v>
      </c>
      <c r="O276" t="s">
        <v>60</v>
      </c>
      <c r="P276">
        <v>2000</v>
      </c>
      <c r="Q276" t="s">
        <v>28</v>
      </c>
      <c r="R276">
        <v>282000</v>
      </c>
      <c r="S276">
        <v>141</v>
      </c>
      <c r="T276" t="s">
        <v>114</v>
      </c>
      <c r="U276" t="s">
        <v>576</v>
      </c>
      <c r="V276">
        <v>20</v>
      </c>
      <c r="W276">
        <v>2008</v>
      </c>
      <c r="X276" s="17">
        <v>45722</v>
      </c>
      <c r="Y276">
        <v>10044267</v>
      </c>
      <c r="Z276" t="s">
        <v>623</v>
      </c>
      <c r="AC276" s="6"/>
      <c r="AH276" s="8"/>
      <c r="AJ276" s="10"/>
      <c r="AK276" s="10"/>
    </row>
    <row r="277" spans="1:37" x14ac:dyDescent="0.3">
      <c r="A277" s="6">
        <v>45720</v>
      </c>
      <c r="B277" s="11">
        <v>45720</v>
      </c>
      <c r="C277">
        <v>20081990</v>
      </c>
      <c r="D277" t="s">
        <v>484</v>
      </c>
      <c r="E277" t="s">
        <v>340</v>
      </c>
      <c r="F277" t="s">
        <v>341</v>
      </c>
      <c r="G277" s="8">
        <v>150</v>
      </c>
      <c r="H277" t="s">
        <v>28</v>
      </c>
      <c r="I277" s="10">
        <v>6.2477999999999998</v>
      </c>
      <c r="J277" s="10">
        <v>937.17</v>
      </c>
      <c r="K277">
        <v>6.25</v>
      </c>
      <c r="L277" t="s">
        <v>639</v>
      </c>
      <c r="M277" t="s">
        <v>343</v>
      </c>
      <c r="N277" t="s">
        <v>42</v>
      </c>
      <c r="O277" t="s">
        <v>32</v>
      </c>
      <c r="P277">
        <v>150</v>
      </c>
      <c r="Q277" t="s">
        <v>28</v>
      </c>
      <c r="R277">
        <v>957</v>
      </c>
      <c r="S277">
        <v>6.38</v>
      </c>
      <c r="T277" t="s">
        <v>33</v>
      </c>
      <c r="U277" t="s">
        <v>618</v>
      </c>
      <c r="V277">
        <v>20</v>
      </c>
      <c r="W277">
        <v>2008</v>
      </c>
      <c r="X277" s="17">
        <v>45723</v>
      </c>
      <c r="Y277">
        <v>11286198</v>
      </c>
      <c r="Z277" t="s">
        <v>345</v>
      </c>
      <c r="AC277" s="6"/>
      <c r="AH277" s="8"/>
      <c r="AJ277" s="10"/>
      <c r="AK277" s="10"/>
    </row>
    <row r="278" spans="1:37" x14ac:dyDescent="0.3">
      <c r="A278" s="6">
        <v>45720</v>
      </c>
      <c r="B278" s="11">
        <v>45720</v>
      </c>
      <c r="C278">
        <v>20081990</v>
      </c>
      <c r="D278" t="s">
        <v>177</v>
      </c>
      <c r="E278" t="s">
        <v>435</v>
      </c>
      <c r="F278" t="s">
        <v>436</v>
      </c>
      <c r="G278" s="8">
        <v>200</v>
      </c>
      <c r="H278" t="s">
        <v>28</v>
      </c>
      <c r="I278" s="10">
        <v>1.7082999999999999</v>
      </c>
      <c r="J278" s="10">
        <v>341.66</v>
      </c>
      <c r="K278">
        <v>1.71</v>
      </c>
      <c r="L278" t="s">
        <v>315</v>
      </c>
      <c r="M278" t="s">
        <v>316</v>
      </c>
      <c r="N278" t="s">
        <v>317</v>
      </c>
      <c r="O278" t="s">
        <v>60</v>
      </c>
      <c r="P278">
        <v>200</v>
      </c>
      <c r="Q278" t="s">
        <v>28</v>
      </c>
      <c r="R278">
        <v>30000</v>
      </c>
      <c r="S278">
        <v>150</v>
      </c>
      <c r="T278" t="s">
        <v>114</v>
      </c>
      <c r="U278" t="s">
        <v>618</v>
      </c>
      <c r="V278">
        <v>20</v>
      </c>
      <c r="W278">
        <v>2008</v>
      </c>
      <c r="X278" s="17">
        <v>45724</v>
      </c>
      <c r="Y278">
        <v>10387617</v>
      </c>
      <c r="Z278" t="s">
        <v>437</v>
      </c>
      <c r="AC278" s="6"/>
      <c r="AH278" s="8"/>
      <c r="AJ278" s="10"/>
      <c r="AK278" s="10"/>
    </row>
    <row r="279" spans="1:37" x14ac:dyDescent="0.3">
      <c r="A279" s="6">
        <v>45721</v>
      </c>
      <c r="B279" s="11">
        <v>45721</v>
      </c>
      <c r="C279">
        <v>20081920</v>
      </c>
      <c r="D279" t="s">
        <v>177</v>
      </c>
      <c r="E279" t="s">
        <v>518</v>
      </c>
      <c r="F279" t="s">
        <v>519</v>
      </c>
      <c r="G279" s="8">
        <v>1000</v>
      </c>
      <c r="H279" t="s">
        <v>28</v>
      </c>
      <c r="I279" s="10">
        <v>1.73969</v>
      </c>
      <c r="J279" s="10">
        <v>1739.69</v>
      </c>
      <c r="K279">
        <v>1.74</v>
      </c>
      <c r="L279" t="s">
        <v>315</v>
      </c>
      <c r="M279" t="s">
        <v>316</v>
      </c>
      <c r="N279" t="s">
        <v>317</v>
      </c>
      <c r="O279" t="s">
        <v>60</v>
      </c>
      <c r="P279">
        <v>1000</v>
      </c>
      <c r="Q279" t="s">
        <v>28</v>
      </c>
      <c r="R279">
        <v>150000</v>
      </c>
      <c r="S279">
        <v>150</v>
      </c>
      <c r="T279" t="s">
        <v>114</v>
      </c>
      <c r="U279" t="s">
        <v>576</v>
      </c>
      <c r="V279">
        <v>20</v>
      </c>
      <c r="W279">
        <v>2008</v>
      </c>
      <c r="X279" s="17">
        <v>45725</v>
      </c>
      <c r="Y279">
        <v>11343448</v>
      </c>
      <c r="Z279" t="s">
        <v>520</v>
      </c>
      <c r="AC279" s="6"/>
      <c r="AH279" s="8"/>
      <c r="AJ279" s="10"/>
      <c r="AK279" s="10"/>
    </row>
    <row r="280" spans="1:37" x14ac:dyDescent="0.3">
      <c r="A280" s="6">
        <v>45721</v>
      </c>
      <c r="B280" s="11">
        <v>45721</v>
      </c>
      <c r="C280">
        <v>20081990</v>
      </c>
      <c r="D280" t="s">
        <v>640</v>
      </c>
      <c r="E280" t="s">
        <v>641</v>
      </c>
      <c r="F280" t="s">
        <v>642</v>
      </c>
      <c r="G280" s="8">
        <v>100</v>
      </c>
      <c r="H280" t="s">
        <v>28</v>
      </c>
      <c r="I280" s="10">
        <v>8.9375999999999998</v>
      </c>
      <c r="J280" s="10">
        <v>893.76</v>
      </c>
      <c r="K280">
        <v>8.94</v>
      </c>
      <c r="L280" t="s">
        <v>103</v>
      </c>
      <c r="M280" t="s">
        <v>104</v>
      </c>
      <c r="N280" t="s">
        <v>643</v>
      </c>
      <c r="O280" t="s">
        <v>32</v>
      </c>
      <c r="P280">
        <v>100</v>
      </c>
      <c r="Q280" t="s">
        <v>28</v>
      </c>
      <c r="R280">
        <v>912</v>
      </c>
      <c r="S280">
        <v>9.1199999999999992</v>
      </c>
      <c r="T280" t="s">
        <v>33</v>
      </c>
      <c r="U280" t="s">
        <v>618</v>
      </c>
      <c r="V280">
        <v>20</v>
      </c>
      <c r="W280">
        <v>2008</v>
      </c>
      <c r="X280" s="17">
        <v>45726</v>
      </c>
      <c r="Y280">
        <v>15137704</v>
      </c>
      <c r="Z280" t="s">
        <v>644</v>
      </c>
      <c r="AC280" s="6"/>
      <c r="AH280" s="8"/>
      <c r="AJ280" s="10"/>
      <c r="AK280" s="10"/>
    </row>
    <row r="281" spans="1:37" x14ac:dyDescent="0.3">
      <c r="A281" s="6">
        <v>45721</v>
      </c>
      <c r="B281" s="11">
        <v>45721</v>
      </c>
      <c r="C281">
        <v>20081920</v>
      </c>
      <c r="D281" t="s">
        <v>132</v>
      </c>
      <c r="E281" t="s">
        <v>622</v>
      </c>
      <c r="F281" t="s">
        <v>548</v>
      </c>
      <c r="G281" s="8">
        <v>3000</v>
      </c>
      <c r="H281" t="s">
        <v>28</v>
      </c>
      <c r="I281" s="10">
        <v>1.39175</v>
      </c>
      <c r="J281" s="10">
        <v>4175.25</v>
      </c>
      <c r="K281">
        <v>1.39</v>
      </c>
      <c r="L281" t="s">
        <v>379</v>
      </c>
      <c r="M281" t="s">
        <v>316</v>
      </c>
      <c r="N281" t="s">
        <v>317</v>
      </c>
      <c r="O281" t="s">
        <v>60</v>
      </c>
      <c r="P281">
        <v>3000</v>
      </c>
      <c r="Q281" t="s">
        <v>28</v>
      </c>
      <c r="R281">
        <v>360000</v>
      </c>
      <c r="S281">
        <v>120</v>
      </c>
      <c r="T281" t="s">
        <v>114</v>
      </c>
      <c r="U281" t="s">
        <v>576</v>
      </c>
      <c r="V281">
        <v>20</v>
      </c>
      <c r="W281">
        <v>2008</v>
      </c>
      <c r="X281" s="17">
        <v>45727</v>
      </c>
      <c r="Y281">
        <v>10068448</v>
      </c>
      <c r="Z281" t="s">
        <v>623</v>
      </c>
      <c r="AC281" s="6"/>
      <c r="AH281" s="8"/>
      <c r="AJ281" s="10"/>
      <c r="AK281" s="10"/>
    </row>
    <row r="282" spans="1:37" x14ac:dyDescent="0.3">
      <c r="A282" s="6">
        <v>45722</v>
      </c>
      <c r="B282" s="11">
        <v>45722</v>
      </c>
      <c r="C282">
        <v>20089999</v>
      </c>
      <c r="D282" t="s">
        <v>177</v>
      </c>
      <c r="E282" t="s">
        <v>301</v>
      </c>
      <c r="F282" t="s">
        <v>645</v>
      </c>
      <c r="G282" s="8">
        <v>105</v>
      </c>
      <c r="H282" t="s">
        <v>28</v>
      </c>
      <c r="I282" s="10">
        <v>7.6403809523809523</v>
      </c>
      <c r="J282" s="10">
        <v>802.24</v>
      </c>
      <c r="K282">
        <v>7.64</v>
      </c>
      <c r="L282" t="s">
        <v>103</v>
      </c>
      <c r="M282" t="s">
        <v>104</v>
      </c>
      <c r="N282" t="s">
        <v>646</v>
      </c>
      <c r="O282" t="s">
        <v>32</v>
      </c>
      <c r="P282">
        <v>105</v>
      </c>
      <c r="Q282" t="s">
        <v>28</v>
      </c>
      <c r="R282">
        <v>892.5</v>
      </c>
      <c r="S282">
        <v>8.5</v>
      </c>
      <c r="T282" t="s">
        <v>33</v>
      </c>
      <c r="U282" t="s">
        <v>647</v>
      </c>
      <c r="V282">
        <v>20</v>
      </c>
      <c r="W282">
        <v>2008</v>
      </c>
      <c r="X282" s="17">
        <v>45728</v>
      </c>
      <c r="Y282">
        <v>15601179</v>
      </c>
      <c r="Z282" t="s">
        <v>304</v>
      </c>
      <c r="AC282" s="6"/>
      <c r="AH282" s="8"/>
      <c r="AJ282" s="10"/>
      <c r="AK282" s="10"/>
    </row>
    <row r="283" spans="1:37" x14ac:dyDescent="0.3">
      <c r="A283" s="6">
        <v>45722</v>
      </c>
      <c r="B283" s="11">
        <v>45722</v>
      </c>
      <c r="C283">
        <v>20081990</v>
      </c>
      <c r="D283" t="s">
        <v>132</v>
      </c>
      <c r="E283" t="s">
        <v>596</v>
      </c>
      <c r="F283" t="s">
        <v>597</v>
      </c>
      <c r="G283" s="8">
        <v>100</v>
      </c>
      <c r="H283" t="s">
        <v>28</v>
      </c>
      <c r="I283" s="10">
        <v>4.8451000000000004</v>
      </c>
      <c r="J283" s="10">
        <v>484.51</v>
      </c>
      <c r="K283">
        <v>4.8499999999999996</v>
      </c>
      <c r="L283" t="s">
        <v>149</v>
      </c>
      <c r="M283" t="s">
        <v>150</v>
      </c>
      <c r="N283" t="s">
        <v>174</v>
      </c>
      <c r="O283" t="s">
        <v>32</v>
      </c>
      <c r="P283">
        <v>100</v>
      </c>
      <c r="Q283" t="s">
        <v>28</v>
      </c>
      <c r="R283">
        <v>525</v>
      </c>
      <c r="S283">
        <v>5.25</v>
      </c>
      <c r="T283" t="s">
        <v>33</v>
      </c>
      <c r="U283" t="s">
        <v>618</v>
      </c>
      <c r="V283">
        <v>20</v>
      </c>
      <c r="W283">
        <v>2008</v>
      </c>
      <c r="X283" s="17">
        <v>45729</v>
      </c>
      <c r="Y283">
        <v>11150469</v>
      </c>
      <c r="Z283" t="s">
        <v>599</v>
      </c>
      <c r="AC283" s="6"/>
      <c r="AH283" s="8"/>
      <c r="AJ283" s="10"/>
      <c r="AK283" s="10"/>
    </row>
    <row r="284" spans="1:37" x14ac:dyDescent="0.3">
      <c r="A284" s="6">
        <v>45722</v>
      </c>
      <c r="B284" s="11">
        <v>45722</v>
      </c>
      <c r="C284">
        <v>20081990</v>
      </c>
      <c r="D284" t="s">
        <v>484</v>
      </c>
      <c r="E284" t="s">
        <v>340</v>
      </c>
      <c r="F284" t="s">
        <v>341</v>
      </c>
      <c r="G284" s="8">
        <v>150</v>
      </c>
      <c r="H284" t="s">
        <v>28</v>
      </c>
      <c r="I284" s="10">
        <v>6.2477999999999998</v>
      </c>
      <c r="J284" s="10">
        <v>937.17</v>
      </c>
      <c r="K284">
        <v>6.25</v>
      </c>
      <c r="L284" t="s">
        <v>639</v>
      </c>
      <c r="M284" t="s">
        <v>343</v>
      </c>
      <c r="N284" t="s">
        <v>42</v>
      </c>
      <c r="O284" t="s">
        <v>32</v>
      </c>
      <c r="P284">
        <v>150</v>
      </c>
      <c r="Q284" t="s">
        <v>28</v>
      </c>
      <c r="R284">
        <v>1011</v>
      </c>
      <c r="S284">
        <v>6.74</v>
      </c>
      <c r="T284" t="s">
        <v>33</v>
      </c>
      <c r="U284" t="s">
        <v>618</v>
      </c>
      <c r="V284">
        <v>20</v>
      </c>
      <c r="W284">
        <v>2008</v>
      </c>
      <c r="X284" s="17">
        <v>45730</v>
      </c>
      <c r="Y284">
        <v>9996569</v>
      </c>
      <c r="Z284" t="s">
        <v>345</v>
      </c>
      <c r="AC284" s="6"/>
      <c r="AH284" s="8"/>
      <c r="AJ284" s="10"/>
      <c r="AK284" s="10"/>
    </row>
    <row r="285" spans="1:37" x14ac:dyDescent="0.3">
      <c r="A285" s="6">
        <v>45723</v>
      </c>
      <c r="B285" s="11">
        <v>45723</v>
      </c>
      <c r="C285">
        <v>20081920</v>
      </c>
      <c r="D285" t="s">
        <v>132</v>
      </c>
      <c r="E285" t="s">
        <v>313</v>
      </c>
      <c r="F285" t="s">
        <v>505</v>
      </c>
      <c r="G285" s="8">
        <v>2175</v>
      </c>
      <c r="H285" t="s">
        <v>28</v>
      </c>
      <c r="I285" s="10">
        <v>1.6343540229885061</v>
      </c>
      <c r="J285" s="10">
        <v>3554.72</v>
      </c>
      <c r="K285">
        <v>1.63</v>
      </c>
      <c r="L285" t="s">
        <v>379</v>
      </c>
      <c r="M285" t="s">
        <v>316</v>
      </c>
      <c r="N285" t="s">
        <v>317</v>
      </c>
      <c r="O285" t="s">
        <v>60</v>
      </c>
      <c r="P285">
        <v>2175</v>
      </c>
      <c r="Q285" t="s">
        <v>28</v>
      </c>
      <c r="R285">
        <v>306675</v>
      </c>
      <c r="S285">
        <v>141</v>
      </c>
      <c r="T285" t="s">
        <v>114</v>
      </c>
      <c r="U285" t="s">
        <v>576</v>
      </c>
      <c r="V285">
        <v>20</v>
      </c>
      <c r="W285">
        <v>2008</v>
      </c>
      <c r="X285" s="17">
        <v>45731</v>
      </c>
      <c r="Y285">
        <v>11078838</v>
      </c>
      <c r="Z285" t="s">
        <v>318</v>
      </c>
      <c r="AC285" s="6"/>
      <c r="AH285" s="8"/>
      <c r="AJ285" s="10"/>
      <c r="AK285" s="10"/>
    </row>
    <row r="286" spans="1:37" x14ac:dyDescent="0.3">
      <c r="A286" s="6">
        <v>45723</v>
      </c>
      <c r="B286" s="11">
        <v>45723</v>
      </c>
      <c r="C286">
        <v>20081920</v>
      </c>
      <c r="D286" t="s">
        <v>132</v>
      </c>
      <c r="E286" t="s">
        <v>313</v>
      </c>
      <c r="F286" t="s">
        <v>314</v>
      </c>
      <c r="G286" s="8">
        <v>750</v>
      </c>
      <c r="H286" t="s">
        <v>28</v>
      </c>
      <c r="I286" s="10">
        <v>1.63436</v>
      </c>
      <c r="J286" s="10">
        <v>1225.77</v>
      </c>
      <c r="K286">
        <v>1.63</v>
      </c>
      <c r="L286" t="s">
        <v>379</v>
      </c>
      <c r="M286" t="s">
        <v>316</v>
      </c>
      <c r="N286" t="s">
        <v>317</v>
      </c>
      <c r="O286" t="s">
        <v>60</v>
      </c>
      <c r="P286">
        <v>750</v>
      </c>
      <c r="Q286" t="s">
        <v>28</v>
      </c>
      <c r="R286">
        <v>105750</v>
      </c>
      <c r="S286">
        <v>141</v>
      </c>
      <c r="T286" t="s">
        <v>114</v>
      </c>
      <c r="U286" t="s">
        <v>576</v>
      </c>
      <c r="V286">
        <v>20</v>
      </c>
      <c r="W286">
        <v>2008</v>
      </c>
      <c r="X286" s="17">
        <v>45732</v>
      </c>
      <c r="Y286">
        <v>10557773</v>
      </c>
      <c r="Z286" t="s">
        <v>318</v>
      </c>
      <c r="AC286" s="6"/>
      <c r="AH286" s="8"/>
      <c r="AJ286" s="10"/>
      <c r="AK286" s="10"/>
    </row>
    <row r="287" spans="1:37" x14ac:dyDescent="0.3">
      <c r="A287" s="6">
        <v>45725</v>
      </c>
      <c r="B287" s="11">
        <v>45725</v>
      </c>
      <c r="C287">
        <v>20081920</v>
      </c>
      <c r="D287" t="s">
        <v>648</v>
      </c>
      <c r="E287" t="s">
        <v>474</v>
      </c>
      <c r="F287" t="s">
        <v>475</v>
      </c>
      <c r="G287" s="8">
        <v>2000</v>
      </c>
      <c r="H287" t="s">
        <v>28</v>
      </c>
      <c r="I287" s="10">
        <v>4.2307799999999993</v>
      </c>
      <c r="J287" s="10">
        <v>8461.56</v>
      </c>
      <c r="K287">
        <v>4.2300000000000004</v>
      </c>
      <c r="L287" t="s">
        <v>476</v>
      </c>
      <c r="M287" t="s">
        <v>316</v>
      </c>
      <c r="N287" t="s">
        <v>477</v>
      </c>
      <c r="O287" t="s">
        <v>60</v>
      </c>
      <c r="P287">
        <v>2000</v>
      </c>
      <c r="Q287" t="s">
        <v>28</v>
      </c>
      <c r="R287">
        <v>730000</v>
      </c>
      <c r="S287">
        <v>365</v>
      </c>
      <c r="T287" t="s">
        <v>114</v>
      </c>
      <c r="U287" t="s">
        <v>576</v>
      </c>
      <c r="V287">
        <v>20</v>
      </c>
      <c r="W287">
        <v>2008</v>
      </c>
      <c r="X287" s="17">
        <v>45733</v>
      </c>
      <c r="Y287">
        <v>15758483</v>
      </c>
      <c r="Z287" t="s">
        <v>478</v>
      </c>
      <c r="AC287" s="6"/>
      <c r="AH287" s="8"/>
      <c r="AJ287" s="10"/>
      <c r="AK287" s="10"/>
    </row>
    <row r="288" spans="1:37" x14ac:dyDescent="0.3">
      <c r="A288" s="6">
        <v>45726</v>
      </c>
      <c r="B288" s="11">
        <v>45726</v>
      </c>
      <c r="C288">
        <v>20081990</v>
      </c>
      <c r="D288" t="s">
        <v>649</v>
      </c>
      <c r="E288" t="s">
        <v>650</v>
      </c>
      <c r="F288" t="s">
        <v>651</v>
      </c>
      <c r="G288" s="8">
        <v>50</v>
      </c>
      <c r="H288" t="s">
        <v>28</v>
      </c>
      <c r="I288" s="10">
        <v>4.4045999999999994</v>
      </c>
      <c r="J288" s="10">
        <v>220.23</v>
      </c>
      <c r="K288">
        <v>4.4000000000000004</v>
      </c>
      <c r="L288" t="s">
        <v>652</v>
      </c>
      <c r="M288" t="s">
        <v>653</v>
      </c>
      <c r="N288" t="s">
        <v>51</v>
      </c>
      <c r="O288" t="s">
        <v>32</v>
      </c>
      <c r="P288">
        <v>50</v>
      </c>
      <c r="Q288" t="s">
        <v>28</v>
      </c>
      <c r="R288">
        <v>225</v>
      </c>
      <c r="S288">
        <v>4.5</v>
      </c>
      <c r="T288" t="s">
        <v>33</v>
      </c>
      <c r="U288" t="s">
        <v>618</v>
      </c>
      <c r="V288">
        <v>20</v>
      </c>
      <c r="W288">
        <v>2008</v>
      </c>
      <c r="X288" s="17">
        <v>45734</v>
      </c>
      <c r="Y288">
        <v>11097880</v>
      </c>
      <c r="Z288" t="s">
        <v>654</v>
      </c>
      <c r="AC288" s="6"/>
      <c r="AH288" s="8"/>
      <c r="AJ288" s="10"/>
      <c r="AK288" s="10"/>
    </row>
    <row r="289" spans="1:37" x14ac:dyDescent="0.3">
      <c r="A289" s="6">
        <v>45726</v>
      </c>
      <c r="B289" s="11">
        <v>45726</v>
      </c>
      <c r="C289">
        <v>20081990</v>
      </c>
      <c r="D289" t="s">
        <v>132</v>
      </c>
      <c r="E289" t="s">
        <v>64</v>
      </c>
      <c r="F289" t="s">
        <v>486</v>
      </c>
      <c r="G289" s="8">
        <v>108</v>
      </c>
      <c r="H289" t="s">
        <v>28</v>
      </c>
      <c r="I289" s="10">
        <v>7.35</v>
      </c>
      <c r="J289" s="10">
        <v>793.8</v>
      </c>
      <c r="K289">
        <v>7.35</v>
      </c>
      <c r="L289" t="s">
        <v>189</v>
      </c>
      <c r="M289" t="s">
        <v>190</v>
      </c>
      <c r="N289" t="s">
        <v>89</v>
      </c>
      <c r="O289" t="s">
        <v>32</v>
      </c>
      <c r="P289">
        <v>108</v>
      </c>
      <c r="Q289" t="s">
        <v>28</v>
      </c>
      <c r="R289">
        <v>810</v>
      </c>
      <c r="S289">
        <v>7.5</v>
      </c>
      <c r="T289" t="s">
        <v>33</v>
      </c>
      <c r="U289" t="s">
        <v>618</v>
      </c>
      <c r="V289">
        <v>20</v>
      </c>
      <c r="W289">
        <v>2008</v>
      </c>
      <c r="X289" s="17">
        <v>45735</v>
      </c>
      <c r="Y289">
        <v>11007185</v>
      </c>
      <c r="Z289" t="s">
        <v>68</v>
      </c>
      <c r="AC289" s="6"/>
      <c r="AH289" s="8"/>
      <c r="AJ289" s="10"/>
      <c r="AK289" s="10"/>
    </row>
    <row r="290" spans="1:37" x14ac:dyDescent="0.3">
      <c r="A290" s="6">
        <v>45727</v>
      </c>
      <c r="B290" s="11">
        <v>45727</v>
      </c>
      <c r="C290">
        <v>20081920</v>
      </c>
      <c r="D290" t="s">
        <v>177</v>
      </c>
      <c r="E290" t="s">
        <v>403</v>
      </c>
      <c r="F290" t="s">
        <v>655</v>
      </c>
      <c r="G290" s="8">
        <v>3000</v>
      </c>
      <c r="H290" t="s">
        <v>28</v>
      </c>
      <c r="I290" s="10">
        <v>1.2750300000000001</v>
      </c>
      <c r="J290" s="10">
        <v>3825.09</v>
      </c>
      <c r="K290">
        <v>1.28</v>
      </c>
      <c r="L290" t="s">
        <v>315</v>
      </c>
      <c r="M290" t="s">
        <v>316</v>
      </c>
      <c r="N290" t="s">
        <v>317</v>
      </c>
      <c r="O290" t="s">
        <v>60</v>
      </c>
      <c r="P290">
        <v>3000</v>
      </c>
      <c r="Q290" t="s">
        <v>28</v>
      </c>
      <c r="R290">
        <v>330000</v>
      </c>
      <c r="S290">
        <v>110</v>
      </c>
      <c r="T290" t="s">
        <v>114</v>
      </c>
      <c r="U290" t="s">
        <v>576</v>
      </c>
      <c r="V290">
        <v>20</v>
      </c>
      <c r="W290">
        <v>2008</v>
      </c>
      <c r="X290" s="17">
        <v>45736</v>
      </c>
      <c r="Y290">
        <v>10725559</v>
      </c>
      <c r="Z290" t="s">
        <v>405</v>
      </c>
      <c r="AC290" s="6"/>
      <c r="AH290" s="8"/>
      <c r="AJ290" s="10"/>
      <c r="AK290" s="10"/>
    </row>
    <row r="291" spans="1:37" x14ac:dyDescent="0.3">
      <c r="A291" s="6">
        <v>45737</v>
      </c>
      <c r="B291" s="11">
        <v>45737</v>
      </c>
      <c r="C291">
        <v>20081990</v>
      </c>
      <c r="D291" t="s">
        <v>177</v>
      </c>
      <c r="E291" t="s">
        <v>429</v>
      </c>
      <c r="F291" t="s">
        <v>430</v>
      </c>
      <c r="G291" s="8">
        <v>750</v>
      </c>
      <c r="H291" t="s">
        <v>28</v>
      </c>
      <c r="I291" s="10">
        <v>1.2021066666666671</v>
      </c>
      <c r="J291" s="10">
        <v>901.58</v>
      </c>
      <c r="K291">
        <v>1.2</v>
      </c>
      <c r="L291" t="s">
        <v>379</v>
      </c>
      <c r="M291" t="s">
        <v>316</v>
      </c>
      <c r="N291" t="s">
        <v>317</v>
      </c>
      <c r="O291" t="s">
        <v>60</v>
      </c>
      <c r="P291">
        <v>750</v>
      </c>
      <c r="Q291" t="s">
        <v>28</v>
      </c>
      <c r="R291">
        <v>78750</v>
      </c>
      <c r="S291">
        <v>105</v>
      </c>
      <c r="T291" t="s">
        <v>114</v>
      </c>
      <c r="U291" t="s">
        <v>618</v>
      </c>
      <c r="V291">
        <v>20</v>
      </c>
      <c r="W291">
        <v>2008</v>
      </c>
      <c r="X291" s="17">
        <v>45737</v>
      </c>
      <c r="Y291">
        <v>12212263</v>
      </c>
      <c r="Z291" t="s">
        <v>432</v>
      </c>
      <c r="AC291" s="6"/>
      <c r="AH291" s="8"/>
      <c r="AJ291" s="10"/>
      <c r="AK291" s="10"/>
    </row>
    <row r="292" spans="1:37" x14ac:dyDescent="0.3">
      <c r="A292" s="6">
        <v>45741</v>
      </c>
      <c r="B292" s="11">
        <v>45741</v>
      </c>
      <c r="C292">
        <v>20081920</v>
      </c>
      <c r="D292" t="s">
        <v>656</v>
      </c>
      <c r="E292" t="s">
        <v>249</v>
      </c>
      <c r="F292" t="s">
        <v>657</v>
      </c>
      <c r="G292" s="8">
        <v>250</v>
      </c>
      <c r="H292" t="s">
        <v>28</v>
      </c>
      <c r="I292" s="10">
        <v>6.2474799999999986</v>
      </c>
      <c r="J292" s="10">
        <v>1561.87</v>
      </c>
      <c r="K292">
        <v>6.25</v>
      </c>
      <c r="L292" t="s">
        <v>658</v>
      </c>
      <c r="M292" t="s">
        <v>659</v>
      </c>
      <c r="N292" t="s">
        <v>89</v>
      </c>
      <c r="O292" t="s">
        <v>32</v>
      </c>
      <c r="P292">
        <v>250</v>
      </c>
      <c r="Q292" t="s">
        <v>28</v>
      </c>
      <c r="R292">
        <v>1565</v>
      </c>
      <c r="S292">
        <v>6.26</v>
      </c>
      <c r="T292" t="s">
        <v>33</v>
      </c>
      <c r="U292" t="s">
        <v>576</v>
      </c>
      <c r="V292">
        <v>20</v>
      </c>
      <c r="W292">
        <v>2008</v>
      </c>
      <c r="X292" s="17">
        <v>45738</v>
      </c>
      <c r="Y292">
        <v>14307791</v>
      </c>
      <c r="Z292" t="s">
        <v>253</v>
      </c>
      <c r="AC292" s="6"/>
      <c r="AH292" s="8"/>
      <c r="AJ292" s="10"/>
      <c r="AK292" s="10"/>
    </row>
    <row r="293" spans="1:37" x14ac:dyDescent="0.3">
      <c r="A293" s="6">
        <v>45743</v>
      </c>
      <c r="B293" s="11">
        <v>45743</v>
      </c>
      <c r="C293">
        <v>20081990</v>
      </c>
      <c r="D293" t="s">
        <v>177</v>
      </c>
      <c r="E293" t="s">
        <v>615</v>
      </c>
      <c r="F293" t="s">
        <v>79</v>
      </c>
      <c r="G293" s="8">
        <v>2500</v>
      </c>
      <c r="H293" t="s">
        <v>28</v>
      </c>
      <c r="I293" s="10">
        <v>3.586856</v>
      </c>
      <c r="J293" s="10">
        <v>8967.14</v>
      </c>
      <c r="K293">
        <v>3.59</v>
      </c>
      <c r="L293" t="s">
        <v>616</v>
      </c>
      <c r="M293" t="s">
        <v>617</v>
      </c>
      <c r="N293" t="s">
        <v>51</v>
      </c>
      <c r="O293" t="s">
        <v>32</v>
      </c>
      <c r="P293">
        <v>2500</v>
      </c>
      <c r="Q293" t="s">
        <v>28</v>
      </c>
      <c r="R293">
        <v>9175</v>
      </c>
      <c r="S293">
        <v>3.67</v>
      </c>
      <c r="T293" t="s">
        <v>33</v>
      </c>
      <c r="U293" t="s">
        <v>618</v>
      </c>
      <c r="V293">
        <v>20</v>
      </c>
      <c r="W293">
        <v>2008</v>
      </c>
      <c r="X293" s="17">
        <v>45739</v>
      </c>
      <c r="Y293">
        <v>13633392</v>
      </c>
      <c r="Z293" t="s">
        <v>619</v>
      </c>
      <c r="AC293" s="6"/>
      <c r="AH293" s="8"/>
      <c r="AJ293" s="10"/>
      <c r="AK293" s="10"/>
    </row>
    <row r="294" spans="1:37" x14ac:dyDescent="0.3">
      <c r="A294" s="6">
        <v>45744</v>
      </c>
      <c r="B294" s="11">
        <v>45744</v>
      </c>
      <c r="C294">
        <v>20081990</v>
      </c>
      <c r="D294" t="s">
        <v>660</v>
      </c>
      <c r="E294" t="s">
        <v>661</v>
      </c>
      <c r="F294" t="s">
        <v>662</v>
      </c>
      <c r="G294" s="8">
        <v>50</v>
      </c>
      <c r="H294" t="s">
        <v>28</v>
      </c>
      <c r="I294" s="10">
        <v>4.1214000000000004</v>
      </c>
      <c r="J294" s="10">
        <v>206.07</v>
      </c>
      <c r="K294">
        <v>4.12</v>
      </c>
      <c r="L294" t="s">
        <v>465</v>
      </c>
      <c r="M294" t="s">
        <v>136</v>
      </c>
      <c r="N294" t="s">
        <v>466</v>
      </c>
      <c r="O294" t="s">
        <v>60</v>
      </c>
      <c r="P294">
        <v>50</v>
      </c>
      <c r="Q294" t="s">
        <v>28</v>
      </c>
      <c r="R294">
        <v>210.5</v>
      </c>
      <c r="S294">
        <v>4.21</v>
      </c>
      <c r="T294" t="s">
        <v>33</v>
      </c>
      <c r="U294" t="s">
        <v>618</v>
      </c>
      <c r="V294">
        <v>20</v>
      </c>
      <c r="W294">
        <v>2008</v>
      </c>
      <c r="X294" s="17">
        <v>45740</v>
      </c>
      <c r="Y294">
        <v>14423043</v>
      </c>
      <c r="Z294" t="s">
        <v>663</v>
      </c>
      <c r="AC294" s="6"/>
      <c r="AH294" s="8"/>
      <c r="AJ294" s="10"/>
      <c r="AK294" s="10"/>
    </row>
    <row r="295" spans="1:37" x14ac:dyDescent="0.3">
      <c r="A295" s="6">
        <v>45745</v>
      </c>
      <c r="B295" s="11">
        <v>45745</v>
      </c>
      <c r="C295">
        <v>20081920</v>
      </c>
      <c r="D295" t="s">
        <v>177</v>
      </c>
      <c r="E295" t="s">
        <v>313</v>
      </c>
      <c r="F295" t="s">
        <v>569</v>
      </c>
      <c r="G295" s="8">
        <v>3000</v>
      </c>
      <c r="H295" t="s">
        <v>28</v>
      </c>
      <c r="I295" s="10">
        <v>1.643903333333333</v>
      </c>
      <c r="J295" s="10">
        <v>4931.71</v>
      </c>
      <c r="K295">
        <v>1.64</v>
      </c>
      <c r="L295" t="s">
        <v>315</v>
      </c>
      <c r="M295" t="s">
        <v>316</v>
      </c>
      <c r="N295" t="s">
        <v>317</v>
      </c>
      <c r="O295" t="s">
        <v>60</v>
      </c>
      <c r="P295">
        <v>3000</v>
      </c>
      <c r="Q295" t="s">
        <v>28</v>
      </c>
      <c r="R295">
        <v>423000</v>
      </c>
      <c r="S295">
        <v>141</v>
      </c>
      <c r="T295" t="s">
        <v>114</v>
      </c>
      <c r="U295" t="s">
        <v>576</v>
      </c>
      <c r="V295">
        <v>20</v>
      </c>
      <c r="W295">
        <v>2008</v>
      </c>
      <c r="X295" s="17">
        <v>45741</v>
      </c>
      <c r="Y295">
        <v>13262316</v>
      </c>
      <c r="Z295" t="s">
        <v>318</v>
      </c>
      <c r="AC295" s="6"/>
      <c r="AH295" s="8"/>
      <c r="AJ295" s="10"/>
      <c r="AK295" s="10"/>
    </row>
    <row r="296" spans="1:37" x14ac:dyDescent="0.3">
      <c r="A296" s="6">
        <v>45745</v>
      </c>
      <c r="B296" s="11">
        <v>45745</v>
      </c>
      <c r="C296">
        <v>20081990</v>
      </c>
      <c r="D296" t="s">
        <v>660</v>
      </c>
      <c r="E296" t="s">
        <v>661</v>
      </c>
      <c r="F296" t="s">
        <v>662</v>
      </c>
      <c r="G296" s="8">
        <v>50</v>
      </c>
      <c r="H296" t="s">
        <v>28</v>
      </c>
      <c r="I296" s="10">
        <v>4.1214000000000004</v>
      </c>
      <c r="J296" s="10">
        <v>206.07</v>
      </c>
      <c r="K296">
        <v>4.12</v>
      </c>
      <c r="L296" t="s">
        <v>465</v>
      </c>
      <c r="M296" t="s">
        <v>136</v>
      </c>
      <c r="N296" t="s">
        <v>466</v>
      </c>
      <c r="O296" t="s">
        <v>60</v>
      </c>
      <c r="P296">
        <v>50</v>
      </c>
      <c r="Q296" t="s">
        <v>28</v>
      </c>
      <c r="R296">
        <v>18000</v>
      </c>
      <c r="S296">
        <v>360</v>
      </c>
      <c r="T296" t="s">
        <v>114</v>
      </c>
      <c r="U296" t="s">
        <v>618</v>
      </c>
      <c r="V296">
        <v>20</v>
      </c>
      <c r="W296">
        <v>2008</v>
      </c>
      <c r="X296" s="17">
        <v>45742</v>
      </c>
      <c r="Y296">
        <v>13910577</v>
      </c>
      <c r="Z296" t="s">
        <v>663</v>
      </c>
      <c r="AC296" s="6"/>
      <c r="AH296" s="8"/>
      <c r="AJ296" s="10"/>
      <c r="AK296" s="10"/>
    </row>
    <row r="297" spans="1:37" x14ac:dyDescent="0.3">
      <c r="A297" s="6">
        <v>45747</v>
      </c>
      <c r="B297" s="11">
        <v>45747</v>
      </c>
      <c r="C297">
        <v>20081920</v>
      </c>
      <c r="D297" t="s">
        <v>664</v>
      </c>
      <c r="E297" t="s">
        <v>78</v>
      </c>
      <c r="F297" t="s">
        <v>665</v>
      </c>
      <c r="G297" s="8">
        <v>100</v>
      </c>
      <c r="H297" t="s">
        <v>28</v>
      </c>
      <c r="I297" s="10">
        <v>3.9373999999999998</v>
      </c>
      <c r="J297" s="10">
        <v>393.74</v>
      </c>
      <c r="K297">
        <v>3.94</v>
      </c>
      <c r="L297" t="s">
        <v>612</v>
      </c>
      <c r="M297" t="s">
        <v>81</v>
      </c>
      <c r="N297" t="s">
        <v>51</v>
      </c>
      <c r="O297" t="s">
        <v>32</v>
      </c>
      <c r="P297">
        <v>100</v>
      </c>
      <c r="Q297" t="s">
        <v>28</v>
      </c>
      <c r="R297">
        <v>420</v>
      </c>
      <c r="S297">
        <v>4.2</v>
      </c>
      <c r="T297" t="s">
        <v>33</v>
      </c>
      <c r="U297" t="s">
        <v>576</v>
      </c>
      <c r="V297">
        <v>20</v>
      </c>
      <c r="W297">
        <v>2008</v>
      </c>
      <c r="X297" s="17">
        <v>45743</v>
      </c>
      <c r="Y297">
        <v>13463247</v>
      </c>
      <c r="Z297" t="s">
        <v>83</v>
      </c>
      <c r="AC297" s="6"/>
      <c r="AH297" s="8"/>
      <c r="AJ297" s="10"/>
      <c r="AK297" s="10"/>
    </row>
    <row r="298" spans="1:37" x14ac:dyDescent="0.3">
      <c r="A298" s="6">
        <v>45754</v>
      </c>
      <c r="B298" s="11">
        <v>45754</v>
      </c>
      <c r="C298">
        <v>12060010</v>
      </c>
      <c r="D298" t="s">
        <v>666</v>
      </c>
      <c r="E298" t="s">
        <v>667</v>
      </c>
      <c r="F298" t="s">
        <v>668</v>
      </c>
      <c r="G298" s="8">
        <v>9</v>
      </c>
      <c r="H298" t="s">
        <v>28</v>
      </c>
      <c r="I298" s="10">
        <v>5.8888888888888893E-2</v>
      </c>
      <c r="J298" s="10">
        <v>0.53</v>
      </c>
      <c r="K298">
        <v>0.06</v>
      </c>
      <c r="L298" t="s">
        <v>103</v>
      </c>
      <c r="M298" t="s">
        <v>104</v>
      </c>
      <c r="N298" t="s">
        <v>669</v>
      </c>
      <c r="O298" t="s">
        <v>202</v>
      </c>
      <c r="P298">
        <v>9</v>
      </c>
      <c r="Q298" t="s">
        <v>28</v>
      </c>
      <c r="R298">
        <v>2228.58</v>
      </c>
      <c r="S298">
        <v>247.62</v>
      </c>
      <c r="T298" t="s">
        <v>114</v>
      </c>
      <c r="U298" t="s">
        <v>670</v>
      </c>
      <c r="V298">
        <v>12</v>
      </c>
      <c r="W298">
        <v>1206</v>
      </c>
      <c r="X298" s="17">
        <v>45748</v>
      </c>
      <c r="Y298">
        <v>16629451</v>
      </c>
      <c r="Z298" t="s">
        <v>672</v>
      </c>
      <c r="AC298" s="6"/>
      <c r="AH298" s="8"/>
      <c r="AJ298" s="10"/>
      <c r="AK298" s="10"/>
    </row>
    <row r="299" spans="1:37" x14ac:dyDescent="0.3">
      <c r="A299" s="6">
        <v>45755</v>
      </c>
      <c r="B299" s="11">
        <v>45755</v>
      </c>
      <c r="C299">
        <v>20081990</v>
      </c>
      <c r="D299" t="s">
        <v>177</v>
      </c>
      <c r="E299" t="s">
        <v>397</v>
      </c>
      <c r="F299" t="s">
        <v>673</v>
      </c>
      <c r="G299" s="8">
        <v>150</v>
      </c>
      <c r="H299" t="s">
        <v>28</v>
      </c>
      <c r="I299" s="10">
        <v>6.0265333333333331</v>
      </c>
      <c r="J299" s="10">
        <v>903.98</v>
      </c>
      <c r="K299">
        <v>6.03</v>
      </c>
      <c r="L299" t="s">
        <v>399</v>
      </c>
      <c r="M299" t="s">
        <v>400</v>
      </c>
      <c r="N299" t="s">
        <v>401</v>
      </c>
      <c r="O299" t="s">
        <v>32</v>
      </c>
      <c r="P299">
        <v>150</v>
      </c>
      <c r="Q299" t="s">
        <v>28</v>
      </c>
      <c r="R299">
        <v>922.5</v>
      </c>
      <c r="S299">
        <v>6.15</v>
      </c>
      <c r="T299" t="s">
        <v>33</v>
      </c>
      <c r="U299" t="s">
        <v>618</v>
      </c>
      <c r="V299">
        <v>20</v>
      </c>
      <c r="W299">
        <v>2008</v>
      </c>
      <c r="X299" s="17">
        <v>45749</v>
      </c>
      <c r="Y299">
        <v>20512997</v>
      </c>
      <c r="Z299" t="s">
        <v>402</v>
      </c>
      <c r="AC299" s="6"/>
      <c r="AH299" s="8"/>
      <c r="AJ299" s="10"/>
      <c r="AK299" s="10"/>
    </row>
    <row r="300" spans="1:37" x14ac:dyDescent="0.3">
      <c r="A300" s="6">
        <v>45758</v>
      </c>
      <c r="B300" s="11">
        <v>45758</v>
      </c>
      <c r="C300">
        <v>20081920</v>
      </c>
      <c r="D300" t="s">
        <v>132</v>
      </c>
      <c r="E300" t="s">
        <v>313</v>
      </c>
      <c r="F300" t="s">
        <v>674</v>
      </c>
      <c r="G300" s="8">
        <v>100</v>
      </c>
      <c r="H300" t="s">
        <v>28</v>
      </c>
      <c r="I300" s="10">
        <v>1.6275999999999999</v>
      </c>
      <c r="J300" s="10">
        <v>162.76</v>
      </c>
      <c r="K300">
        <v>1.63</v>
      </c>
      <c r="L300" t="s">
        <v>315</v>
      </c>
      <c r="M300" t="s">
        <v>316</v>
      </c>
      <c r="N300" t="s">
        <v>317</v>
      </c>
      <c r="O300" t="s">
        <v>60</v>
      </c>
      <c r="P300">
        <v>100</v>
      </c>
      <c r="Q300" t="s">
        <v>28</v>
      </c>
      <c r="R300">
        <v>166</v>
      </c>
      <c r="S300">
        <v>1.66</v>
      </c>
      <c r="T300" t="s">
        <v>33</v>
      </c>
      <c r="U300" t="s">
        <v>576</v>
      </c>
      <c r="V300">
        <v>20</v>
      </c>
      <c r="W300">
        <v>2008</v>
      </c>
      <c r="X300" s="17">
        <v>45750</v>
      </c>
      <c r="Y300">
        <v>17622433</v>
      </c>
      <c r="Z300" t="s">
        <v>318</v>
      </c>
      <c r="AC300" s="6"/>
      <c r="AH300" s="8"/>
      <c r="AJ300" s="10"/>
      <c r="AK300" s="10"/>
    </row>
    <row r="301" spans="1:37" x14ac:dyDescent="0.3">
      <c r="A301" s="6">
        <v>45761</v>
      </c>
      <c r="B301" s="11">
        <v>45761</v>
      </c>
      <c r="C301">
        <v>12129990</v>
      </c>
      <c r="D301" t="s">
        <v>346</v>
      </c>
      <c r="E301" t="s">
        <v>47</v>
      </c>
      <c r="F301" t="s">
        <v>74</v>
      </c>
      <c r="G301" s="8">
        <v>295</v>
      </c>
      <c r="H301" t="s">
        <v>28</v>
      </c>
      <c r="I301" s="10">
        <v>4.7659322033898306</v>
      </c>
      <c r="J301" s="10">
        <v>1405.95</v>
      </c>
      <c r="K301">
        <v>4.7699999999999996</v>
      </c>
      <c r="L301" t="s">
        <v>75</v>
      </c>
      <c r="M301" t="s">
        <v>50</v>
      </c>
      <c r="N301" t="s">
        <v>51</v>
      </c>
      <c r="O301" t="s">
        <v>32</v>
      </c>
      <c r="P301">
        <v>295</v>
      </c>
      <c r="Q301" t="s">
        <v>28</v>
      </c>
      <c r="R301">
        <v>1121</v>
      </c>
      <c r="S301">
        <v>3.8</v>
      </c>
      <c r="T301" t="s">
        <v>52</v>
      </c>
      <c r="U301" t="s">
        <v>675</v>
      </c>
      <c r="V301">
        <v>12</v>
      </c>
      <c r="W301">
        <v>1212</v>
      </c>
      <c r="X301" s="17">
        <v>45751</v>
      </c>
      <c r="Y301">
        <v>18450596</v>
      </c>
      <c r="Z301" t="s">
        <v>53</v>
      </c>
      <c r="AC301" s="6"/>
      <c r="AH301" s="8"/>
      <c r="AJ301" s="10"/>
      <c r="AK301" s="10"/>
    </row>
    <row r="302" spans="1:37" x14ac:dyDescent="0.3">
      <c r="A302" s="6">
        <v>45762</v>
      </c>
      <c r="B302" s="11">
        <v>45762</v>
      </c>
      <c r="C302">
        <v>20081920</v>
      </c>
      <c r="D302" t="s">
        <v>132</v>
      </c>
      <c r="E302" t="s">
        <v>313</v>
      </c>
      <c r="F302" t="s">
        <v>540</v>
      </c>
      <c r="G302" s="8">
        <v>3000</v>
      </c>
      <c r="H302" t="s">
        <v>28</v>
      </c>
      <c r="I302" s="10">
        <v>1.43411</v>
      </c>
      <c r="J302" s="10">
        <v>4302.33</v>
      </c>
      <c r="K302">
        <v>1.43</v>
      </c>
      <c r="L302" t="s">
        <v>379</v>
      </c>
      <c r="M302" t="s">
        <v>316</v>
      </c>
      <c r="N302" t="s">
        <v>317</v>
      </c>
      <c r="O302" t="s">
        <v>60</v>
      </c>
      <c r="P302">
        <v>3000</v>
      </c>
      <c r="Q302" t="s">
        <v>28</v>
      </c>
      <c r="R302">
        <v>4320</v>
      </c>
      <c r="S302">
        <v>1.44</v>
      </c>
      <c r="T302" t="s">
        <v>33</v>
      </c>
      <c r="U302" t="s">
        <v>576</v>
      </c>
      <c r="V302">
        <v>20</v>
      </c>
      <c r="W302">
        <v>2008</v>
      </c>
      <c r="X302" s="17">
        <v>45752</v>
      </c>
      <c r="Y302">
        <v>18268572</v>
      </c>
      <c r="Z302" t="s">
        <v>318</v>
      </c>
      <c r="AC302" s="6"/>
      <c r="AH302" s="8"/>
      <c r="AJ302" s="10"/>
      <c r="AK302" s="10"/>
    </row>
    <row r="303" spans="1:37" x14ac:dyDescent="0.3">
      <c r="A303" s="6">
        <v>45763</v>
      </c>
      <c r="B303" s="11">
        <v>45763</v>
      </c>
      <c r="C303">
        <v>20081920</v>
      </c>
      <c r="D303" t="s">
        <v>676</v>
      </c>
      <c r="E303" t="s">
        <v>677</v>
      </c>
      <c r="F303" t="s">
        <v>678</v>
      </c>
      <c r="G303" s="8">
        <v>13</v>
      </c>
      <c r="H303" t="s">
        <v>28</v>
      </c>
      <c r="I303" s="10">
        <v>4.8153846153846152</v>
      </c>
      <c r="J303" s="10">
        <v>62.6</v>
      </c>
      <c r="K303">
        <v>4.82</v>
      </c>
      <c r="L303" t="s">
        <v>278</v>
      </c>
      <c r="M303" t="s">
        <v>67</v>
      </c>
      <c r="N303" t="s">
        <v>51</v>
      </c>
      <c r="O303" t="s">
        <v>32</v>
      </c>
      <c r="P303">
        <v>13</v>
      </c>
      <c r="Q303" t="s">
        <v>28</v>
      </c>
      <c r="R303">
        <v>63.83</v>
      </c>
      <c r="S303">
        <v>4.91</v>
      </c>
      <c r="T303" t="s">
        <v>33</v>
      </c>
      <c r="U303" t="s">
        <v>576</v>
      </c>
      <c r="V303">
        <v>20</v>
      </c>
      <c r="W303">
        <v>2008</v>
      </c>
      <c r="X303" s="17">
        <v>45753</v>
      </c>
      <c r="Y303">
        <v>17953337</v>
      </c>
      <c r="Z303" t="s">
        <v>679</v>
      </c>
      <c r="AC303" s="6"/>
      <c r="AH303" s="8"/>
      <c r="AJ303" s="10"/>
      <c r="AK303" s="10"/>
    </row>
    <row r="304" spans="1:37" x14ac:dyDescent="0.3">
      <c r="A304" s="6">
        <v>45764</v>
      </c>
      <c r="B304" s="11">
        <v>45764</v>
      </c>
      <c r="C304">
        <v>20081920</v>
      </c>
      <c r="D304" t="s">
        <v>132</v>
      </c>
      <c r="E304" t="s">
        <v>313</v>
      </c>
      <c r="F304" t="s">
        <v>521</v>
      </c>
      <c r="G304" s="8">
        <v>2500</v>
      </c>
      <c r="H304" t="s">
        <v>28</v>
      </c>
      <c r="I304" s="10">
        <v>1.4341120000000001</v>
      </c>
      <c r="J304" s="10">
        <v>3585.28</v>
      </c>
      <c r="K304">
        <v>1.43</v>
      </c>
      <c r="L304" t="s">
        <v>322</v>
      </c>
      <c r="M304" t="s">
        <v>316</v>
      </c>
      <c r="N304" t="s">
        <v>323</v>
      </c>
      <c r="O304" t="s">
        <v>60</v>
      </c>
      <c r="P304">
        <v>2500</v>
      </c>
      <c r="Q304" t="s">
        <v>28</v>
      </c>
      <c r="R304">
        <v>3600</v>
      </c>
      <c r="S304">
        <v>1.44</v>
      </c>
      <c r="T304" t="s">
        <v>33</v>
      </c>
      <c r="U304" t="s">
        <v>576</v>
      </c>
      <c r="V304">
        <v>20</v>
      </c>
      <c r="W304">
        <v>2008</v>
      </c>
      <c r="X304" s="17">
        <v>45754</v>
      </c>
      <c r="Y304">
        <v>20683855</v>
      </c>
      <c r="Z304" t="s">
        <v>318</v>
      </c>
      <c r="AC304" s="6"/>
      <c r="AH304" s="8"/>
      <c r="AJ304" s="10"/>
      <c r="AK304" s="10"/>
    </row>
    <row r="305" spans="1:37" x14ac:dyDescent="0.3">
      <c r="A305" s="6">
        <v>45765</v>
      </c>
      <c r="B305" s="11">
        <v>45765</v>
      </c>
      <c r="C305">
        <v>20081990</v>
      </c>
      <c r="D305" t="s">
        <v>680</v>
      </c>
      <c r="E305" t="s">
        <v>127</v>
      </c>
      <c r="F305" t="s">
        <v>79</v>
      </c>
      <c r="G305" s="8">
        <v>100</v>
      </c>
      <c r="H305" t="s">
        <v>28</v>
      </c>
      <c r="I305" s="10">
        <v>4.6974999999999998</v>
      </c>
      <c r="J305" s="10">
        <v>469.75</v>
      </c>
      <c r="K305">
        <v>4.7</v>
      </c>
      <c r="L305" t="s">
        <v>80</v>
      </c>
      <c r="M305" t="s">
        <v>81</v>
      </c>
      <c r="N305" t="s">
        <v>51</v>
      </c>
      <c r="O305" t="s">
        <v>32</v>
      </c>
      <c r="P305">
        <v>100</v>
      </c>
      <c r="Q305" t="s">
        <v>28</v>
      </c>
      <c r="R305">
        <v>479</v>
      </c>
      <c r="S305">
        <v>4.79</v>
      </c>
      <c r="T305" t="s">
        <v>33</v>
      </c>
      <c r="U305" t="s">
        <v>618</v>
      </c>
      <c r="V305">
        <v>20</v>
      </c>
      <c r="W305">
        <v>2008</v>
      </c>
      <c r="X305" s="17">
        <v>45755</v>
      </c>
      <c r="Y305">
        <v>17582924</v>
      </c>
      <c r="Z305" t="s">
        <v>130</v>
      </c>
      <c r="AC305" s="6"/>
      <c r="AH305" s="8"/>
      <c r="AJ305" s="10"/>
      <c r="AK305" s="10"/>
    </row>
    <row r="306" spans="1:37" x14ac:dyDescent="0.3">
      <c r="A306" s="6">
        <v>45769</v>
      </c>
      <c r="B306" s="11">
        <v>45769</v>
      </c>
      <c r="C306">
        <v>12079990</v>
      </c>
      <c r="D306" t="s">
        <v>681</v>
      </c>
      <c r="E306" t="s">
        <v>528</v>
      </c>
      <c r="F306" t="s">
        <v>529</v>
      </c>
      <c r="G306" s="8">
        <v>20</v>
      </c>
      <c r="H306" t="s">
        <v>28</v>
      </c>
      <c r="I306" s="10">
        <v>7.4079999999999986</v>
      </c>
      <c r="J306" s="10">
        <v>148.16</v>
      </c>
      <c r="K306">
        <v>7.41</v>
      </c>
      <c r="L306" t="s">
        <v>278</v>
      </c>
      <c r="M306" t="s">
        <v>67</v>
      </c>
      <c r="N306" t="s">
        <v>42</v>
      </c>
      <c r="O306" t="s">
        <v>32</v>
      </c>
      <c r="P306">
        <v>20</v>
      </c>
      <c r="Q306" t="s">
        <v>28</v>
      </c>
      <c r="R306">
        <v>196</v>
      </c>
      <c r="S306">
        <v>9.8000000000000007</v>
      </c>
      <c r="T306" t="s">
        <v>448</v>
      </c>
      <c r="U306" t="s">
        <v>682</v>
      </c>
      <c r="V306">
        <v>12</v>
      </c>
      <c r="W306">
        <v>1207</v>
      </c>
      <c r="X306" s="17">
        <v>45756</v>
      </c>
      <c r="Y306">
        <v>18726231</v>
      </c>
      <c r="Z306" t="s">
        <v>530</v>
      </c>
      <c r="AC306" s="6"/>
      <c r="AH306" s="8"/>
      <c r="AJ306" s="10"/>
      <c r="AK306" s="10"/>
    </row>
    <row r="307" spans="1:37" x14ac:dyDescent="0.3">
      <c r="A307" s="6">
        <v>45770</v>
      </c>
      <c r="B307" s="11">
        <v>45770</v>
      </c>
      <c r="C307">
        <v>9109990</v>
      </c>
      <c r="D307" t="s">
        <v>177</v>
      </c>
      <c r="E307" t="s">
        <v>154</v>
      </c>
      <c r="F307" t="s">
        <v>79</v>
      </c>
      <c r="G307" s="8">
        <v>38.4</v>
      </c>
      <c r="H307" t="s">
        <v>28</v>
      </c>
      <c r="I307" s="10">
        <v>5.9276041666666668</v>
      </c>
      <c r="J307" s="10">
        <v>227.62</v>
      </c>
      <c r="K307">
        <v>5.93</v>
      </c>
      <c r="L307" t="s">
        <v>278</v>
      </c>
      <c r="M307" t="s">
        <v>67</v>
      </c>
      <c r="N307" t="s">
        <v>51</v>
      </c>
      <c r="O307" t="s">
        <v>32</v>
      </c>
      <c r="P307">
        <v>38.4</v>
      </c>
      <c r="Q307" t="s">
        <v>28</v>
      </c>
      <c r="R307">
        <v>233.47</v>
      </c>
      <c r="S307">
        <v>6.08</v>
      </c>
      <c r="T307" t="s">
        <v>33</v>
      </c>
      <c r="U307" t="s">
        <v>683</v>
      </c>
      <c r="V307">
        <v>9</v>
      </c>
      <c r="W307">
        <v>910</v>
      </c>
      <c r="X307" s="17">
        <v>45757</v>
      </c>
      <c r="Y307">
        <v>18800742</v>
      </c>
      <c r="Z307" t="s">
        <v>158</v>
      </c>
      <c r="AC307" s="6"/>
      <c r="AH307" s="8"/>
      <c r="AJ307" s="10"/>
      <c r="AK307" s="10"/>
    </row>
    <row r="308" spans="1:37" x14ac:dyDescent="0.3">
      <c r="A308" s="6">
        <v>45770</v>
      </c>
      <c r="B308" s="11">
        <v>45770</v>
      </c>
      <c r="C308">
        <v>20081920</v>
      </c>
      <c r="D308" t="s">
        <v>132</v>
      </c>
      <c r="E308" t="s">
        <v>313</v>
      </c>
      <c r="F308" t="s">
        <v>579</v>
      </c>
      <c r="G308" s="8">
        <v>2000</v>
      </c>
      <c r="H308" t="s">
        <v>28</v>
      </c>
      <c r="I308" s="10">
        <v>1.437495</v>
      </c>
      <c r="J308" s="10">
        <v>2874.99</v>
      </c>
      <c r="K308">
        <v>1.44</v>
      </c>
      <c r="L308" t="s">
        <v>315</v>
      </c>
      <c r="M308" t="s">
        <v>316</v>
      </c>
      <c r="N308" t="s">
        <v>317</v>
      </c>
      <c r="O308" t="s">
        <v>60</v>
      </c>
      <c r="P308">
        <v>2000</v>
      </c>
      <c r="Q308" t="s">
        <v>28</v>
      </c>
      <c r="R308">
        <v>244000</v>
      </c>
      <c r="S308">
        <v>122</v>
      </c>
      <c r="T308" t="s">
        <v>114</v>
      </c>
      <c r="U308" t="s">
        <v>576</v>
      </c>
      <c r="V308">
        <v>20</v>
      </c>
      <c r="W308">
        <v>2008</v>
      </c>
      <c r="X308" s="17">
        <v>45758</v>
      </c>
      <c r="Y308">
        <v>19315265</v>
      </c>
      <c r="Z308" t="s">
        <v>318</v>
      </c>
      <c r="AC308" s="6"/>
      <c r="AH308" s="8"/>
      <c r="AJ308" s="10"/>
      <c r="AK308" s="10"/>
    </row>
    <row r="309" spans="1:37" x14ac:dyDescent="0.3">
      <c r="A309" s="6">
        <v>45771</v>
      </c>
      <c r="B309" s="11">
        <v>45771</v>
      </c>
      <c r="C309">
        <v>20081990</v>
      </c>
      <c r="D309" t="s">
        <v>660</v>
      </c>
      <c r="E309" t="s">
        <v>661</v>
      </c>
      <c r="F309" t="s">
        <v>662</v>
      </c>
      <c r="G309" s="8">
        <v>50</v>
      </c>
      <c r="H309" t="s">
        <v>28</v>
      </c>
      <c r="I309" s="10">
        <v>3.4712000000000001</v>
      </c>
      <c r="J309" s="10">
        <v>173.56</v>
      </c>
      <c r="K309">
        <v>3.47</v>
      </c>
      <c r="L309" t="s">
        <v>465</v>
      </c>
      <c r="M309" t="s">
        <v>136</v>
      </c>
      <c r="N309" t="s">
        <v>466</v>
      </c>
      <c r="O309" t="s">
        <v>60</v>
      </c>
      <c r="P309">
        <v>50</v>
      </c>
      <c r="Q309" t="s">
        <v>28</v>
      </c>
      <c r="R309">
        <v>15000</v>
      </c>
      <c r="S309">
        <v>300</v>
      </c>
      <c r="T309" t="s">
        <v>114</v>
      </c>
      <c r="U309" t="s">
        <v>618</v>
      </c>
      <c r="V309">
        <v>20</v>
      </c>
      <c r="W309">
        <v>2008</v>
      </c>
      <c r="X309" s="17">
        <v>45759</v>
      </c>
      <c r="Y309">
        <v>19797870</v>
      </c>
      <c r="Z309" t="s">
        <v>663</v>
      </c>
      <c r="AC309" s="6"/>
      <c r="AH309" s="8"/>
      <c r="AJ309" s="10"/>
      <c r="AK309" s="10"/>
    </row>
    <row r="310" spans="1:37" x14ac:dyDescent="0.3">
      <c r="A310" s="6">
        <v>45772</v>
      </c>
      <c r="B310" s="11">
        <v>45772</v>
      </c>
      <c r="C310">
        <v>20081920</v>
      </c>
      <c r="D310" t="s">
        <v>684</v>
      </c>
      <c r="E310" t="s">
        <v>557</v>
      </c>
      <c r="F310" t="s">
        <v>79</v>
      </c>
      <c r="G310" s="8">
        <v>20</v>
      </c>
      <c r="H310" t="s">
        <v>28</v>
      </c>
      <c r="I310" s="10">
        <v>7.0664999999999996</v>
      </c>
      <c r="J310" s="10">
        <v>141.33000000000001</v>
      </c>
      <c r="K310">
        <v>7.07</v>
      </c>
      <c r="L310" t="s">
        <v>558</v>
      </c>
      <c r="M310" t="s">
        <v>162</v>
      </c>
      <c r="N310" t="s">
        <v>559</v>
      </c>
      <c r="O310" t="s">
        <v>32</v>
      </c>
      <c r="P310">
        <v>20</v>
      </c>
      <c r="Q310" t="s">
        <v>28</v>
      </c>
      <c r="R310">
        <v>144.6</v>
      </c>
      <c r="S310">
        <v>7.23</v>
      </c>
      <c r="T310" t="s">
        <v>33</v>
      </c>
      <c r="U310" t="s">
        <v>576</v>
      </c>
      <c r="V310">
        <v>20</v>
      </c>
      <c r="W310">
        <v>2008</v>
      </c>
      <c r="X310" s="17">
        <v>45760</v>
      </c>
      <c r="Y310">
        <v>20528478</v>
      </c>
      <c r="Z310" t="s">
        <v>560</v>
      </c>
      <c r="AC310" s="6"/>
      <c r="AH310" s="8"/>
      <c r="AJ310" s="10"/>
      <c r="AK310" s="10"/>
    </row>
    <row r="311" spans="1:37" x14ac:dyDescent="0.3">
      <c r="A311" s="6">
        <v>45773</v>
      </c>
      <c r="B311" s="11">
        <v>45773</v>
      </c>
      <c r="C311">
        <v>20081920</v>
      </c>
      <c r="D311" t="s">
        <v>685</v>
      </c>
      <c r="E311" t="s">
        <v>38</v>
      </c>
      <c r="F311" t="s">
        <v>434</v>
      </c>
      <c r="G311" s="8">
        <v>2000</v>
      </c>
      <c r="H311" t="s">
        <v>28</v>
      </c>
      <c r="I311" s="10">
        <v>2.0109699999999999</v>
      </c>
      <c r="J311" s="10">
        <v>4021.94</v>
      </c>
      <c r="K311">
        <v>2010.97</v>
      </c>
      <c r="L311" t="s">
        <v>40</v>
      </c>
      <c r="M311" t="s">
        <v>41</v>
      </c>
      <c r="N311" t="s">
        <v>42</v>
      </c>
      <c r="O311" t="s">
        <v>32</v>
      </c>
      <c r="P311">
        <v>2</v>
      </c>
      <c r="Q311" t="s">
        <v>43</v>
      </c>
      <c r="R311">
        <v>4120</v>
      </c>
      <c r="S311">
        <v>2060</v>
      </c>
      <c r="T311" t="s">
        <v>33</v>
      </c>
      <c r="U311" t="s">
        <v>686</v>
      </c>
      <c r="V311">
        <v>20</v>
      </c>
      <c r="W311">
        <v>2008</v>
      </c>
      <c r="X311" s="17">
        <v>45761</v>
      </c>
      <c r="Y311">
        <v>18983678</v>
      </c>
      <c r="Z311" t="s">
        <v>45</v>
      </c>
      <c r="AC311" s="6"/>
      <c r="AH311" s="8"/>
      <c r="AJ311" s="10"/>
      <c r="AK311" s="10"/>
    </row>
    <row r="312" spans="1:37" x14ac:dyDescent="0.3">
      <c r="A312" s="6">
        <v>45777</v>
      </c>
      <c r="B312" s="11">
        <v>45777</v>
      </c>
      <c r="C312">
        <v>20081910</v>
      </c>
      <c r="D312" t="s">
        <v>177</v>
      </c>
      <c r="E312" t="s">
        <v>313</v>
      </c>
      <c r="F312" t="s">
        <v>534</v>
      </c>
      <c r="G312" s="8">
        <v>2050</v>
      </c>
      <c r="H312" t="s">
        <v>28</v>
      </c>
      <c r="I312" s="10">
        <v>1.142926829268293</v>
      </c>
      <c r="J312" s="10">
        <v>2343</v>
      </c>
      <c r="K312">
        <v>1.1399999999999999</v>
      </c>
      <c r="L312" t="s">
        <v>379</v>
      </c>
      <c r="M312" t="s">
        <v>316</v>
      </c>
      <c r="N312" t="s">
        <v>317</v>
      </c>
      <c r="O312" t="s">
        <v>60</v>
      </c>
      <c r="P312">
        <v>2050</v>
      </c>
      <c r="Q312" t="s">
        <v>28</v>
      </c>
      <c r="R312">
        <v>198850</v>
      </c>
      <c r="S312">
        <v>97</v>
      </c>
      <c r="T312" t="s">
        <v>114</v>
      </c>
      <c r="U312" t="s">
        <v>687</v>
      </c>
      <c r="V312">
        <v>20</v>
      </c>
      <c r="W312">
        <v>2008</v>
      </c>
      <c r="X312" s="17">
        <v>45762</v>
      </c>
      <c r="Y312">
        <v>18790321</v>
      </c>
      <c r="Z312" t="s">
        <v>318</v>
      </c>
      <c r="AC312" s="6"/>
      <c r="AH312" s="8"/>
      <c r="AJ312" s="10"/>
      <c r="AK312" s="10"/>
    </row>
    <row r="313" spans="1:37" x14ac:dyDescent="0.3">
      <c r="A313" s="6">
        <v>45777</v>
      </c>
      <c r="B313" s="11">
        <v>45777</v>
      </c>
      <c r="C313">
        <v>20081910</v>
      </c>
      <c r="D313" t="s">
        <v>688</v>
      </c>
      <c r="E313" t="s">
        <v>313</v>
      </c>
      <c r="F313" t="s">
        <v>521</v>
      </c>
      <c r="G313" s="8">
        <v>500</v>
      </c>
      <c r="H313" t="s">
        <v>28</v>
      </c>
      <c r="I313" s="10">
        <v>1.4115800000000001</v>
      </c>
      <c r="J313" s="10">
        <v>705.79</v>
      </c>
      <c r="K313">
        <v>1.41</v>
      </c>
      <c r="L313" t="s">
        <v>322</v>
      </c>
      <c r="M313" t="s">
        <v>316</v>
      </c>
      <c r="N313" t="s">
        <v>323</v>
      </c>
      <c r="O313" t="s">
        <v>60</v>
      </c>
      <c r="P313">
        <v>500</v>
      </c>
      <c r="Q313" t="s">
        <v>28</v>
      </c>
      <c r="R313">
        <v>61000</v>
      </c>
      <c r="S313">
        <v>122</v>
      </c>
      <c r="T313" t="s">
        <v>114</v>
      </c>
      <c r="U313" t="s">
        <v>687</v>
      </c>
      <c r="V313">
        <v>20</v>
      </c>
      <c r="W313">
        <v>2008</v>
      </c>
      <c r="X313" s="17">
        <v>45763</v>
      </c>
      <c r="Y313">
        <v>20683817</v>
      </c>
      <c r="Z313" t="s">
        <v>318</v>
      </c>
      <c r="AC313" s="6"/>
      <c r="AH313" s="8"/>
      <c r="AJ313" s="10"/>
      <c r="AK313" s="10"/>
    </row>
    <row r="314" spans="1:37" x14ac:dyDescent="0.3">
      <c r="A314" s="6">
        <v>45777</v>
      </c>
      <c r="B314" s="11">
        <v>45777</v>
      </c>
      <c r="C314">
        <v>20081910</v>
      </c>
      <c r="D314" t="s">
        <v>177</v>
      </c>
      <c r="E314" t="s">
        <v>313</v>
      </c>
      <c r="F314" t="s">
        <v>533</v>
      </c>
      <c r="G314" s="8">
        <v>2050</v>
      </c>
      <c r="H314" t="s">
        <v>28</v>
      </c>
      <c r="I314" s="10">
        <v>1.142926829268293</v>
      </c>
      <c r="J314" s="10">
        <v>2343</v>
      </c>
      <c r="K314">
        <v>1.1399999999999999</v>
      </c>
      <c r="L314" t="s">
        <v>379</v>
      </c>
      <c r="M314" t="s">
        <v>316</v>
      </c>
      <c r="N314" t="s">
        <v>317</v>
      </c>
      <c r="O314" t="s">
        <v>60</v>
      </c>
      <c r="P314">
        <v>2050</v>
      </c>
      <c r="Q314" t="s">
        <v>28</v>
      </c>
      <c r="R314">
        <v>198850</v>
      </c>
      <c r="S314">
        <v>97</v>
      </c>
      <c r="T314" t="s">
        <v>114</v>
      </c>
      <c r="U314" t="s">
        <v>687</v>
      </c>
      <c r="V314">
        <v>20</v>
      </c>
      <c r="W314">
        <v>2008</v>
      </c>
      <c r="X314" s="17">
        <v>45764</v>
      </c>
      <c r="Y314">
        <v>19209504</v>
      </c>
      <c r="Z314" t="s">
        <v>318</v>
      </c>
      <c r="AC314" s="6"/>
      <c r="AH314" s="8"/>
      <c r="AJ314" s="10"/>
      <c r="AK314" s="10"/>
    </row>
    <row r="315" spans="1:37" x14ac:dyDescent="0.3">
      <c r="A315" s="6">
        <v>45782</v>
      </c>
      <c r="B315" s="11">
        <v>45782</v>
      </c>
      <c r="C315">
        <v>20081991</v>
      </c>
      <c r="D315" t="s">
        <v>132</v>
      </c>
      <c r="E315" t="s">
        <v>689</v>
      </c>
      <c r="F315" t="s">
        <v>205</v>
      </c>
      <c r="G315" s="8">
        <v>100</v>
      </c>
      <c r="H315" t="s">
        <v>28</v>
      </c>
      <c r="I315" s="10">
        <v>6.6715</v>
      </c>
      <c r="J315" s="10">
        <v>667.15</v>
      </c>
      <c r="K315">
        <v>6.67</v>
      </c>
      <c r="L315" t="s">
        <v>40</v>
      </c>
      <c r="M315" t="s">
        <v>41</v>
      </c>
      <c r="N315" t="s">
        <v>51</v>
      </c>
      <c r="O315" t="s">
        <v>32</v>
      </c>
      <c r="P315">
        <v>100</v>
      </c>
      <c r="Q315" t="s">
        <v>28</v>
      </c>
      <c r="R315">
        <v>689</v>
      </c>
      <c r="S315">
        <v>6.89</v>
      </c>
      <c r="T315" t="s">
        <v>33</v>
      </c>
      <c r="U315" t="s">
        <v>690</v>
      </c>
      <c r="V315">
        <v>20</v>
      </c>
      <c r="W315">
        <v>2008</v>
      </c>
      <c r="X315" s="17">
        <v>45778</v>
      </c>
      <c r="Y315">
        <v>21381403</v>
      </c>
      <c r="Z315" t="s">
        <v>692</v>
      </c>
      <c r="AC315" s="6"/>
      <c r="AH315" s="8"/>
      <c r="AJ315" s="10"/>
      <c r="AK315" s="10"/>
    </row>
    <row r="316" spans="1:37" x14ac:dyDescent="0.3">
      <c r="A316" s="6">
        <v>45782</v>
      </c>
      <c r="B316" s="11">
        <v>45782</v>
      </c>
      <c r="C316">
        <v>7099310</v>
      </c>
      <c r="D316" t="s">
        <v>132</v>
      </c>
      <c r="E316" t="s">
        <v>633</v>
      </c>
      <c r="F316" t="s">
        <v>636</v>
      </c>
      <c r="G316" s="8">
        <v>25</v>
      </c>
      <c r="H316" t="s">
        <v>28</v>
      </c>
      <c r="I316" s="10">
        <v>370.15879999999999</v>
      </c>
      <c r="J316" s="10">
        <v>9253.9699999999993</v>
      </c>
      <c r="K316">
        <v>370.16</v>
      </c>
      <c r="L316" t="s">
        <v>379</v>
      </c>
      <c r="M316" t="s">
        <v>316</v>
      </c>
      <c r="N316" t="s">
        <v>317</v>
      </c>
      <c r="O316" t="s">
        <v>60</v>
      </c>
      <c r="P316">
        <v>25</v>
      </c>
      <c r="Q316" t="s">
        <v>28</v>
      </c>
      <c r="R316">
        <v>777500</v>
      </c>
      <c r="S316">
        <v>31100</v>
      </c>
      <c r="T316" t="s">
        <v>114</v>
      </c>
      <c r="U316" t="s">
        <v>637</v>
      </c>
      <c r="V316">
        <v>7</v>
      </c>
      <c r="W316">
        <v>709</v>
      </c>
      <c r="X316" s="17">
        <v>45779</v>
      </c>
      <c r="Y316">
        <v>22119996</v>
      </c>
      <c r="Z316" t="s">
        <v>635</v>
      </c>
      <c r="AC316" s="6"/>
      <c r="AH316" s="8"/>
      <c r="AJ316" s="10"/>
      <c r="AK316" s="10"/>
    </row>
    <row r="317" spans="1:37" x14ac:dyDescent="0.3">
      <c r="A317" s="6">
        <v>45783</v>
      </c>
      <c r="B317" s="11">
        <v>45783</v>
      </c>
      <c r="C317">
        <v>12077090</v>
      </c>
      <c r="D317" t="s">
        <v>693</v>
      </c>
      <c r="E317" t="s">
        <v>694</v>
      </c>
      <c r="F317" t="s">
        <v>695</v>
      </c>
      <c r="G317" s="8">
        <v>25.16</v>
      </c>
      <c r="H317" t="s">
        <v>28</v>
      </c>
      <c r="I317" s="10">
        <v>11.804451510333861</v>
      </c>
      <c r="J317" s="10">
        <v>297</v>
      </c>
      <c r="K317">
        <v>11.8</v>
      </c>
      <c r="L317" t="s">
        <v>476</v>
      </c>
      <c r="M317" t="s">
        <v>316</v>
      </c>
      <c r="N317" t="s">
        <v>477</v>
      </c>
      <c r="O317" t="s">
        <v>60</v>
      </c>
      <c r="P317">
        <v>25.16</v>
      </c>
      <c r="Q317" t="s">
        <v>28</v>
      </c>
      <c r="R317">
        <v>25411.599999999999</v>
      </c>
      <c r="S317">
        <v>1010</v>
      </c>
      <c r="T317" t="s">
        <v>114</v>
      </c>
      <c r="U317" t="s">
        <v>696</v>
      </c>
      <c r="V317">
        <v>12</v>
      </c>
      <c r="W317">
        <v>1207</v>
      </c>
      <c r="X317" s="17">
        <v>45780</v>
      </c>
      <c r="Y317">
        <v>25854954</v>
      </c>
      <c r="Z317" t="s">
        <v>697</v>
      </c>
      <c r="AC317" s="6"/>
      <c r="AH317" s="8"/>
      <c r="AJ317" s="10"/>
      <c r="AK317" s="10"/>
    </row>
    <row r="318" spans="1:37" x14ac:dyDescent="0.3">
      <c r="A318" s="6">
        <v>45784</v>
      </c>
      <c r="B318" s="11">
        <v>45784</v>
      </c>
      <c r="C318">
        <v>20081991</v>
      </c>
      <c r="D318" t="s">
        <v>698</v>
      </c>
      <c r="E318" t="s">
        <v>581</v>
      </c>
      <c r="F318" t="s">
        <v>699</v>
      </c>
      <c r="G318" s="8">
        <v>100</v>
      </c>
      <c r="H318" t="s">
        <v>28</v>
      </c>
      <c r="I318" s="10">
        <v>6.37</v>
      </c>
      <c r="J318" s="10">
        <v>637</v>
      </c>
      <c r="K318">
        <v>6.37</v>
      </c>
      <c r="L318" t="s">
        <v>583</v>
      </c>
      <c r="M318" t="s">
        <v>343</v>
      </c>
      <c r="N318" t="s">
        <v>89</v>
      </c>
      <c r="O318" t="s">
        <v>32</v>
      </c>
      <c r="P318">
        <v>100</v>
      </c>
      <c r="Q318" t="s">
        <v>28</v>
      </c>
      <c r="R318">
        <v>650</v>
      </c>
      <c r="S318">
        <v>6.5</v>
      </c>
      <c r="T318" t="s">
        <v>33</v>
      </c>
      <c r="U318" t="s">
        <v>690</v>
      </c>
      <c r="V318">
        <v>20</v>
      </c>
      <c r="W318">
        <v>2008</v>
      </c>
      <c r="X318" s="17">
        <v>45781</v>
      </c>
      <c r="Y318">
        <v>21851368</v>
      </c>
      <c r="Z318" t="s">
        <v>584</v>
      </c>
      <c r="AC318" s="6"/>
      <c r="AH318" s="8"/>
      <c r="AJ318" s="10"/>
      <c r="AK318" s="10"/>
    </row>
    <row r="319" spans="1:37" x14ac:dyDescent="0.3">
      <c r="A319" s="6">
        <v>45785</v>
      </c>
      <c r="B319" s="11">
        <v>45785</v>
      </c>
      <c r="C319">
        <v>20081910</v>
      </c>
      <c r="D319" t="s">
        <v>177</v>
      </c>
      <c r="E319" t="s">
        <v>435</v>
      </c>
      <c r="F319" t="s">
        <v>436</v>
      </c>
      <c r="G319" s="8">
        <v>100</v>
      </c>
      <c r="H319" t="s">
        <v>28</v>
      </c>
      <c r="I319" s="10">
        <v>1.1688000000000001</v>
      </c>
      <c r="J319" s="10">
        <v>116.88</v>
      </c>
      <c r="K319">
        <v>1.17</v>
      </c>
      <c r="L319" t="s">
        <v>315</v>
      </c>
      <c r="M319" t="s">
        <v>316</v>
      </c>
      <c r="N319" t="s">
        <v>317</v>
      </c>
      <c r="O319" t="s">
        <v>60</v>
      </c>
      <c r="P319">
        <v>100</v>
      </c>
      <c r="Q319" t="s">
        <v>28</v>
      </c>
      <c r="R319">
        <v>10000</v>
      </c>
      <c r="S319">
        <v>100</v>
      </c>
      <c r="T319" t="s">
        <v>114</v>
      </c>
      <c r="U319" t="s">
        <v>687</v>
      </c>
      <c r="V319">
        <v>20</v>
      </c>
      <c r="W319">
        <v>2008</v>
      </c>
      <c r="X319" s="17">
        <v>45782</v>
      </c>
      <c r="Y319">
        <v>21549964</v>
      </c>
      <c r="Z319" t="s">
        <v>437</v>
      </c>
      <c r="AC319" s="6"/>
      <c r="AH319" s="8"/>
      <c r="AJ319" s="10"/>
      <c r="AK319" s="10"/>
    </row>
    <row r="320" spans="1:37" x14ac:dyDescent="0.3">
      <c r="A320" s="6">
        <v>45787</v>
      </c>
      <c r="B320" s="11">
        <v>45787</v>
      </c>
      <c r="C320">
        <v>20081991</v>
      </c>
      <c r="D320" t="s">
        <v>700</v>
      </c>
      <c r="E320" t="s">
        <v>566</v>
      </c>
      <c r="F320" t="s">
        <v>311</v>
      </c>
      <c r="G320" s="8">
        <v>11</v>
      </c>
      <c r="H320" t="s">
        <v>28</v>
      </c>
      <c r="I320" s="10">
        <v>7.3927272727272717</v>
      </c>
      <c r="J320" s="10">
        <v>81.319999999999993</v>
      </c>
      <c r="K320">
        <v>7.39</v>
      </c>
      <c r="L320" t="s">
        <v>135</v>
      </c>
      <c r="M320" t="s">
        <v>136</v>
      </c>
      <c r="N320" t="s">
        <v>137</v>
      </c>
      <c r="O320" t="s">
        <v>60</v>
      </c>
      <c r="P320">
        <v>11</v>
      </c>
      <c r="Q320" t="s">
        <v>28</v>
      </c>
      <c r="R320">
        <v>6957.5</v>
      </c>
      <c r="S320">
        <v>632.5</v>
      </c>
      <c r="T320" t="s">
        <v>114</v>
      </c>
      <c r="U320" t="s">
        <v>690</v>
      </c>
      <c r="V320">
        <v>20</v>
      </c>
      <c r="W320">
        <v>2008</v>
      </c>
      <c r="X320" s="17">
        <v>45783</v>
      </c>
      <c r="Y320">
        <v>26220418</v>
      </c>
      <c r="Z320" t="s">
        <v>568</v>
      </c>
      <c r="AC320" s="6"/>
      <c r="AH320" s="8"/>
      <c r="AJ320" s="10"/>
      <c r="AK320" s="10"/>
    </row>
    <row r="321" spans="1:37" x14ac:dyDescent="0.3">
      <c r="A321" s="6">
        <v>45787</v>
      </c>
      <c r="B321" s="11">
        <v>45787</v>
      </c>
      <c r="C321">
        <v>12129990</v>
      </c>
      <c r="D321" t="s">
        <v>177</v>
      </c>
      <c r="E321" t="s">
        <v>495</v>
      </c>
      <c r="F321" t="s">
        <v>79</v>
      </c>
      <c r="G321" s="8">
        <v>75</v>
      </c>
      <c r="H321" t="s">
        <v>28</v>
      </c>
      <c r="I321" s="10">
        <v>5.2568000000000001</v>
      </c>
      <c r="J321" s="10">
        <v>394.26</v>
      </c>
      <c r="K321">
        <v>5.26</v>
      </c>
      <c r="L321" t="s">
        <v>496</v>
      </c>
      <c r="M321" t="s">
        <v>497</v>
      </c>
      <c r="N321" t="s">
        <v>51</v>
      </c>
      <c r="O321" t="s">
        <v>32</v>
      </c>
      <c r="P321">
        <v>75</v>
      </c>
      <c r="Q321" t="s">
        <v>28</v>
      </c>
      <c r="R321">
        <v>405</v>
      </c>
      <c r="S321">
        <v>5.4</v>
      </c>
      <c r="T321" t="s">
        <v>33</v>
      </c>
      <c r="U321" t="s">
        <v>675</v>
      </c>
      <c r="V321">
        <v>12</v>
      </c>
      <c r="W321">
        <v>1212</v>
      </c>
      <c r="X321" s="17">
        <v>45784</v>
      </c>
      <c r="Y321">
        <v>22296817</v>
      </c>
      <c r="Z321" t="s">
        <v>498</v>
      </c>
      <c r="AC321" s="6"/>
      <c r="AH321" s="8"/>
      <c r="AJ321" s="10"/>
      <c r="AK321" s="10"/>
    </row>
    <row r="322" spans="1:37" x14ac:dyDescent="0.3">
      <c r="A322" s="6">
        <v>45791</v>
      </c>
      <c r="B322" s="11">
        <v>45791</v>
      </c>
      <c r="C322">
        <v>20081910</v>
      </c>
      <c r="D322" t="s">
        <v>177</v>
      </c>
      <c r="E322" t="s">
        <v>403</v>
      </c>
      <c r="F322" t="s">
        <v>701</v>
      </c>
      <c r="G322" s="8">
        <v>50</v>
      </c>
      <c r="H322" t="s">
        <v>28</v>
      </c>
      <c r="I322" s="10">
        <v>1.6548</v>
      </c>
      <c r="J322" s="10">
        <v>82.74</v>
      </c>
      <c r="K322">
        <v>1.65</v>
      </c>
      <c r="L322" t="s">
        <v>315</v>
      </c>
      <c r="M322" t="s">
        <v>316</v>
      </c>
      <c r="N322" t="s">
        <v>317</v>
      </c>
      <c r="O322" t="s">
        <v>60</v>
      </c>
      <c r="P322">
        <v>50</v>
      </c>
      <c r="Q322" t="s">
        <v>28</v>
      </c>
      <c r="R322">
        <v>7050</v>
      </c>
      <c r="S322">
        <v>141</v>
      </c>
      <c r="T322" t="s">
        <v>114</v>
      </c>
      <c r="U322" t="s">
        <v>687</v>
      </c>
      <c r="V322">
        <v>20</v>
      </c>
      <c r="W322">
        <v>2008</v>
      </c>
      <c r="X322" s="17">
        <v>45785</v>
      </c>
      <c r="Y322">
        <v>22718508</v>
      </c>
      <c r="Z322" t="s">
        <v>405</v>
      </c>
      <c r="AC322" s="6"/>
      <c r="AH322" s="8"/>
      <c r="AJ322" s="10"/>
      <c r="AK322" s="10"/>
    </row>
    <row r="323" spans="1:37" x14ac:dyDescent="0.3">
      <c r="A323" s="6">
        <v>45792</v>
      </c>
      <c r="B323" s="11">
        <v>45792</v>
      </c>
      <c r="C323">
        <v>20081991</v>
      </c>
      <c r="D323" t="s">
        <v>702</v>
      </c>
      <c r="E323" t="s">
        <v>703</v>
      </c>
      <c r="F323" t="s">
        <v>79</v>
      </c>
      <c r="G323" s="8">
        <v>96</v>
      </c>
      <c r="H323" t="s">
        <v>28</v>
      </c>
      <c r="I323" s="10">
        <v>4.5464583333333328</v>
      </c>
      <c r="J323" s="10">
        <v>436.46</v>
      </c>
      <c r="K323">
        <v>4.55</v>
      </c>
      <c r="L323" t="s">
        <v>419</v>
      </c>
      <c r="M323" t="s">
        <v>88</v>
      </c>
      <c r="N323" t="s">
        <v>89</v>
      </c>
      <c r="O323" t="s">
        <v>32</v>
      </c>
      <c r="P323">
        <v>96</v>
      </c>
      <c r="Q323" t="s">
        <v>28</v>
      </c>
      <c r="R323">
        <v>645.12</v>
      </c>
      <c r="S323">
        <v>6.72</v>
      </c>
      <c r="T323" t="s">
        <v>90</v>
      </c>
      <c r="U323" t="s">
        <v>690</v>
      </c>
      <c r="V323">
        <v>20</v>
      </c>
      <c r="W323">
        <v>2008</v>
      </c>
      <c r="X323" s="17">
        <v>45786</v>
      </c>
      <c r="Y323">
        <v>23440125</v>
      </c>
      <c r="Z323" t="s">
        <v>704</v>
      </c>
      <c r="AC323" s="6"/>
      <c r="AH323" s="8"/>
      <c r="AJ323" s="10"/>
      <c r="AK323" s="10"/>
    </row>
    <row r="324" spans="1:37" x14ac:dyDescent="0.3">
      <c r="A324" s="6">
        <v>45792</v>
      </c>
      <c r="B324" s="11">
        <v>45792</v>
      </c>
      <c r="C324">
        <v>20081910</v>
      </c>
      <c r="D324" t="s">
        <v>132</v>
      </c>
      <c r="E324" t="s">
        <v>313</v>
      </c>
      <c r="F324" t="s">
        <v>514</v>
      </c>
      <c r="G324" s="8">
        <v>450</v>
      </c>
      <c r="H324" t="s">
        <v>28</v>
      </c>
      <c r="I324" s="10">
        <v>1.122311111111111</v>
      </c>
      <c r="J324" s="10">
        <v>505.04</v>
      </c>
      <c r="K324">
        <v>1.1200000000000001</v>
      </c>
      <c r="L324" t="s">
        <v>379</v>
      </c>
      <c r="M324" t="s">
        <v>316</v>
      </c>
      <c r="N324" t="s">
        <v>317</v>
      </c>
      <c r="O324" t="s">
        <v>60</v>
      </c>
      <c r="P324">
        <v>450</v>
      </c>
      <c r="Q324" t="s">
        <v>28</v>
      </c>
      <c r="R324">
        <v>43650</v>
      </c>
      <c r="S324">
        <v>97</v>
      </c>
      <c r="T324" t="s">
        <v>114</v>
      </c>
      <c r="U324" t="s">
        <v>687</v>
      </c>
      <c r="V324">
        <v>20</v>
      </c>
      <c r="W324">
        <v>2008</v>
      </c>
      <c r="X324" s="17">
        <v>45787</v>
      </c>
      <c r="Y324">
        <v>22575553</v>
      </c>
      <c r="Z324" t="s">
        <v>318</v>
      </c>
      <c r="AC324" s="6"/>
      <c r="AH324" s="8"/>
      <c r="AJ324" s="10"/>
      <c r="AK324" s="10"/>
    </row>
    <row r="325" spans="1:37" x14ac:dyDescent="0.3">
      <c r="A325" s="6">
        <v>45792</v>
      </c>
      <c r="B325" s="11">
        <v>45792</v>
      </c>
      <c r="C325">
        <v>20081910</v>
      </c>
      <c r="D325" t="s">
        <v>132</v>
      </c>
      <c r="E325" t="s">
        <v>313</v>
      </c>
      <c r="F325" t="s">
        <v>378</v>
      </c>
      <c r="G325" s="8">
        <v>200</v>
      </c>
      <c r="H325" t="s">
        <v>28</v>
      </c>
      <c r="I325" s="10">
        <v>1.1223000000000001</v>
      </c>
      <c r="J325" s="10">
        <v>224.46</v>
      </c>
      <c r="K325">
        <v>1.1200000000000001</v>
      </c>
      <c r="L325" t="s">
        <v>379</v>
      </c>
      <c r="M325" t="s">
        <v>316</v>
      </c>
      <c r="N325" t="s">
        <v>317</v>
      </c>
      <c r="O325" t="s">
        <v>60</v>
      </c>
      <c r="P325">
        <v>200</v>
      </c>
      <c r="Q325" t="s">
        <v>28</v>
      </c>
      <c r="R325">
        <v>19400</v>
      </c>
      <c r="S325">
        <v>97</v>
      </c>
      <c r="T325" t="s">
        <v>114</v>
      </c>
      <c r="U325" t="s">
        <v>687</v>
      </c>
      <c r="V325">
        <v>20</v>
      </c>
      <c r="W325">
        <v>2008</v>
      </c>
      <c r="X325" s="17">
        <v>45788</v>
      </c>
      <c r="Y325">
        <v>22903766</v>
      </c>
      <c r="Z325" t="s">
        <v>318</v>
      </c>
      <c r="AC325" s="6"/>
      <c r="AH325" s="8"/>
      <c r="AJ325" s="10"/>
      <c r="AK325" s="10"/>
    </row>
    <row r="326" spans="1:37" x14ac:dyDescent="0.3">
      <c r="A326" s="6">
        <v>45795</v>
      </c>
      <c r="B326" s="11">
        <v>45795</v>
      </c>
      <c r="C326">
        <v>20081910</v>
      </c>
      <c r="D326" t="s">
        <v>177</v>
      </c>
      <c r="E326" t="s">
        <v>313</v>
      </c>
      <c r="F326" t="s">
        <v>705</v>
      </c>
      <c r="G326" s="8">
        <v>4000</v>
      </c>
      <c r="H326" t="s">
        <v>28</v>
      </c>
      <c r="I326" s="10">
        <v>1.1429275000000001</v>
      </c>
      <c r="J326" s="10">
        <v>4571.71</v>
      </c>
      <c r="K326">
        <v>1.1399999999999999</v>
      </c>
      <c r="L326" t="s">
        <v>379</v>
      </c>
      <c r="M326" t="s">
        <v>316</v>
      </c>
      <c r="N326" t="s">
        <v>317</v>
      </c>
      <c r="O326" t="s">
        <v>60</v>
      </c>
      <c r="P326">
        <v>4000</v>
      </c>
      <c r="Q326" t="s">
        <v>28</v>
      </c>
      <c r="R326">
        <v>388000</v>
      </c>
      <c r="S326">
        <v>97</v>
      </c>
      <c r="T326" t="s">
        <v>114</v>
      </c>
      <c r="U326" t="s">
        <v>687</v>
      </c>
      <c r="V326">
        <v>20</v>
      </c>
      <c r="W326">
        <v>2008</v>
      </c>
      <c r="X326" s="17">
        <v>45789</v>
      </c>
      <c r="Y326">
        <v>23904558</v>
      </c>
      <c r="Z326" t="s">
        <v>318</v>
      </c>
      <c r="AC326" s="6"/>
      <c r="AH326" s="8"/>
      <c r="AJ326" s="10"/>
      <c r="AK326" s="10"/>
    </row>
    <row r="327" spans="1:37" x14ac:dyDescent="0.3">
      <c r="A327" s="6">
        <v>45795</v>
      </c>
      <c r="B327" s="11">
        <v>45795</v>
      </c>
      <c r="C327">
        <v>20081910</v>
      </c>
      <c r="D327" t="s">
        <v>177</v>
      </c>
      <c r="E327" t="s">
        <v>313</v>
      </c>
      <c r="F327" t="s">
        <v>538</v>
      </c>
      <c r="G327" s="8">
        <v>500</v>
      </c>
      <c r="H327" t="s">
        <v>28</v>
      </c>
      <c r="I327" s="10">
        <v>1.12232</v>
      </c>
      <c r="J327" s="10">
        <v>561.16</v>
      </c>
      <c r="K327">
        <v>1.1200000000000001</v>
      </c>
      <c r="L327" t="s">
        <v>379</v>
      </c>
      <c r="M327" t="s">
        <v>316</v>
      </c>
      <c r="N327" t="s">
        <v>317</v>
      </c>
      <c r="O327" t="s">
        <v>60</v>
      </c>
      <c r="P327">
        <v>500</v>
      </c>
      <c r="Q327" t="s">
        <v>28</v>
      </c>
      <c r="R327">
        <v>48500</v>
      </c>
      <c r="S327">
        <v>97</v>
      </c>
      <c r="T327" t="s">
        <v>114</v>
      </c>
      <c r="U327" t="s">
        <v>687</v>
      </c>
      <c r="V327">
        <v>20</v>
      </c>
      <c r="W327">
        <v>2008</v>
      </c>
      <c r="X327" s="17">
        <v>45790</v>
      </c>
      <c r="Y327">
        <v>23810150</v>
      </c>
      <c r="Z327" t="s">
        <v>318</v>
      </c>
      <c r="AC327" s="6"/>
      <c r="AH327" s="8"/>
      <c r="AJ327" s="10"/>
      <c r="AK327" s="10"/>
    </row>
    <row r="328" spans="1:37" x14ac:dyDescent="0.3">
      <c r="A328" s="6">
        <v>45795</v>
      </c>
      <c r="B328" s="11">
        <v>45795</v>
      </c>
      <c r="C328">
        <v>20081910</v>
      </c>
      <c r="D328" t="s">
        <v>177</v>
      </c>
      <c r="E328" t="s">
        <v>313</v>
      </c>
      <c r="F328" t="s">
        <v>706</v>
      </c>
      <c r="G328" s="8">
        <v>975</v>
      </c>
      <c r="H328" t="s">
        <v>28</v>
      </c>
      <c r="I328" s="10">
        <v>1.1429230769230769</v>
      </c>
      <c r="J328" s="10">
        <v>1114.3499999999999</v>
      </c>
      <c r="K328">
        <v>1.1399999999999999</v>
      </c>
      <c r="L328" t="s">
        <v>315</v>
      </c>
      <c r="M328" t="s">
        <v>316</v>
      </c>
      <c r="N328" t="s">
        <v>317</v>
      </c>
      <c r="O328" t="s">
        <v>60</v>
      </c>
      <c r="P328">
        <v>975</v>
      </c>
      <c r="Q328" t="s">
        <v>28</v>
      </c>
      <c r="R328">
        <v>94575</v>
      </c>
      <c r="S328">
        <v>97</v>
      </c>
      <c r="T328" t="s">
        <v>114</v>
      </c>
      <c r="U328" t="s">
        <v>687</v>
      </c>
      <c r="V328">
        <v>20</v>
      </c>
      <c r="W328">
        <v>2008</v>
      </c>
      <c r="X328" s="17">
        <v>45791</v>
      </c>
      <c r="Y328">
        <v>23395286</v>
      </c>
      <c r="Z328" t="s">
        <v>318</v>
      </c>
      <c r="AC328" s="6"/>
      <c r="AH328" s="8"/>
      <c r="AJ328" s="10"/>
      <c r="AK328" s="10"/>
    </row>
    <row r="329" spans="1:37" x14ac:dyDescent="0.3">
      <c r="A329" s="6">
        <v>45796</v>
      </c>
      <c r="B329" s="11">
        <v>45796</v>
      </c>
      <c r="C329">
        <v>20081910</v>
      </c>
      <c r="D329" t="s">
        <v>177</v>
      </c>
      <c r="E329" t="s">
        <v>313</v>
      </c>
      <c r="F329" t="s">
        <v>548</v>
      </c>
      <c r="G329" s="8">
        <v>4000</v>
      </c>
      <c r="H329" t="s">
        <v>28</v>
      </c>
      <c r="I329" s="10">
        <v>1.1429275000000001</v>
      </c>
      <c r="J329" s="10">
        <v>4571.71</v>
      </c>
      <c r="K329">
        <v>1.1399999999999999</v>
      </c>
      <c r="L329" t="s">
        <v>379</v>
      </c>
      <c r="M329" t="s">
        <v>316</v>
      </c>
      <c r="N329" t="s">
        <v>317</v>
      </c>
      <c r="O329" t="s">
        <v>60</v>
      </c>
      <c r="P329">
        <v>4000</v>
      </c>
      <c r="Q329" t="s">
        <v>28</v>
      </c>
      <c r="R329">
        <v>388000</v>
      </c>
      <c r="S329">
        <v>97</v>
      </c>
      <c r="T329" t="s">
        <v>114</v>
      </c>
      <c r="U329" t="s">
        <v>687</v>
      </c>
      <c r="V329">
        <v>20</v>
      </c>
      <c r="W329">
        <v>2008</v>
      </c>
      <c r="X329" s="17">
        <v>45792</v>
      </c>
      <c r="Y329">
        <v>22850389</v>
      </c>
      <c r="Z329" t="s">
        <v>318</v>
      </c>
      <c r="AC329" s="6"/>
      <c r="AH329" s="8"/>
      <c r="AJ329" s="10"/>
      <c r="AK329" s="10"/>
    </row>
    <row r="330" spans="1:37" x14ac:dyDescent="0.3">
      <c r="A330" s="6">
        <v>45798</v>
      </c>
      <c r="B330" s="11">
        <v>45798</v>
      </c>
      <c r="C330">
        <v>20081910</v>
      </c>
      <c r="D330" t="s">
        <v>177</v>
      </c>
      <c r="E330" t="s">
        <v>313</v>
      </c>
      <c r="F330" t="s">
        <v>707</v>
      </c>
      <c r="G330" s="8">
        <v>2000</v>
      </c>
      <c r="H330" t="s">
        <v>28</v>
      </c>
      <c r="I330" s="10">
        <v>1.14293</v>
      </c>
      <c r="J330" s="10">
        <v>2285.86</v>
      </c>
      <c r="K330">
        <v>1.1399999999999999</v>
      </c>
      <c r="L330" t="s">
        <v>379</v>
      </c>
      <c r="M330" t="s">
        <v>316</v>
      </c>
      <c r="N330" t="s">
        <v>317</v>
      </c>
      <c r="O330" t="s">
        <v>60</v>
      </c>
      <c r="P330">
        <v>2000</v>
      </c>
      <c r="Q330" t="s">
        <v>28</v>
      </c>
      <c r="R330">
        <v>194000</v>
      </c>
      <c r="S330">
        <v>97</v>
      </c>
      <c r="T330" t="s">
        <v>114</v>
      </c>
      <c r="U330" t="s">
        <v>687</v>
      </c>
      <c r="V330">
        <v>20</v>
      </c>
      <c r="W330">
        <v>2008</v>
      </c>
      <c r="X330" s="17">
        <v>45793</v>
      </c>
      <c r="Y330">
        <v>24451071</v>
      </c>
      <c r="Z330" t="s">
        <v>318</v>
      </c>
      <c r="AC330" s="6"/>
      <c r="AH330" s="8"/>
      <c r="AJ330" s="10"/>
      <c r="AK330" s="10"/>
    </row>
    <row r="331" spans="1:37" x14ac:dyDescent="0.3">
      <c r="A331" s="6">
        <v>45799</v>
      </c>
      <c r="B331" s="11">
        <v>45799</v>
      </c>
      <c r="C331">
        <v>20081910</v>
      </c>
      <c r="D331" t="s">
        <v>708</v>
      </c>
      <c r="E331" t="s">
        <v>709</v>
      </c>
      <c r="F331" t="s">
        <v>321</v>
      </c>
      <c r="G331" s="8">
        <v>12</v>
      </c>
      <c r="H331" t="s">
        <v>28</v>
      </c>
      <c r="I331" s="10">
        <v>1.835</v>
      </c>
      <c r="J331" s="10">
        <v>22.02</v>
      </c>
      <c r="K331">
        <v>1.84</v>
      </c>
      <c r="L331" t="s">
        <v>322</v>
      </c>
      <c r="M331" t="s">
        <v>316</v>
      </c>
      <c r="N331" t="s">
        <v>323</v>
      </c>
      <c r="O331" t="s">
        <v>60</v>
      </c>
      <c r="P331">
        <v>12</v>
      </c>
      <c r="Q331" t="s">
        <v>28</v>
      </c>
      <c r="R331">
        <v>1903.2</v>
      </c>
      <c r="S331">
        <v>158.6</v>
      </c>
      <c r="T331" t="s">
        <v>114</v>
      </c>
      <c r="U331" t="s">
        <v>687</v>
      </c>
      <c r="V331">
        <v>20</v>
      </c>
      <c r="W331">
        <v>2008</v>
      </c>
      <c r="X331" s="17">
        <v>45794</v>
      </c>
      <c r="Y331">
        <v>26303342</v>
      </c>
      <c r="Z331" t="s">
        <v>710</v>
      </c>
      <c r="AC331" s="6"/>
      <c r="AH331" s="8"/>
      <c r="AJ331" s="10"/>
      <c r="AK331" s="10"/>
    </row>
    <row r="332" spans="1:37" x14ac:dyDescent="0.3">
      <c r="A332" s="6">
        <v>45799</v>
      </c>
      <c r="B332" s="11">
        <v>45799</v>
      </c>
      <c r="C332">
        <v>20081991</v>
      </c>
      <c r="D332" t="s">
        <v>177</v>
      </c>
      <c r="E332" t="s">
        <v>711</v>
      </c>
      <c r="F332" t="s">
        <v>79</v>
      </c>
      <c r="G332" s="8">
        <v>25</v>
      </c>
      <c r="H332" t="s">
        <v>28</v>
      </c>
      <c r="I332" s="10">
        <v>4.8592000000000004</v>
      </c>
      <c r="J332" s="10">
        <v>121.48</v>
      </c>
      <c r="K332">
        <v>4.8600000000000003</v>
      </c>
      <c r="L332" t="s">
        <v>712</v>
      </c>
      <c r="M332" t="s">
        <v>88</v>
      </c>
      <c r="N332" t="s">
        <v>51</v>
      </c>
      <c r="O332" t="s">
        <v>32</v>
      </c>
      <c r="P332">
        <v>25</v>
      </c>
      <c r="Q332" t="s">
        <v>28</v>
      </c>
      <c r="R332">
        <v>174.75</v>
      </c>
      <c r="S332">
        <v>6.99</v>
      </c>
      <c r="T332" t="s">
        <v>90</v>
      </c>
      <c r="U332" t="s">
        <v>690</v>
      </c>
      <c r="V332">
        <v>20</v>
      </c>
      <c r="W332">
        <v>2008</v>
      </c>
      <c r="X332" s="17">
        <v>45795</v>
      </c>
      <c r="Y332">
        <v>24791327</v>
      </c>
      <c r="Z332" t="s">
        <v>713</v>
      </c>
      <c r="AC332" s="6"/>
      <c r="AH332" s="8"/>
      <c r="AJ332" s="10"/>
      <c r="AK332" s="10"/>
    </row>
    <row r="333" spans="1:37" x14ac:dyDescent="0.3">
      <c r="A333" s="6">
        <v>45800</v>
      </c>
      <c r="B333" s="11">
        <v>45800</v>
      </c>
      <c r="C333">
        <v>20081999</v>
      </c>
      <c r="D333" t="s">
        <v>177</v>
      </c>
      <c r="E333" t="s">
        <v>133</v>
      </c>
      <c r="F333" t="s">
        <v>714</v>
      </c>
      <c r="G333" s="8">
        <v>5</v>
      </c>
      <c r="H333" t="s">
        <v>28</v>
      </c>
      <c r="I333" s="10">
        <v>5.3220000000000001</v>
      </c>
      <c r="J333" s="10">
        <v>26.61</v>
      </c>
      <c r="K333">
        <v>5.32</v>
      </c>
      <c r="L333" t="s">
        <v>715</v>
      </c>
      <c r="M333" t="s">
        <v>136</v>
      </c>
      <c r="N333" t="s">
        <v>240</v>
      </c>
      <c r="O333" t="s">
        <v>60</v>
      </c>
      <c r="P333">
        <v>5</v>
      </c>
      <c r="Q333" t="s">
        <v>28</v>
      </c>
      <c r="R333">
        <v>2300</v>
      </c>
      <c r="S333">
        <v>460</v>
      </c>
      <c r="T333" t="s">
        <v>114</v>
      </c>
      <c r="U333" t="s">
        <v>690</v>
      </c>
      <c r="V333">
        <v>20</v>
      </c>
      <c r="W333">
        <v>2008</v>
      </c>
      <c r="X333" s="17">
        <v>45796</v>
      </c>
      <c r="Y333">
        <v>26347176</v>
      </c>
      <c r="Z333" t="s">
        <v>138</v>
      </c>
      <c r="AC333" s="6"/>
      <c r="AH333" s="8"/>
      <c r="AJ333" s="10"/>
      <c r="AK333" s="10"/>
    </row>
    <row r="334" spans="1:37" x14ac:dyDescent="0.3">
      <c r="A334" s="6">
        <v>45803</v>
      </c>
      <c r="B334" s="11">
        <v>45803</v>
      </c>
      <c r="C334">
        <v>20081999</v>
      </c>
      <c r="D334" t="s">
        <v>132</v>
      </c>
      <c r="E334" t="s">
        <v>429</v>
      </c>
      <c r="F334" t="s">
        <v>430</v>
      </c>
      <c r="G334" s="8">
        <v>2000</v>
      </c>
      <c r="H334" t="s">
        <v>28</v>
      </c>
      <c r="I334" s="10">
        <v>1.1193599999999999</v>
      </c>
      <c r="J334" s="10">
        <v>2238.7199999999998</v>
      </c>
      <c r="K334">
        <v>1.1200000000000001</v>
      </c>
      <c r="L334" t="s">
        <v>379</v>
      </c>
      <c r="M334" t="s">
        <v>316</v>
      </c>
      <c r="N334" t="s">
        <v>317</v>
      </c>
      <c r="O334" t="s">
        <v>60</v>
      </c>
      <c r="P334">
        <v>2000</v>
      </c>
      <c r="Q334" t="s">
        <v>28</v>
      </c>
      <c r="R334">
        <v>190000</v>
      </c>
      <c r="S334">
        <v>95</v>
      </c>
      <c r="T334" t="s">
        <v>114</v>
      </c>
      <c r="U334" t="s">
        <v>690</v>
      </c>
      <c r="V334">
        <v>20</v>
      </c>
      <c r="W334">
        <v>2008</v>
      </c>
      <c r="X334" s="17">
        <v>45797</v>
      </c>
      <c r="Y334">
        <v>25007204</v>
      </c>
      <c r="Z334" t="s">
        <v>432</v>
      </c>
      <c r="AC334" s="6"/>
      <c r="AH334" s="8"/>
      <c r="AJ334" s="10"/>
      <c r="AK334" s="10"/>
    </row>
    <row r="335" spans="1:37" x14ac:dyDescent="0.3">
      <c r="A335" s="6">
        <v>45804</v>
      </c>
      <c r="B335" s="11">
        <v>45804</v>
      </c>
      <c r="C335">
        <v>20081999</v>
      </c>
      <c r="D335" t="s">
        <v>132</v>
      </c>
      <c r="E335" t="s">
        <v>313</v>
      </c>
      <c r="F335" t="s">
        <v>535</v>
      </c>
      <c r="G335" s="8">
        <v>550</v>
      </c>
      <c r="H335" t="s">
        <v>28</v>
      </c>
      <c r="I335" s="10">
        <v>1.1223090909090909</v>
      </c>
      <c r="J335" s="10">
        <v>617.27</v>
      </c>
      <c r="K335">
        <v>1.1200000000000001</v>
      </c>
      <c r="L335" t="s">
        <v>379</v>
      </c>
      <c r="M335" t="s">
        <v>316</v>
      </c>
      <c r="N335" t="s">
        <v>317</v>
      </c>
      <c r="O335" t="s">
        <v>60</v>
      </c>
      <c r="P335">
        <v>550</v>
      </c>
      <c r="Q335" t="s">
        <v>28</v>
      </c>
      <c r="R335">
        <v>53350</v>
      </c>
      <c r="S335">
        <v>97</v>
      </c>
      <c r="T335" t="s">
        <v>114</v>
      </c>
      <c r="U335" t="s">
        <v>690</v>
      </c>
      <c r="V335">
        <v>20</v>
      </c>
      <c r="W335">
        <v>2008</v>
      </c>
      <c r="X335" s="17">
        <v>45798</v>
      </c>
      <c r="Y335">
        <v>25487599</v>
      </c>
      <c r="Z335" t="s">
        <v>318</v>
      </c>
      <c r="AC335" s="6"/>
      <c r="AH335" s="8"/>
      <c r="AJ335" s="10"/>
      <c r="AK335" s="10"/>
    </row>
    <row r="336" spans="1:37" x14ac:dyDescent="0.3">
      <c r="A336" s="6">
        <v>45804</v>
      </c>
      <c r="B336" s="11">
        <v>45804</v>
      </c>
      <c r="C336">
        <v>20081999</v>
      </c>
      <c r="D336" t="s">
        <v>177</v>
      </c>
      <c r="E336" t="s">
        <v>313</v>
      </c>
      <c r="F336" t="s">
        <v>329</v>
      </c>
      <c r="G336" s="8">
        <v>500</v>
      </c>
      <c r="H336" t="s">
        <v>28</v>
      </c>
      <c r="I336" s="10">
        <v>1.12232</v>
      </c>
      <c r="J336" s="10">
        <v>561.16</v>
      </c>
      <c r="K336">
        <v>1.1200000000000001</v>
      </c>
      <c r="L336" t="s">
        <v>315</v>
      </c>
      <c r="M336" t="s">
        <v>316</v>
      </c>
      <c r="N336" t="s">
        <v>317</v>
      </c>
      <c r="O336" t="s">
        <v>60</v>
      </c>
      <c r="P336">
        <v>500</v>
      </c>
      <c r="Q336" t="s">
        <v>28</v>
      </c>
      <c r="R336">
        <v>48500</v>
      </c>
      <c r="S336">
        <v>97</v>
      </c>
      <c r="T336" t="s">
        <v>114</v>
      </c>
      <c r="U336" t="s">
        <v>690</v>
      </c>
      <c r="V336">
        <v>20</v>
      </c>
      <c r="W336">
        <v>2008</v>
      </c>
      <c r="X336" s="17">
        <v>45799</v>
      </c>
      <c r="Y336">
        <v>24636305</v>
      </c>
      <c r="Z336" t="s">
        <v>318</v>
      </c>
      <c r="AC336" s="6"/>
      <c r="AH336" s="8"/>
      <c r="AJ336" s="10"/>
      <c r="AK336" s="10"/>
    </row>
    <row r="337" spans="1:37" x14ac:dyDescent="0.3">
      <c r="A337" s="6">
        <v>45805</v>
      </c>
      <c r="B337" s="11">
        <v>45805</v>
      </c>
      <c r="C337">
        <v>12079990</v>
      </c>
      <c r="D337" t="s">
        <v>172</v>
      </c>
      <c r="E337" t="s">
        <v>716</v>
      </c>
      <c r="F337" t="s">
        <v>717</v>
      </c>
      <c r="G337" s="8">
        <v>10</v>
      </c>
      <c r="H337" t="s">
        <v>28</v>
      </c>
      <c r="I337" s="10">
        <v>5.4939999999999998</v>
      </c>
      <c r="J337" s="10">
        <v>54.94</v>
      </c>
      <c r="K337">
        <v>5.49</v>
      </c>
      <c r="L337" t="s">
        <v>718</v>
      </c>
      <c r="M337" t="s">
        <v>112</v>
      </c>
      <c r="N337" t="s">
        <v>42</v>
      </c>
      <c r="O337" t="s">
        <v>32</v>
      </c>
      <c r="P337">
        <v>10</v>
      </c>
      <c r="Q337" t="s">
        <v>28</v>
      </c>
      <c r="R337">
        <v>57.6</v>
      </c>
      <c r="S337">
        <v>5.76</v>
      </c>
      <c r="T337" t="s">
        <v>33</v>
      </c>
      <c r="U337" t="s">
        <v>592</v>
      </c>
      <c r="V337">
        <v>12</v>
      </c>
      <c r="W337">
        <v>1207</v>
      </c>
      <c r="X337" s="17">
        <v>45800</v>
      </c>
      <c r="Y337">
        <v>25328093</v>
      </c>
      <c r="Z337" t="s">
        <v>719</v>
      </c>
      <c r="AC337" s="6"/>
      <c r="AH337" s="8"/>
      <c r="AJ337" s="10"/>
      <c r="AK337" s="10"/>
    </row>
    <row r="338" spans="1:37" x14ac:dyDescent="0.3">
      <c r="A338" s="6">
        <v>45810</v>
      </c>
      <c r="B338" s="11">
        <v>45810</v>
      </c>
      <c r="C338">
        <v>12129990</v>
      </c>
      <c r="D338" t="s">
        <v>346</v>
      </c>
      <c r="E338" t="s">
        <v>47</v>
      </c>
      <c r="F338" t="s">
        <v>74</v>
      </c>
      <c r="G338" s="8">
        <v>300</v>
      </c>
      <c r="H338" t="s">
        <v>28</v>
      </c>
      <c r="I338" s="10">
        <v>4.3271333333333333</v>
      </c>
      <c r="J338" s="10">
        <v>1298.1400000000001</v>
      </c>
      <c r="K338">
        <v>4.33</v>
      </c>
      <c r="L338" t="s">
        <v>75</v>
      </c>
      <c r="M338" t="s">
        <v>50</v>
      </c>
      <c r="N338" t="s">
        <v>51</v>
      </c>
      <c r="O338" t="s">
        <v>32</v>
      </c>
      <c r="P338">
        <v>300</v>
      </c>
      <c r="Q338" t="s">
        <v>28</v>
      </c>
      <c r="R338">
        <v>1020</v>
      </c>
      <c r="S338">
        <v>3.4</v>
      </c>
      <c r="T338" t="s">
        <v>52</v>
      </c>
      <c r="U338" t="s">
        <v>675</v>
      </c>
      <c r="V338">
        <v>12</v>
      </c>
      <c r="W338">
        <v>1212</v>
      </c>
      <c r="X338" s="17">
        <v>45809</v>
      </c>
      <c r="Y338">
        <v>27387761</v>
      </c>
      <c r="Z338" t="s">
        <v>53</v>
      </c>
      <c r="AC338" s="6"/>
      <c r="AH338" s="8"/>
      <c r="AJ338" s="10"/>
      <c r="AK338" s="10"/>
    </row>
    <row r="339" spans="1:37" x14ac:dyDescent="0.3">
      <c r="A339" s="6">
        <v>45810</v>
      </c>
      <c r="B339" s="11">
        <v>45810</v>
      </c>
      <c r="C339">
        <v>20081999</v>
      </c>
      <c r="D339" t="s">
        <v>177</v>
      </c>
      <c r="E339" t="s">
        <v>313</v>
      </c>
      <c r="F339" t="s">
        <v>439</v>
      </c>
      <c r="G339" s="8">
        <v>4500</v>
      </c>
      <c r="H339" t="s">
        <v>28</v>
      </c>
      <c r="I339" s="10">
        <v>1.437497777777778</v>
      </c>
      <c r="J339" s="10">
        <v>6468.74</v>
      </c>
      <c r="K339">
        <v>1.44</v>
      </c>
      <c r="L339" t="s">
        <v>379</v>
      </c>
      <c r="M339" t="s">
        <v>316</v>
      </c>
      <c r="N339" t="s">
        <v>317</v>
      </c>
      <c r="O339" t="s">
        <v>60</v>
      </c>
      <c r="P339">
        <v>4500</v>
      </c>
      <c r="Q339" t="s">
        <v>28</v>
      </c>
      <c r="R339">
        <v>549000</v>
      </c>
      <c r="S339">
        <v>122</v>
      </c>
      <c r="T339" t="s">
        <v>114</v>
      </c>
      <c r="U339" t="s">
        <v>690</v>
      </c>
      <c r="V339">
        <v>20</v>
      </c>
      <c r="W339">
        <v>2008</v>
      </c>
      <c r="X339" s="17">
        <v>45810</v>
      </c>
      <c r="Y339">
        <v>27041668</v>
      </c>
      <c r="Z339" t="s">
        <v>318</v>
      </c>
      <c r="AC339" s="6"/>
      <c r="AH339" s="8"/>
      <c r="AJ339" s="10"/>
      <c r="AK339" s="10"/>
    </row>
    <row r="340" spans="1:37" x14ac:dyDescent="0.3">
      <c r="A340" s="6">
        <v>45816</v>
      </c>
      <c r="B340" s="11">
        <v>45816</v>
      </c>
      <c r="C340">
        <v>20081910</v>
      </c>
      <c r="D340" t="s">
        <v>177</v>
      </c>
      <c r="E340" t="s">
        <v>709</v>
      </c>
      <c r="F340" t="s">
        <v>321</v>
      </c>
      <c r="G340" s="8">
        <v>18</v>
      </c>
      <c r="H340" t="s">
        <v>28</v>
      </c>
      <c r="I340" s="10">
        <v>2.615555555555555</v>
      </c>
      <c r="J340" s="10">
        <v>47.08</v>
      </c>
      <c r="K340">
        <v>2.62</v>
      </c>
      <c r="L340" t="s">
        <v>322</v>
      </c>
      <c r="M340" t="s">
        <v>316</v>
      </c>
      <c r="N340" t="s">
        <v>323</v>
      </c>
      <c r="O340" t="s">
        <v>60</v>
      </c>
      <c r="P340">
        <v>18</v>
      </c>
      <c r="Q340" t="s">
        <v>28</v>
      </c>
      <c r="R340">
        <v>4086</v>
      </c>
      <c r="S340">
        <v>227</v>
      </c>
      <c r="T340" t="s">
        <v>114</v>
      </c>
      <c r="U340" t="s">
        <v>687</v>
      </c>
      <c r="V340">
        <v>20</v>
      </c>
      <c r="W340">
        <v>2008</v>
      </c>
      <c r="X340" s="17">
        <v>45811</v>
      </c>
      <c r="Y340">
        <v>31342192</v>
      </c>
      <c r="Z340" t="s">
        <v>710</v>
      </c>
      <c r="AC340" s="6"/>
      <c r="AH340" s="8"/>
      <c r="AJ340" s="10"/>
      <c r="AK340" s="10"/>
    </row>
    <row r="341" spans="1:37" x14ac:dyDescent="0.3">
      <c r="A341" s="6">
        <v>45821</v>
      </c>
      <c r="B341" s="11">
        <v>45821</v>
      </c>
      <c r="C341">
        <v>12079990</v>
      </c>
      <c r="D341" t="s">
        <v>177</v>
      </c>
      <c r="E341" t="s">
        <v>272</v>
      </c>
      <c r="F341" t="s">
        <v>273</v>
      </c>
      <c r="G341" s="8">
        <v>100</v>
      </c>
      <c r="H341" t="s">
        <v>28</v>
      </c>
      <c r="I341" s="10">
        <v>9.0863999999999994</v>
      </c>
      <c r="J341" s="10">
        <v>908.64</v>
      </c>
      <c r="K341">
        <v>9.09</v>
      </c>
      <c r="L341" t="s">
        <v>156</v>
      </c>
      <c r="M341" t="s">
        <v>157</v>
      </c>
      <c r="N341" t="s">
        <v>174</v>
      </c>
      <c r="O341" t="s">
        <v>32</v>
      </c>
      <c r="P341">
        <v>100</v>
      </c>
      <c r="Q341" t="s">
        <v>28</v>
      </c>
      <c r="R341">
        <v>961</v>
      </c>
      <c r="S341">
        <v>9.61</v>
      </c>
      <c r="T341" t="s">
        <v>33</v>
      </c>
      <c r="U341" t="s">
        <v>592</v>
      </c>
      <c r="V341">
        <v>12</v>
      </c>
      <c r="W341">
        <v>1207</v>
      </c>
      <c r="X341" s="17">
        <v>45812</v>
      </c>
      <c r="Y341">
        <v>28115183</v>
      </c>
      <c r="Z341" t="s">
        <v>274</v>
      </c>
      <c r="AC341" s="6"/>
      <c r="AH341" s="8"/>
      <c r="AJ341" s="10"/>
      <c r="AK341" s="10"/>
    </row>
    <row r="342" spans="1:37" x14ac:dyDescent="0.3">
      <c r="A342" s="6">
        <v>45824</v>
      </c>
      <c r="B342" s="11">
        <v>45824</v>
      </c>
      <c r="C342">
        <v>20081999</v>
      </c>
      <c r="D342" t="s">
        <v>132</v>
      </c>
      <c r="E342" t="s">
        <v>435</v>
      </c>
      <c r="F342" t="s">
        <v>79</v>
      </c>
      <c r="G342" s="8">
        <v>250</v>
      </c>
      <c r="H342" t="s">
        <v>28</v>
      </c>
      <c r="I342" s="10">
        <v>1.6131599999999999</v>
      </c>
      <c r="J342" s="10">
        <v>403.29</v>
      </c>
      <c r="K342">
        <v>1.61</v>
      </c>
      <c r="L342" t="s">
        <v>315</v>
      </c>
      <c r="M342" t="s">
        <v>316</v>
      </c>
      <c r="N342" t="s">
        <v>317</v>
      </c>
      <c r="O342" t="s">
        <v>60</v>
      </c>
      <c r="P342">
        <v>250</v>
      </c>
      <c r="Q342" t="s">
        <v>28</v>
      </c>
      <c r="R342">
        <v>35000</v>
      </c>
      <c r="S342">
        <v>140</v>
      </c>
      <c r="T342" t="s">
        <v>114</v>
      </c>
      <c r="U342" t="s">
        <v>690</v>
      </c>
      <c r="V342">
        <v>20</v>
      </c>
      <c r="W342">
        <v>2008</v>
      </c>
      <c r="X342" s="17">
        <v>45813</v>
      </c>
      <c r="Y342">
        <v>33172970</v>
      </c>
      <c r="Z342" t="s">
        <v>437</v>
      </c>
      <c r="AC342" s="6"/>
      <c r="AH342" s="8"/>
      <c r="AJ342" s="10"/>
      <c r="AK342" s="10"/>
    </row>
    <row r="343" spans="1:37" x14ac:dyDescent="0.3">
      <c r="A343" s="6">
        <v>45825</v>
      </c>
      <c r="B343" s="11">
        <v>45825</v>
      </c>
      <c r="C343">
        <v>20081992</v>
      </c>
      <c r="D343" t="s">
        <v>721</v>
      </c>
      <c r="E343" t="s">
        <v>586</v>
      </c>
      <c r="F343" t="s">
        <v>722</v>
      </c>
      <c r="G343" s="8">
        <v>206.25</v>
      </c>
      <c r="H343" t="s">
        <v>28</v>
      </c>
      <c r="I343" s="10">
        <v>6.8952727272727277</v>
      </c>
      <c r="J343" s="10">
        <v>1422.15</v>
      </c>
      <c r="K343">
        <v>6.9</v>
      </c>
      <c r="L343" t="s">
        <v>180</v>
      </c>
      <c r="M343" t="s">
        <v>112</v>
      </c>
      <c r="N343" t="s">
        <v>588</v>
      </c>
      <c r="O343" t="s">
        <v>32</v>
      </c>
      <c r="P343">
        <v>206.25</v>
      </c>
      <c r="Q343" t="s">
        <v>28</v>
      </c>
      <c r="R343">
        <v>1425.19</v>
      </c>
      <c r="S343">
        <v>6.91</v>
      </c>
      <c r="T343" t="s">
        <v>33</v>
      </c>
      <c r="U343" t="s">
        <v>690</v>
      </c>
      <c r="V343">
        <v>20</v>
      </c>
      <c r="W343">
        <v>2008</v>
      </c>
      <c r="X343" s="17">
        <v>45814</v>
      </c>
      <c r="Y343">
        <v>28308622</v>
      </c>
      <c r="Z343" t="s">
        <v>590</v>
      </c>
      <c r="AC343" s="6"/>
      <c r="AH343" s="8"/>
      <c r="AJ343" s="10"/>
      <c r="AK343" s="10"/>
    </row>
    <row r="344" spans="1:37" x14ac:dyDescent="0.3">
      <c r="A344" s="6">
        <v>45825</v>
      </c>
      <c r="B344" s="11">
        <v>45825</v>
      </c>
      <c r="C344">
        <v>20081999</v>
      </c>
      <c r="D344" t="s">
        <v>723</v>
      </c>
      <c r="E344" t="s">
        <v>724</v>
      </c>
      <c r="F344" t="s">
        <v>79</v>
      </c>
      <c r="G344" s="8">
        <v>9</v>
      </c>
      <c r="H344" t="s">
        <v>28</v>
      </c>
      <c r="I344" s="10">
        <v>28.104444444444439</v>
      </c>
      <c r="J344" s="10">
        <v>252.94</v>
      </c>
      <c r="K344">
        <v>28.1</v>
      </c>
      <c r="L344" t="s">
        <v>725</v>
      </c>
      <c r="M344" t="s">
        <v>726</v>
      </c>
      <c r="N344" t="s">
        <v>51</v>
      </c>
      <c r="O344" t="s">
        <v>32</v>
      </c>
      <c r="P344">
        <v>9</v>
      </c>
      <c r="Q344" t="s">
        <v>28</v>
      </c>
      <c r="R344">
        <v>841.23</v>
      </c>
      <c r="S344">
        <v>93.47</v>
      </c>
      <c r="T344" t="s">
        <v>33</v>
      </c>
      <c r="U344" t="s">
        <v>690</v>
      </c>
      <c r="V344">
        <v>20</v>
      </c>
      <c r="W344">
        <v>2008</v>
      </c>
      <c r="X344" s="17">
        <v>45815</v>
      </c>
      <c r="Y344">
        <v>33202498</v>
      </c>
      <c r="Z344" t="s">
        <v>727</v>
      </c>
      <c r="AC344" s="6"/>
      <c r="AH344" s="8"/>
      <c r="AJ344" s="10"/>
      <c r="AK344" s="10"/>
    </row>
    <row r="345" spans="1:37" x14ac:dyDescent="0.3">
      <c r="A345" s="6">
        <v>45827</v>
      </c>
      <c r="B345" s="11">
        <v>45827</v>
      </c>
      <c r="C345">
        <v>20081999</v>
      </c>
      <c r="D345" t="s">
        <v>648</v>
      </c>
      <c r="E345" t="s">
        <v>622</v>
      </c>
      <c r="F345" t="s">
        <v>638</v>
      </c>
      <c r="G345" s="8">
        <v>2000</v>
      </c>
      <c r="H345" t="s">
        <v>28</v>
      </c>
      <c r="I345" s="10">
        <v>1.6545350000000001</v>
      </c>
      <c r="J345" s="10">
        <v>3309.07</v>
      </c>
      <c r="K345">
        <v>1.65</v>
      </c>
      <c r="L345" t="s">
        <v>379</v>
      </c>
      <c r="M345" t="s">
        <v>316</v>
      </c>
      <c r="N345" t="s">
        <v>317</v>
      </c>
      <c r="O345" t="s">
        <v>60</v>
      </c>
      <c r="P345">
        <v>2000</v>
      </c>
      <c r="Q345" t="s">
        <v>28</v>
      </c>
      <c r="R345">
        <v>282000</v>
      </c>
      <c r="S345">
        <v>141</v>
      </c>
      <c r="U345" t="s">
        <v>690</v>
      </c>
      <c r="V345">
        <v>20</v>
      </c>
      <c r="W345">
        <v>2008</v>
      </c>
      <c r="X345" s="17">
        <v>45816</v>
      </c>
      <c r="Y345">
        <v>30352834</v>
      </c>
      <c r="Z345" t="s">
        <v>623</v>
      </c>
      <c r="AC345" s="6"/>
      <c r="AH345" s="8"/>
      <c r="AJ345" s="10"/>
      <c r="AK345" s="10"/>
    </row>
    <row r="346" spans="1:37" x14ac:dyDescent="0.3">
      <c r="A346" s="6">
        <v>45827</v>
      </c>
      <c r="B346" s="11">
        <v>45827</v>
      </c>
      <c r="C346">
        <v>20081929</v>
      </c>
      <c r="D346" t="s">
        <v>728</v>
      </c>
      <c r="E346" t="s">
        <v>127</v>
      </c>
      <c r="F346" t="s">
        <v>79</v>
      </c>
      <c r="G346" s="8">
        <v>400</v>
      </c>
      <c r="H346" t="s">
        <v>28</v>
      </c>
      <c r="I346" s="10">
        <v>3.7243249999999999</v>
      </c>
      <c r="J346" s="10">
        <v>1489.73</v>
      </c>
      <c r="K346">
        <v>3.72</v>
      </c>
      <c r="L346" t="s">
        <v>128</v>
      </c>
      <c r="M346" t="s">
        <v>129</v>
      </c>
      <c r="N346" t="s">
        <v>51</v>
      </c>
      <c r="O346" t="s">
        <v>32</v>
      </c>
      <c r="P346">
        <v>400</v>
      </c>
      <c r="Q346" t="s">
        <v>28</v>
      </c>
      <c r="R346">
        <v>1552</v>
      </c>
      <c r="S346">
        <v>3.88</v>
      </c>
      <c r="T346" t="s">
        <v>33</v>
      </c>
      <c r="U346" t="s">
        <v>690</v>
      </c>
      <c r="V346">
        <v>20</v>
      </c>
      <c r="W346">
        <v>2008</v>
      </c>
      <c r="X346" s="17">
        <v>45817</v>
      </c>
      <c r="Y346">
        <v>30014556</v>
      </c>
      <c r="Z346" t="s">
        <v>130</v>
      </c>
      <c r="AC346" s="6"/>
      <c r="AH346" s="8"/>
      <c r="AJ346" s="10"/>
      <c r="AK346" s="10"/>
    </row>
    <row r="347" spans="1:37" x14ac:dyDescent="0.3">
      <c r="A347" s="6">
        <v>45829</v>
      </c>
      <c r="B347" s="11">
        <v>45829</v>
      </c>
      <c r="C347">
        <v>20081929</v>
      </c>
      <c r="D347" t="s">
        <v>177</v>
      </c>
      <c r="E347" t="s">
        <v>633</v>
      </c>
      <c r="F347" t="s">
        <v>636</v>
      </c>
      <c r="G347" s="8">
        <v>1500</v>
      </c>
      <c r="H347" t="s">
        <v>28</v>
      </c>
      <c r="I347" s="10">
        <v>3.7156466666666672</v>
      </c>
      <c r="J347" s="10">
        <v>5573.47</v>
      </c>
      <c r="K347">
        <v>3.72</v>
      </c>
      <c r="L347" t="s">
        <v>379</v>
      </c>
      <c r="M347" t="s">
        <v>316</v>
      </c>
      <c r="N347" t="s">
        <v>317</v>
      </c>
      <c r="O347" t="s">
        <v>60</v>
      </c>
      <c r="P347">
        <v>1500</v>
      </c>
      <c r="Q347" t="s">
        <v>28</v>
      </c>
      <c r="R347">
        <v>480000</v>
      </c>
      <c r="S347">
        <v>320</v>
      </c>
      <c r="T347" t="s">
        <v>114</v>
      </c>
      <c r="U347" t="s">
        <v>690</v>
      </c>
      <c r="V347">
        <v>20</v>
      </c>
      <c r="W347">
        <v>2008</v>
      </c>
      <c r="X347" s="17">
        <v>45818</v>
      </c>
      <c r="Y347">
        <v>29082086</v>
      </c>
      <c r="Z347" t="s">
        <v>635</v>
      </c>
      <c r="AC347" s="6"/>
      <c r="AH347" s="8"/>
      <c r="AJ347" s="10"/>
      <c r="AK347" s="10"/>
    </row>
    <row r="348" spans="1:37" x14ac:dyDescent="0.3">
      <c r="A348" s="6">
        <v>45829</v>
      </c>
      <c r="B348" s="11">
        <v>45829</v>
      </c>
      <c r="C348">
        <v>20081999</v>
      </c>
      <c r="D348" t="s">
        <v>177</v>
      </c>
      <c r="E348" t="s">
        <v>313</v>
      </c>
      <c r="F348" t="s">
        <v>548</v>
      </c>
      <c r="G348" s="8">
        <v>5000</v>
      </c>
      <c r="H348" t="s">
        <v>28</v>
      </c>
      <c r="I348" s="10">
        <v>1.4165920000000001</v>
      </c>
      <c r="J348" s="10">
        <v>7082.96</v>
      </c>
      <c r="K348">
        <v>1.42</v>
      </c>
      <c r="L348" t="s">
        <v>379</v>
      </c>
      <c r="M348" t="s">
        <v>316</v>
      </c>
      <c r="N348" t="s">
        <v>317</v>
      </c>
      <c r="O348" t="s">
        <v>60</v>
      </c>
      <c r="P348">
        <v>5000</v>
      </c>
      <c r="Q348" t="s">
        <v>28</v>
      </c>
      <c r="R348">
        <v>610000</v>
      </c>
      <c r="S348">
        <v>122</v>
      </c>
      <c r="T348" t="s">
        <v>114</v>
      </c>
      <c r="U348" t="s">
        <v>690</v>
      </c>
      <c r="V348">
        <v>20</v>
      </c>
      <c r="W348">
        <v>2008</v>
      </c>
      <c r="X348" s="17">
        <v>45819</v>
      </c>
      <c r="Y348">
        <v>29407200</v>
      </c>
      <c r="Z348" t="s">
        <v>318</v>
      </c>
      <c r="AC348" s="6"/>
      <c r="AH348" s="8"/>
      <c r="AJ348" s="10"/>
      <c r="AK348" s="10"/>
    </row>
    <row r="349" spans="1:37" x14ac:dyDescent="0.3">
      <c r="A349" s="6">
        <v>45831</v>
      </c>
      <c r="B349" s="11">
        <v>45831</v>
      </c>
      <c r="C349">
        <v>12129990</v>
      </c>
      <c r="D349" t="s">
        <v>346</v>
      </c>
      <c r="E349" t="s">
        <v>47</v>
      </c>
      <c r="F349" t="s">
        <v>74</v>
      </c>
      <c r="G349" s="8">
        <v>750</v>
      </c>
      <c r="H349" t="s">
        <v>28</v>
      </c>
      <c r="I349" s="10">
        <v>4.3752266666666664</v>
      </c>
      <c r="J349" s="10">
        <v>3281.42</v>
      </c>
      <c r="K349">
        <v>4.38</v>
      </c>
      <c r="L349" t="s">
        <v>75</v>
      </c>
      <c r="M349" t="s">
        <v>50</v>
      </c>
      <c r="N349" t="s">
        <v>51</v>
      </c>
      <c r="O349" t="s">
        <v>32</v>
      </c>
      <c r="P349">
        <v>750</v>
      </c>
      <c r="Q349" t="s">
        <v>28</v>
      </c>
      <c r="R349">
        <v>2550</v>
      </c>
      <c r="S349">
        <v>3.4</v>
      </c>
      <c r="T349" t="s">
        <v>52</v>
      </c>
      <c r="U349" t="s">
        <v>675</v>
      </c>
      <c r="V349">
        <v>12</v>
      </c>
      <c r="W349">
        <v>1212</v>
      </c>
      <c r="X349" s="17">
        <v>45820</v>
      </c>
      <c r="Y349">
        <v>30103996</v>
      </c>
      <c r="Z349" t="s">
        <v>53</v>
      </c>
      <c r="AC349" s="6"/>
      <c r="AH349" s="8"/>
      <c r="AJ349" s="10"/>
      <c r="AK349" s="10"/>
    </row>
    <row r="350" spans="1:37" x14ac:dyDescent="0.3">
      <c r="A350" s="6">
        <v>45832</v>
      </c>
      <c r="B350" s="11">
        <v>45832</v>
      </c>
      <c r="C350">
        <v>20081999</v>
      </c>
      <c r="D350" t="s">
        <v>132</v>
      </c>
      <c r="E350" t="s">
        <v>313</v>
      </c>
      <c r="F350" t="s">
        <v>569</v>
      </c>
      <c r="G350" s="8">
        <v>2000</v>
      </c>
      <c r="H350" t="s">
        <v>28</v>
      </c>
      <c r="I350" s="10">
        <v>1.41659</v>
      </c>
      <c r="J350" s="10">
        <v>2833.18</v>
      </c>
      <c r="K350">
        <v>1.42</v>
      </c>
      <c r="L350" t="s">
        <v>315</v>
      </c>
      <c r="M350" t="s">
        <v>316</v>
      </c>
      <c r="N350" t="s">
        <v>317</v>
      </c>
      <c r="O350" t="s">
        <v>60</v>
      </c>
      <c r="P350">
        <v>2000</v>
      </c>
      <c r="Q350" t="s">
        <v>28</v>
      </c>
      <c r="R350">
        <v>244000</v>
      </c>
      <c r="S350">
        <v>122</v>
      </c>
      <c r="T350" t="s">
        <v>114</v>
      </c>
      <c r="U350" t="s">
        <v>690</v>
      </c>
      <c r="V350">
        <v>20</v>
      </c>
      <c r="W350">
        <v>2008</v>
      </c>
      <c r="X350" s="17">
        <v>45821</v>
      </c>
      <c r="Y350">
        <v>29097038</v>
      </c>
      <c r="Z350" t="s">
        <v>318</v>
      </c>
      <c r="AC350" s="6"/>
      <c r="AH350" s="8"/>
      <c r="AJ350" s="10"/>
      <c r="AK350" s="10"/>
    </row>
    <row r="351" spans="1:37" x14ac:dyDescent="0.3">
      <c r="A351" s="6">
        <v>45834</v>
      </c>
      <c r="B351" s="11">
        <v>45834</v>
      </c>
      <c r="C351">
        <v>20081999</v>
      </c>
      <c r="D351" t="s">
        <v>132</v>
      </c>
      <c r="E351" t="s">
        <v>420</v>
      </c>
      <c r="F351" t="s">
        <v>244</v>
      </c>
      <c r="G351" s="8">
        <v>500</v>
      </c>
      <c r="H351" t="s">
        <v>28</v>
      </c>
      <c r="I351" s="10">
        <v>1.2198800000000001</v>
      </c>
      <c r="J351" s="10">
        <v>609.94000000000005</v>
      </c>
      <c r="K351">
        <v>1.22</v>
      </c>
      <c r="L351" t="s">
        <v>40</v>
      </c>
      <c r="M351" t="s">
        <v>41</v>
      </c>
      <c r="N351" t="s">
        <v>89</v>
      </c>
      <c r="O351" t="s">
        <v>32</v>
      </c>
      <c r="P351">
        <v>500</v>
      </c>
      <c r="Q351" t="s">
        <v>28</v>
      </c>
      <c r="R351">
        <v>640</v>
      </c>
      <c r="S351">
        <v>1.28</v>
      </c>
      <c r="U351" t="s">
        <v>690</v>
      </c>
      <c r="V351">
        <v>20</v>
      </c>
      <c r="W351">
        <v>2008</v>
      </c>
      <c r="X351" s="17">
        <v>45822</v>
      </c>
      <c r="Y351">
        <v>28980237</v>
      </c>
      <c r="Z351" t="s">
        <v>421</v>
      </c>
      <c r="AC351" s="6"/>
      <c r="AH351" s="8"/>
      <c r="AJ351" s="10"/>
      <c r="AK351" s="10"/>
    </row>
    <row r="352" spans="1:37" x14ac:dyDescent="0.3">
      <c r="A352" s="6">
        <v>45836</v>
      </c>
      <c r="B352" s="11">
        <v>45836</v>
      </c>
      <c r="C352">
        <v>20081991</v>
      </c>
      <c r="D352" t="s">
        <v>729</v>
      </c>
      <c r="E352" t="s">
        <v>261</v>
      </c>
      <c r="F352" t="s">
        <v>79</v>
      </c>
      <c r="G352" s="8">
        <v>4500</v>
      </c>
      <c r="H352" t="s">
        <v>28</v>
      </c>
      <c r="I352" s="10">
        <v>6.1531377777777774</v>
      </c>
      <c r="J352" s="10">
        <v>27689.119999999999</v>
      </c>
      <c r="K352">
        <v>6153.14</v>
      </c>
      <c r="L352" t="s">
        <v>334</v>
      </c>
      <c r="M352" t="s">
        <v>335</v>
      </c>
      <c r="N352" t="s">
        <v>89</v>
      </c>
      <c r="O352" t="s">
        <v>32</v>
      </c>
      <c r="P352">
        <v>4.5</v>
      </c>
      <c r="Q352" t="s">
        <v>43</v>
      </c>
      <c r="R352">
        <v>28575</v>
      </c>
      <c r="S352">
        <v>6350</v>
      </c>
      <c r="T352" t="s">
        <v>33</v>
      </c>
      <c r="U352" t="s">
        <v>690</v>
      </c>
      <c r="V352">
        <v>20</v>
      </c>
      <c r="W352">
        <v>2008</v>
      </c>
      <c r="X352" s="17">
        <v>45823</v>
      </c>
      <c r="Y352">
        <v>29911903</v>
      </c>
      <c r="Z352" t="s">
        <v>262</v>
      </c>
      <c r="AC352" s="6"/>
      <c r="AH352" s="8"/>
      <c r="AJ352" s="10"/>
      <c r="AK352" s="10"/>
    </row>
    <row r="353" spans="1:37" x14ac:dyDescent="0.3">
      <c r="A353" s="6">
        <v>45839</v>
      </c>
      <c r="B353" s="11">
        <v>45839</v>
      </c>
      <c r="C353">
        <v>12079990</v>
      </c>
      <c r="D353" t="s">
        <v>730</v>
      </c>
      <c r="E353" t="s">
        <v>38</v>
      </c>
      <c r="F353" t="s">
        <v>434</v>
      </c>
      <c r="G353" s="8">
        <v>2000</v>
      </c>
      <c r="H353" t="s">
        <v>28</v>
      </c>
      <c r="I353" s="10">
        <v>2.0259399999999999</v>
      </c>
      <c r="J353" s="10">
        <v>4051.88</v>
      </c>
      <c r="K353">
        <v>2025.94</v>
      </c>
      <c r="L353" t="s">
        <v>40</v>
      </c>
      <c r="M353" t="s">
        <v>41</v>
      </c>
      <c r="N353" t="s">
        <v>42</v>
      </c>
      <c r="O353" t="s">
        <v>32</v>
      </c>
      <c r="P353">
        <v>2</v>
      </c>
      <c r="Q353" t="s">
        <v>43</v>
      </c>
      <c r="R353">
        <v>4120</v>
      </c>
      <c r="S353">
        <v>2060</v>
      </c>
      <c r="T353" t="s">
        <v>33</v>
      </c>
      <c r="U353" t="s">
        <v>592</v>
      </c>
      <c r="V353">
        <v>12</v>
      </c>
      <c r="W353">
        <v>1207</v>
      </c>
      <c r="X353" s="17">
        <v>45839</v>
      </c>
      <c r="Y353">
        <v>32546005</v>
      </c>
      <c r="Z353" t="s">
        <v>45</v>
      </c>
      <c r="AC353" s="6"/>
      <c r="AH353" s="8"/>
      <c r="AJ353" s="10"/>
      <c r="AK353" s="10"/>
    </row>
    <row r="354" spans="1:37" x14ac:dyDescent="0.3">
      <c r="A354" s="6">
        <v>45839</v>
      </c>
      <c r="B354" s="11">
        <v>45839</v>
      </c>
      <c r="C354">
        <v>20081999</v>
      </c>
      <c r="D354" t="s">
        <v>732</v>
      </c>
      <c r="E354" t="s">
        <v>313</v>
      </c>
      <c r="F354" t="s">
        <v>533</v>
      </c>
      <c r="G354" s="8">
        <v>1000</v>
      </c>
      <c r="H354" t="s">
        <v>28</v>
      </c>
      <c r="I354" s="10">
        <v>1.4049799999999999</v>
      </c>
      <c r="J354" s="10">
        <v>1404.98</v>
      </c>
      <c r="K354">
        <v>1.4</v>
      </c>
      <c r="L354" t="s">
        <v>379</v>
      </c>
      <c r="M354" t="s">
        <v>316</v>
      </c>
      <c r="N354" t="s">
        <v>317</v>
      </c>
      <c r="O354" t="s">
        <v>60</v>
      </c>
      <c r="P354">
        <v>1000</v>
      </c>
      <c r="Q354" t="s">
        <v>28</v>
      </c>
      <c r="R354">
        <v>121000</v>
      </c>
      <c r="S354">
        <v>121</v>
      </c>
      <c r="T354" t="s">
        <v>114</v>
      </c>
      <c r="U354" t="s">
        <v>690</v>
      </c>
      <c r="V354">
        <v>20</v>
      </c>
      <c r="W354">
        <v>2008</v>
      </c>
      <c r="X354" s="17">
        <v>45840</v>
      </c>
      <c r="Y354">
        <v>32298923</v>
      </c>
      <c r="Z354" t="s">
        <v>318</v>
      </c>
      <c r="AC354" s="6"/>
      <c r="AH354" s="8"/>
      <c r="AJ354" s="10"/>
      <c r="AK354" s="10"/>
    </row>
    <row r="355" spans="1:37" x14ac:dyDescent="0.3">
      <c r="A355" s="6">
        <v>45842</v>
      </c>
      <c r="B355" s="11">
        <v>45842</v>
      </c>
      <c r="C355">
        <v>20081999</v>
      </c>
      <c r="D355" t="s">
        <v>462</v>
      </c>
      <c r="E355" t="s">
        <v>313</v>
      </c>
      <c r="F355" t="s">
        <v>489</v>
      </c>
      <c r="G355" s="8">
        <v>2500</v>
      </c>
      <c r="H355" t="s">
        <v>28</v>
      </c>
      <c r="I355" s="10">
        <v>1.4290879999999999</v>
      </c>
      <c r="J355" s="10">
        <v>3572.72</v>
      </c>
      <c r="K355">
        <v>1.43</v>
      </c>
      <c r="L355" t="s">
        <v>379</v>
      </c>
      <c r="M355" t="s">
        <v>316</v>
      </c>
      <c r="N355" t="s">
        <v>317</v>
      </c>
      <c r="O355" t="s">
        <v>60</v>
      </c>
      <c r="P355">
        <v>2500</v>
      </c>
      <c r="Q355" t="s">
        <v>28</v>
      </c>
      <c r="R355">
        <v>302500</v>
      </c>
      <c r="S355">
        <v>121</v>
      </c>
      <c r="T355" t="s">
        <v>114</v>
      </c>
      <c r="U355" t="s">
        <v>690</v>
      </c>
      <c r="V355">
        <v>20</v>
      </c>
      <c r="W355">
        <v>2008</v>
      </c>
      <c r="X355" s="17">
        <v>45841</v>
      </c>
      <c r="Y355">
        <v>32530649</v>
      </c>
      <c r="Z355" t="s">
        <v>318</v>
      </c>
      <c r="AC355" s="6"/>
      <c r="AH355" s="8"/>
      <c r="AJ355" s="10"/>
      <c r="AK355" s="10"/>
    </row>
    <row r="356" spans="1:37" x14ac:dyDescent="0.3">
      <c r="A356" s="6">
        <v>45844</v>
      </c>
      <c r="B356" s="11">
        <v>45844</v>
      </c>
      <c r="C356">
        <v>20081999</v>
      </c>
      <c r="D356" t="s">
        <v>733</v>
      </c>
      <c r="E356" t="s">
        <v>313</v>
      </c>
      <c r="F356" t="s">
        <v>734</v>
      </c>
      <c r="G356" s="8">
        <v>2500</v>
      </c>
      <c r="H356" t="s">
        <v>28</v>
      </c>
      <c r="I356" s="10">
        <v>1.4409000000000001</v>
      </c>
      <c r="J356" s="10">
        <v>3602.25</v>
      </c>
      <c r="K356">
        <v>1.44</v>
      </c>
      <c r="L356" t="s">
        <v>322</v>
      </c>
      <c r="M356" t="s">
        <v>316</v>
      </c>
      <c r="N356" t="s">
        <v>323</v>
      </c>
      <c r="O356" t="s">
        <v>60</v>
      </c>
      <c r="P356">
        <v>2500</v>
      </c>
      <c r="Q356" t="s">
        <v>28</v>
      </c>
      <c r="R356">
        <v>305000</v>
      </c>
      <c r="S356">
        <v>122</v>
      </c>
      <c r="T356" t="s">
        <v>114</v>
      </c>
      <c r="U356" t="s">
        <v>690</v>
      </c>
      <c r="V356">
        <v>20</v>
      </c>
      <c r="W356">
        <v>2008</v>
      </c>
      <c r="X356" s="17">
        <v>45842</v>
      </c>
      <c r="Y356">
        <v>38383232</v>
      </c>
      <c r="Z356" t="s">
        <v>318</v>
      </c>
      <c r="AC356" s="6"/>
      <c r="AH356" s="8"/>
      <c r="AJ356" s="10"/>
      <c r="AK356" s="10"/>
    </row>
    <row r="357" spans="1:37" x14ac:dyDescent="0.3">
      <c r="A357" s="6">
        <v>45846</v>
      </c>
      <c r="B357" s="11">
        <v>45846</v>
      </c>
      <c r="C357">
        <v>20081999</v>
      </c>
      <c r="D357" t="s">
        <v>648</v>
      </c>
      <c r="E357" t="s">
        <v>622</v>
      </c>
      <c r="F357" t="s">
        <v>548</v>
      </c>
      <c r="G357" s="8">
        <v>4500</v>
      </c>
      <c r="H357" t="s">
        <v>28</v>
      </c>
      <c r="I357" s="10">
        <v>1.4172777777777781</v>
      </c>
      <c r="J357" s="10">
        <v>6377.75</v>
      </c>
      <c r="K357">
        <v>1.42</v>
      </c>
      <c r="L357" t="s">
        <v>379</v>
      </c>
      <c r="M357" t="s">
        <v>316</v>
      </c>
      <c r="N357" t="s">
        <v>317</v>
      </c>
      <c r="O357" t="s">
        <v>60</v>
      </c>
      <c r="P357">
        <v>4500</v>
      </c>
      <c r="Q357" t="s">
        <v>28</v>
      </c>
      <c r="R357">
        <v>540000</v>
      </c>
      <c r="S357">
        <v>120</v>
      </c>
      <c r="T357" t="s">
        <v>114</v>
      </c>
      <c r="U357" t="s">
        <v>690</v>
      </c>
      <c r="V357">
        <v>20</v>
      </c>
      <c r="W357">
        <v>2008</v>
      </c>
      <c r="X357" s="17">
        <v>45843</v>
      </c>
      <c r="Y357">
        <v>32399482</v>
      </c>
      <c r="Z357" t="s">
        <v>623</v>
      </c>
      <c r="AC357" s="6"/>
      <c r="AH357" s="8"/>
      <c r="AJ357" s="10"/>
      <c r="AK357" s="10"/>
    </row>
    <row r="358" spans="1:37" x14ac:dyDescent="0.3">
      <c r="A358" s="6">
        <v>45846</v>
      </c>
      <c r="B358" s="11">
        <v>45846</v>
      </c>
      <c r="C358">
        <v>12129990</v>
      </c>
      <c r="D358" t="s">
        <v>220</v>
      </c>
      <c r="E358" t="s">
        <v>47</v>
      </c>
      <c r="F358" t="s">
        <v>74</v>
      </c>
      <c r="G358" s="8">
        <v>995</v>
      </c>
      <c r="H358" t="s">
        <v>28</v>
      </c>
      <c r="I358" s="10">
        <v>4.4823718592964834</v>
      </c>
      <c r="J358" s="10">
        <v>4459.96</v>
      </c>
      <c r="K358">
        <v>4.4800000000000004</v>
      </c>
      <c r="L358" t="s">
        <v>75</v>
      </c>
      <c r="M358" t="s">
        <v>50</v>
      </c>
      <c r="N358" t="s">
        <v>51</v>
      </c>
      <c r="O358" t="s">
        <v>32</v>
      </c>
      <c r="P358">
        <v>995</v>
      </c>
      <c r="Q358" t="s">
        <v>28</v>
      </c>
      <c r="R358">
        <v>3383</v>
      </c>
      <c r="S358">
        <v>3.4</v>
      </c>
      <c r="T358" t="s">
        <v>52</v>
      </c>
      <c r="U358" t="s">
        <v>675</v>
      </c>
      <c r="V358">
        <v>12</v>
      </c>
      <c r="W358">
        <v>1212</v>
      </c>
      <c r="X358" s="17">
        <v>45844</v>
      </c>
      <c r="Y358">
        <v>32634338</v>
      </c>
      <c r="Z358" t="s">
        <v>53</v>
      </c>
      <c r="AC358" s="6"/>
      <c r="AH358" s="8"/>
      <c r="AJ358" s="10"/>
      <c r="AK358" s="10"/>
    </row>
    <row r="359" spans="1:37" x14ac:dyDescent="0.3">
      <c r="A359" s="6">
        <v>45846</v>
      </c>
      <c r="B359" s="11">
        <v>45846</v>
      </c>
      <c r="C359">
        <v>20081999</v>
      </c>
      <c r="D359" t="s">
        <v>648</v>
      </c>
      <c r="E359" t="s">
        <v>622</v>
      </c>
      <c r="F359" t="s">
        <v>548</v>
      </c>
      <c r="G359" s="8">
        <v>1500</v>
      </c>
      <c r="H359" t="s">
        <v>28</v>
      </c>
      <c r="I359" s="10">
        <v>1.4172800000000001</v>
      </c>
      <c r="J359" s="10">
        <v>2125.92</v>
      </c>
      <c r="K359">
        <v>1.42</v>
      </c>
      <c r="L359" t="s">
        <v>379</v>
      </c>
      <c r="M359" t="s">
        <v>316</v>
      </c>
      <c r="N359" t="s">
        <v>317</v>
      </c>
      <c r="O359" t="s">
        <v>60</v>
      </c>
      <c r="P359">
        <v>1500</v>
      </c>
      <c r="Q359" t="s">
        <v>28</v>
      </c>
      <c r="R359">
        <v>180000</v>
      </c>
      <c r="S359">
        <v>120</v>
      </c>
      <c r="T359" t="s">
        <v>114</v>
      </c>
      <c r="U359" t="s">
        <v>690</v>
      </c>
      <c r="V359">
        <v>20</v>
      </c>
      <c r="W359">
        <v>2008</v>
      </c>
      <c r="X359" s="17">
        <v>45845</v>
      </c>
      <c r="Y359">
        <v>32399479</v>
      </c>
      <c r="Z359" t="s">
        <v>623</v>
      </c>
      <c r="AC359" s="6"/>
      <c r="AH359" s="8"/>
      <c r="AJ359" s="10"/>
      <c r="AK359" s="10"/>
    </row>
    <row r="360" spans="1:37" x14ac:dyDescent="0.3">
      <c r="A360" s="6">
        <v>45847</v>
      </c>
      <c r="B360" s="11">
        <v>45847</v>
      </c>
      <c r="C360">
        <v>20081929</v>
      </c>
      <c r="D360" t="s">
        <v>735</v>
      </c>
      <c r="E360" t="s">
        <v>127</v>
      </c>
      <c r="F360" t="s">
        <v>79</v>
      </c>
      <c r="G360" s="8">
        <v>1000</v>
      </c>
      <c r="H360" t="s">
        <v>28</v>
      </c>
      <c r="I360" s="10">
        <v>4.2033999999999994</v>
      </c>
      <c r="J360" s="10">
        <v>4203.3999999999996</v>
      </c>
      <c r="K360">
        <v>4.2</v>
      </c>
      <c r="L360" t="s">
        <v>612</v>
      </c>
      <c r="M360" t="s">
        <v>81</v>
      </c>
      <c r="N360" t="s">
        <v>51</v>
      </c>
      <c r="O360" t="s">
        <v>32</v>
      </c>
      <c r="P360">
        <v>1000</v>
      </c>
      <c r="Q360" t="s">
        <v>28</v>
      </c>
      <c r="R360">
        <v>4430</v>
      </c>
      <c r="S360">
        <v>4.43</v>
      </c>
      <c r="T360" t="s">
        <v>33</v>
      </c>
      <c r="U360" t="s">
        <v>690</v>
      </c>
      <c r="V360">
        <v>20</v>
      </c>
      <c r="W360">
        <v>2008</v>
      </c>
      <c r="X360" s="17">
        <v>45846</v>
      </c>
      <c r="Y360">
        <v>32540361</v>
      </c>
      <c r="Z360" t="s">
        <v>130</v>
      </c>
      <c r="AC360" s="6"/>
      <c r="AH360" s="8"/>
      <c r="AJ360" s="10"/>
      <c r="AK360" s="10"/>
    </row>
    <row r="361" spans="1:37" x14ac:dyDescent="0.3">
      <c r="A361" s="6">
        <v>45851</v>
      </c>
      <c r="B361" s="11">
        <v>45851</v>
      </c>
      <c r="C361">
        <v>20081999</v>
      </c>
      <c r="D361" t="s">
        <v>177</v>
      </c>
      <c r="E361" t="s">
        <v>313</v>
      </c>
      <c r="F361" t="s">
        <v>634</v>
      </c>
      <c r="G361" s="8">
        <v>1000</v>
      </c>
      <c r="H361" t="s">
        <v>28</v>
      </c>
      <c r="I361" s="10">
        <v>1.42909</v>
      </c>
      <c r="J361" s="10">
        <v>1429.09</v>
      </c>
      <c r="K361">
        <v>1.43</v>
      </c>
      <c r="L361" t="s">
        <v>315</v>
      </c>
      <c r="M361" t="s">
        <v>316</v>
      </c>
      <c r="N361" t="s">
        <v>317</v>
      </c>
      <c r="O361" t="s">
        <v>60</v>
      </c>
      <c r="P361">
        <v>1000</v>
      </c>
      <c r="Q361" t="s">
        <v>28</v>
      </c>
      <c r="R361">
        <v>121000</v>
      </c>
      <c r="S361">
        <v>121</v>
      </c>
      <c r="T361" t="s">
        <v>114</v>
      </c>
      <c r="U361" t="s">
        <v>690</v>
      </c>
      <c r="V361">
        <v>20</v>
      </c>
      <c r="W361">
        <v>2008</v>
      </c>
      <c r="X361" s="17">
        <v>45847</v>
      </c>
      <c r="Y361">
        <v>34302154</v>
      </c>
      <c r="Z361" t="s">
        <v>318</v>
      </c>
      <c r="AC361" s="6"/>
      <c r="AH361" s="8"/>
      <c r="AJ361" s="10"/>
      <c r="AK361" s="10"/>
    </row>
    <row r="362" spans="1:37" x14ac:dyDescent="0.3">
      <c r="A362" s="6">
        <v>45852</v>
      </c>
      <c r="B362" s="11">
        <v>45852</v>
      </c>
      <c r="C362">
        <v>20081999</v>
      </c>
      <c r="D362" t="s">
        <v>648</v>
      </c>
      <c r="E362" t="s">
        <v>622</v>
      </c>
      <c r="F362" t="s">
        <v>638</v>
      </c>
      <c r="G362" s="8">
        <v>2000</v>
      </c>
      <c r="H362" t="s">
        <v>28</v>
      </c>
      <c r="I362" s="10">
        <v>1.6653</v>
      </c>
      <c r="J362" s="10">
        <v>3330.6</v>
      </c>
      <c r="K362">
        <v>1.67</v>
      </c>
      <c r="L362" t="s">
        <v>379</v>
      </c>
      <c r="M362" t="s">
        <v>316</v>
      </c>
      <c r="N362" t="s">
        <v>317</v>
      </c>
      <c r="O362" t="s">
        <v>60</v>
      </c>
      <c r="P362">
        <v>2000</v>
      </c>
      <c r="Q362" t="s">
        <v>28</v>
      </c>
      <c r="R362">
        <v>282000</v>
      </c>
      <c r="S362">
        <v>141</v>
      </c>
      <c r="T362" t="s">
        <v>114</v>
      </c>
      <c r="U362" t="s">
        <v>690</v>
      </c>
      <c r="V362">
        <v>20</v>
      </c>
      <c r="W362">
        <v>2008</v>
      </c>
      <c r="X362" s="17">
        <v>45848</v>
      </c>
      <c r="Y362">
        <v>33672183</v>
      </c>
      <c r="Z362" t="s">
        <v>623</v>
      </c>
      <c r="AC362" s="6"/>
      <c r="AH362" s="8"/>
      <c r="AJ362" s="10"/>
      <c r="AK362" s="10"/>
    </row>
    <row r="363" spans="1:37" x14ac:dyDescent="0.3">
      <c r="A363" s="6">
        <v>45854</v>
      </c>
      <c r="B363" s="11">
        <v>45854</v>
      </c>
      <c r="C363">
        <v>20081999</v>
      </c>
      <c r="D363" t="s">
        <v>462</v>
      </c>
      <c r="E363" t="s">
        <v>313</v>
      </c>
      <c r="F363" t="s">
        <v>521</v>
      </c>
      <c r="G363" s="8">
        <v>200</v>
      </c>
      <c r="H363" t="s">
        <v>28</v>
      </c>
      <c r="I363" s="10">
        <v>1.4033</v>
      </c>
      <c r="J363" s="10">
        <v>280.66000000000003</v>
      </c>
      <c r="K363">
        <v>1.4</v>
      </c>
      <c r="L363" t="s">
        <v>322</v>
      </c>
      <c r="M363" t="s">
        <v>316</v>
      </c>
      <c r="N363" t="s">
        <v>323</v>
      </c>
      <c r="O363" t="s">
        <v>60</v>
      </c>
      <c r="P363">
        <v>200</v>
      </c>
      <c r="Q363" t="s">
        <v>28</v>
      </c>
      <c r="R363">
        <v>24200</v>
      </c>
      <c r="S363">
        <v>121</v>
      </c>
      <c r="T363" t="s">
        <v>114</v>
      </c>
      <c r="U363" t="s">
        <v>690</v>
      </c>
      <c r="V363">
        <v>20</v>
      </c>
      <c r="W363">
        <v>2008</v>
      </c>
      <c r="X363" s="17">
        <v>45849</v>
      </c>
      <c r="Y363">
        <v>37876457</v>
      </c>
      <c r="Z363" t="s">
        <v>318</v>
      </c>
      <c r="AC363" s="6"/>
      <c r="AH363" s="8"/>
      <c r="AJ363" s="10"/>
      <c r="AK363" s="10"/>
    </row>
    <row r="364" spans="1:37" x14ac:dyDescent="0.3">
      <c r="A364" s="6">
        <v>45854</v>
      </c>
      <c r="B364" s="11">
        <v>45854</v>
      </c>
      <c r="C364">
        <v>20081999</v>
      </c>
      <c r="D364" t="s">
        <v>132</v>
      </c>
      <c r="E364" t="s">
        <v>313</v>
      </c>
      <c r="F364" t="s">
        <v>579</v>
      </c>
      <c r="G364" s="8">
        <v>1000</v>
      </c>
      <c r="H364" t="s">
        <v>28</v>
      </c>
      <c r="I364" s="10">
        <v>1.4409000000000001</v>
      </c>
      <c r="J364" s="10">
        <v>1440.9</v>
      </c>
      <c r="K364">
        <v>1.44</v>
      </c>
      <c r="L364" t="s">
        <v>379</v>
      </c>
      <c r="M364" t="s">
        <v>316</v>
      </c>
      <c r="N364" t="s">
        <v>317</v>
      </c>
      <c r="O364" t="s">
        <v>60</v>
      </c>
      <c r="P364">
        <v>1000</v>
      </c>
      <c r="Q364" t="s">
        <v>28</v>
      </c>
      <c r="R364">
        <v>122000</v>
      </c>
      <c r="S364">
        <v>122</v>
      </c>
      <c r="T364" t="s">
        <v>114</v>
      </c>
      <c r="U364" t="s">
        <v>690</v>
      </c>
      <c r="V364">
        <v>20</v>
      </c>
      <c r="W364">
        <v>2008</v>
      </c>
      <c r="X364" s="17">
        <v>45850</v>
      </c>
      <c r="Y364">
        <v>33740706</v>
      </c>
      <c r="Z364" t="s">
        <v>318</v>
      </c>
      <c r="AC364" s="6"/>
      <c r="AH364" s="8"/>
      <c r="AJ364" s="10"/>
      <c r="AK364" s="10"/>
    </row>
    <row r="365" spans="1:37" x14ac:dyDescent="0.3">
      <c r="A365" s="6">
        <v>45855</v>
      </c>
      <c r="B365" s="11">
        <v>45855</v>
      </c>
      <c r="C365">
        <v>20081929</v>
      </c>
      <c r="D365" t="s">
        <v>736</v>
      </c>
      <c r="E365" t="s">
        <v>78</v>
      </c>
      <c r="F365" t="s">
        <v>79</v>
      </c>
      <c r="G365" s="8">
        <v>400</v>
      </c>
      <c r="H365" t="s">
        <v>28</v>
      </c>
      <c r="I365" s="10">
        <v>3.9910749999999999</v>
      </c>
      <c r="J365" s="10">
        <v>1596.43</v>
      </c>
      <c r="K365">
        <v>3.99</v>
      </c>
      <c r="L365" t="s">
        <v>612</v>
      </c>
      <c r="M365" t="s">
        <v>81</v>
      </c>
      <c r="N365" t="s">
        <v>51</v>
      </c>
      <c r="O365" t="s">
        <v>32</v>
      </c>
      <c r="P365">
        <v>400</v>
      </c>
      <c r="Q365" t="s">
        <v>28</v>
      </c>
      <c r="R365">
        <v>1600</v>
      </c>
      <c r="S365">
        <v>4</v>
      </c>
      <c r="T365" t="s">
        <v>33</v>
      </c>
      <c r="U365" t="s">
        <v>690</v>
      </c>
      <c r="V365">
        <v>20</v>
      </c>
      <c r="W365">
        <v>2008</v>
      </c>
      <c r="X365" s="17">
        <v>45851</v>
      </c>
      <c r="Y365">
        <v>33464337</v>
      </c>
      <c r="Z365" t="s">
        <v>83</v>
      </c>
      <c r="AC365" s="6"/>
      <c r="AH365" s="8"/>
      <c r="AJ365" s="10"/>
      <c r="AK365" s="10"/>
    </row>
    <row r="366" spans="1:37" x14ac:dyDescent="0.3">
      <c r="A366" s="6">
        <v>45857</v>
      </c>
      <c r="B366" s="11">
        <v>45857</v>
      </c>
      <c r="C366">
        <v>20081999</v>
      </c>
      <c r="D366" t="s">
        <v>732</v>
      </c>
      <c r="E366" t="s">
        <v>313</v>
      </c>
      <c r="F366" t="s">
        <v>538</v>
      </c>
      <c r="G366" s="8">
        <v>500</v>
      </c>
      <c r="H366" t="s">
        <v>28</v>
      </c>
      <c r="I366" s="10">
        <v>1.3934200000000001</v>
      </c>
      <c r="J366" s="10">
        <v>696.71</v>
      </c>
      <c r="K366">
        <v>1.39</v>
      </c>
      <c r="L366" t="s">
        <v>379</v>
      </c>
      <c r="M366" t="s">
        <v>316</v>
      </c>
      <c r="N366" t="s">
        <v>317</v>
      </c>
      <c r="O366" t="s">
        <v>60</v>
      </c>
      <c r="P366">
        <v>500</v>
      </c>
      <c r="Q366" t="s">
        <v>28</v>
      </c>
      <c r="R366">
        <v>60500</v>
      </c>
      <c r="S366">
        <v>121</v>
      </c>
      <c r="T366" t="s">
        <v>114</v>
      </c>
      <c r="U366" t="s">
        <v>690</v>
      </c>
      <c r="V366">
        <v>20</v>
      </c>
      <c r="W366">
        <v>2008</v>
      </c>
      <c r="X366" s="17">
        <v>45852</v>
      </c>
      <c r="Y366">
        <v>33576383</v>
      </c>
      <c r="Z366" t="s">
        <v>318</v>
      </c>
      <c r="AC366" s="6"/>
      <c r="AH366" s="8"/>
      <c r="AJ366" s="10"/>
      <c r="AK366" s="10"/>
    </row>
    <row r="367" spans="1:37" x14ac:dyDescent="0.3">
      <c r="A367" s="6">
        <v>45857</v>
      </c>
      <c r="B367" s="11">
        <v>45857</v>
      </c>
      <c r="C367">
        <v>20081999</v>
      </c>
      <c r="D367" t="s">
        <v>132</v>
      </c>
      <c r="E367" t="s">
        <v>313</v>
      </c>
      <c r="F367" t="s">
        <v>534</v>
      </c>
      <c r="G367" s="8">
        <v>1250</v>
      </c>
      <c r="H367" t="s">
        <v>28</v>
      </c>
      <c r="I367" s="10">
        <v>1.4190160000000001</v>
      </c>
      <c r="J367" s="10">
        <v>1773.77</v>
      </c>
      <c r="K367">
        <v>1.42</v>
      </c>
      <c r="L367" t="s">
        <v>379</v>
      </c>
      <c r="M367" t="s">
        <v>316</v>
      </c>
      <c r="N367" t="s">
        <v>317</v>
      </c>
      <c r="O367" t="s">
        <v>60</v>
      </c>
      <c r="P367">
        <v>1250</v>
      </c>
      <c r="Q367" t="s">
        <v>28</v>
      </c>
      <c r="R367">
        <v>151250</v>
      </c>
      <c r="S367">
        <v>121</v>
      </c>
      <c r="T367" t="s">
        <v>114</v>
      </c>
      <c r="U367" t="s">
        <v>690</v>
      </c>
      <c r="V367">
        <v>20</v>
      </c>
      <c r="W367">
        <v>2008</v>
      </c>
      <c r="X367" s="17">
        <v>45853</v>
      </c>
      <c r="Y367">
        <v>33837783</v>
      </c>
      <c r="Z367" t="s">
        <v>318</v>
      </c>
      <c r="AC367" s="6"/>
      <c r="AH367" s="8"/>
      <c r="AJ367" s="10"/>
      <c r="AK367" s="10"/>
    </row>
    <row r="368" spans="1:37" x14ac:dyDescent="0.3">
      <c r="A368" s="6">
        <v>45863</v>
      </c>
      <c r="B368" s="11">
        <v>45863</v>
      </c>
      <c r="C368">
        <v>20081999</v>
      </c>
      <c r="D368" t="s">
        <v>132</v>
      </c>
      <c r="E368" t="s">
        <v>313</v>
      </c>
      <c r="F368" t="s">
        <v>707</v>
      </c>
      <c r="G368" s="8">
        <v>850</v>
      </c>
      <c r="H368" t="s">
        <v>28</v>
      </c>
      <c r="I368" s="10">
        <v>1.419011764705882</v>
      </c>
      <c r="J368" s="10">
        <v>1206.1600000000001</v>
      </c>
      <c r="K368">
        <v>1.42</v>
      </c>
      <c r="L368" t="s">
        <v>379</v>
      </c>
      <c r="M368" t="s">
        <v>316</v>
      </c>
      <c r="N368" t="s">
        <v>317</v>
      </c>
      <c r="O368" t="s">
        <v>60</v>
      </c>
      <c r="P368">
        <v>850</v>
      </c>
      <c r="Q368" t="s">
        <v>28</v>
      </c>
      <c r="R368">
        <v>102850</v>
      </c>
      <c r="S368">
        <v>121</v>
      </c>
      <c r="T368" t="s">
        <v>114</v>
      </c>
      <c r="U368" t="s">
        <v>690</v>
      </c>
      <c r="V368">
        <v>20</v>
      </c>
      <c r="W368">
        <v>2008</v>
      </c>
      <c r="X368" s="17">
        <v>45854</v>
      </c>
      <c r="Y368">
        <v>37594859</v>
      </c>
      <c r="Z368" t="s">
        <v>318</v>
      </c>
      <c r="AC368" s="6"/>
      <c r="AH368" s="8"/>
      <c r="AJ368" s="10"/>
      <c r="AK368" s="10"/>
    </row>
    <row r="369" spans="1:37" x14ac:dyDescent="0.3">
      <c r="A369" s="6">
        <v>45863</v>
      </c>
      <c r="B369" s="11">
        <v>45863</v>
      </c>
      <c r="C369">
        <v>20081999</v>
      </c>
      <c r="D369" t="s">
        <v>132</v>
      </c>
      <c r="E369" t="s">
        <v>313</v>
      </c>
      <c r="F369" t="s">
        <v>737</v>
      </c>
      <c r="G369" s="8">
        <v>4000</v>
      </c>
      <c r="H369" t="s">
        <v>28</v>
      </c>
      <c r="I369" s="10">
        <v>1.4190125</v>
      </c>
      <c r="J369" s="10">
        <v>5676.05</v>
      </c>
      <c r="K369">
        <v>1.42</v>
      </c>
      <c r="L369" t="s">
        <v>379</v>
      </c>
      <c r="M369" t="s">
        <v>316</v>
      </c>
      <c r="N369" t="s">
        <v>317</v>
      </c>
      <c r="O369" t="s">
        <v>60</v>
      </c>
      <c r="P369">
        <v>4000</v>
      </c>
      <c r="Q369" t="s">
        <v>28</v>
      </c>
      <c r="R369">
        <v>484000</v>
      </c>
      <c r="S369">
        <v>121</v>
      </c>
      <c r="T369" t="s">
        <v>114</v>
      </c>
      <c r="U369" t="s">
        <v>690</v>
      </c>
      <c r="V369">
        <v>20</v>
      </c>
      <c r="W369">
        <v>2008</v>
      </c>
      <c r="X369" s="17">
        <v>45855</v>
      </c>
      <c r="Y369">
        <v>37308522</v>
      </c>
      <c r="Z369" t="s">
        <v>318</v>
      </c>
      <c r="AC369" s="6"/>
      <c r="AH369" s="8"/>
      <c r="AJ369" s="10"/>
      <c r="AK369" s="10"/>
    </row>
    <row r="370" spans="1:37" x14ac:dyDescent="0.3">
      <c r="A370" s="6">
        <v>45866</v>
      </c>
      <c r="B370" s="11">
        <v>45866</v>
      </c>
      <c r="C370">
        <v>20081992</v>
      </c>
      <c r="D370" t="s">
        <v>721</v>
      </c>
      <c r="E370" t="s">
        <v>586</v>
      </c>
      <c r="F370" t="s">
        <v>722</v>
      </c>
      <c r="G370" s="8">
        <v>206.25</v>
      </c>
      <c r="H370" t="s">
        <v>28</v>
      </c>
      <c r="I370" s="10">
        <v>6.8952727272727277</v>
      </c>
      <c r="J370" s="10">
        <v>1422.15</v>
      </c>
      <c r="K370">
        <v>6.9</v>
      </c>
      <c r="L370" t="s">
        <v>180</v>
      </c>
      <c r="M370" t="s">
        <v>112</v>
      </c>
      <c r="N370" t="s">
        <v>588</v>
      </c>
      <c r="O370" t="s">
        <v>32</v>
      </c>
      <c r="P370">
        <v>206.25</v>
      </c>
      <c r="Q370" t="s">
        <v>28</v>
      </c>
      <c r="R370">
        <v>1425.19</v>
      </c>
      <c r="S370">
        <v>6.91</v>
      </c>
      <c r="T370" t="s">
        <v>33</v>
      </c>
      <c r="U370" t="s">
        <v>690</v>
      </c>
      <c r="V370">
        <v>20</v>
      </c>
      <c r="W370">
        <v>2008</v>
      </c>
      <c r="X370" s="17">
        <v>45856</v>
      </c>
      <c r="Y370">
        <v>36987590</v>
      </c>
      <c r="Z370" t="s">
        <v>590</v>
      </c>
      <c r="AC370" s="6"/>
      <c r="AH370" s="8"/>
      <c r="AJ370" s="10"/>
      <c r="AK370" s="10"/>
    </row>
    <row r="371" spans="1:37" x14ac:dyDescent="0.3">
      <c r="A371" s="6">
        <v>45868</v>
      </c>
      <c r="B371" s="11">
        <v>45868</v>
      </c>
      <c r="C371">
        <v>20081999</v>
      </c>
      <c r="D371" t="s">
        <v>660</v>
      </c>
      <c r="E371" t="s">
        <v>661</v>
      </c>
      <c r="F371" t="s">
        <v>662</v>
      </c>
      <c r="G371" s="8">
        <v>50</v>
      </c>
      <c r="H371" t="s">
        <v>28</v>
      </c>
      <c r="I371" s="10">
        <v>4.6063999999999998</v>
      </c>
      <c r="J371" s="10">
        <v>230.32</v>
      </c>
      <c r="K371">
        <v>4.6100000000000003</v>
      </c>
      <c r="L371" t="s">
        <v>465</v>
      </c>
      <c r="M371" t="s">
        <v>136</v>
      </c>
      <c r="N371" t="s">
        <v>466</v>
      </c>
      <c r="O371" t="s">
        <v>60</v>
      </c>
      <c r="P371">
        <v>50</v>
      </c>
      <c r="Q371" t="s">
        <v>28</v>
      </c>
      <c r="R371">
        <v>20000</v>
      </c>
      <c r="S371">
        <v>400</v>
      </c>
      <c r="T371" t="s">
        <v>114</v>
      </c>
      <c r="U371" t="s">
        <v>690</v>
      </c>
      <c r="V371">
        <v>20</v>
      </c>
      <c r="W371">
        <v>2008</v>
      </c>
      <c r="X371" s="17">
        <v>45857</v>
      </c>
      <c r="Y371">
        <v>36971607</v>
      </c>
      <c r="Z371" t="s">
        <v>663</v>
      </c>
      <c r="AC371" s="6"/>
      <c r="AH371" s="8"/>
      <c r="AJ371" s="10"/>
      <c r="AK371" s="10"/>
    </row>
    <row r="372" spans="1:37" x14ac:dyDescent="0.3">
      <c r="A372" s="6">
        <v>45868</v>
      </c>
      <c r="B372" s="11">
        <v>45868</v>
      </c>
      <c r="C372">
        <v>20081999</v>
      </c>
      <c r="D372" t="s">
        <v>648</v>
      </c>
      <c r="E372" t="s">
        <v>622</v>
      </c>
      <c r="F372" t="s">
        <v>314</v>
      </c>
      <c r="G372" s="8">
        <v>2500</v>
      </c>
      <c r="H372" t="s">
        <v>28</v>
      </c>
      <c r="I372" s="10">
        <v>1.4190119999999999</v>
      </c>
      <c r="J372" s="10">
        <v>3547.53</v>
      </c>
      <c r="K372">
        <v>1.42</v>
      </c>
      <c r="L372" t="s">
        <v>379</v>
      </c>
      <c r="M372" t="s">
        <v>316</v>
      </c>
      <c r="N372" t="s">
        <v>317</v>
      </c>
      <c r="O372" t="s">
        <v>60</v>
      </c>
      <c r="P372">
        <v>2500</v>
      </c>
      <c r="Q372" t="s">
        <v>28</v>
      </c>
      <c r="R372">
        <v>302500</v>
      </c>
      <c r="S372">
        <v>121</v>
      </c>
      <c r="T372" t="s">
        <v>114</v>
      </c>
      <c r="U372" t="s">
        <v>690</v>
      </c>
      <c r="V372">
        <v>20</v>
      </c>
      <c r="W372">
        <v>2008</v>
      </c>
      <c r="X372" s="17">
        <v>45858</v>
      </c>
      <c r="Y372">
        <v>37327141</v>
      </c>
      <c r="Z372" t="s">
        <v>623</v>
      </c>
      <c r="AC372" s="6"/>
      <c r="AH372" s="8"/>
      <c r="AJ372" s="10"/>
      <c r="AK372" s="10"/>
    </row>
    <row r="373" spans="1:37" x14ac:dyDescent="0.3">
      <c r="A373" s="6">
        <v>45869</v>
      </c>
      <c r="B373" s="11">
        <v>45869</v>
      </c>
      <c r="C373">
        <v>20081999</v>
      </c>
      <c r="D373" t="s">
        <v>132</v>
      </c>
      <c r="E373" t="s">
        <v>313</v>
      </c>
      <c r="F373" t="s">
        <v>404</v>
      </c>
      <c r="G373" s="8">
        <v>2000</v>
      </c>
      <c r="H373" t="s">
        <v>28</v>
      </c>
      <c r="I373" s="10">
        <v>1.4190149999999999</v>
      </c>
      <c r="J373" s="10">
        <v>2838.03</v>
      </c>
      <c r="K373">
        <v>1.42</v>
      </c>
      <c r="L373" t="s">
        <v>315</v>
      </c>
      <c r="M373" t="s">
        <v>316</v>
      </c>
      <c r="N373" t="s">
        <v>317</v>
      </c>
      <c r="O373" t="s">
        <v>60</v>
      </c>
      <c r="P373">
        <v>2000</v>
      </c>
      <c r="Q373" t="s">
        <v>28</v>
      </c>
      <c r="R373">
        <v>242000</v>
      </c>
      <c r="S373">
        <v>121</v>
      </c>
      <c r="T373" t="s">
        <v>114</v>
      </c>
      <c r="U373" t="s">
        <v>690</v>
      </c>
      <c r="V373">
        <v>20</v>
      </c>
      <c r="W373">
        <v>2008</v>
      </c>
      <c r="X373" s="17">
        <v>45859</v>
      </c>
      <c r="Y373">
        <v>37029575</v>
      </c>
      <c r="Z373" t="s">
        <v>318</v>
      </c>
      <c r="AC373" s="6"/>
      <c r="AH373" s="8"/>
      <c r="AJ373" s="10"/>
      <c r="AK373" s="10"/>
    </row>
    <row r="374" spans="1:37" x14ac:dyDescent="0.3">
      <c r="A374" s="6">
        <v>45869</v>
      </c>
      <c r="B374" s="11">
        <v>45869</v>
      </c>
      <c r="C374">
        <v>20081999</v>
      </c>
      <c r="D374" t="s">
        <v>732</v>
      </c>
      <c r="E374" t="s">
        <v>313</v>
      </c>
      <c r="F374" t="s">
        <v>534</v>
      </c>
      <c r="G374" s="8">
        <v>1000</v>
      </c>
      <c r="H374" t="s">
        <v>28</v>
      </c>
      <c r="I374" s="10">
        <v>1.4190100000000001</v>
      </c>
      <c r="J374" s="10">
        <v>1419.01</v>
      </c>
      <c r="K374">
        <v>1.42</v>
      </c>
      <c r="L374" t="s">
        <v>379</v>
      </c>
      <c r="M374" t="s">
        <v>316</v>
      </c>
      <c r="N374" t="s">
        <v>317</v>
      </c>
      <c r="O374" t="s">
        <v>60</v>
      </c>
      <c r="P374">
        <v>1000</v>
      </c>
      <c r="Q374" t="s">
        <v>28</v>
      </c>
      <c r="R374">
        <v>121000</v>
      </c>
      <c r="S374">
        <v>121</v>
      </c>
      <c r="T374" t="s">
        <v>114</v>
      </c>
      <c r="U374" t="s">
        <v>690</v>
      </c>
      <c r="V374">
        <v>20</v>
      </c>
      <c r="W374">
        <v>2008</v>
      </c>
      <c r="X374" s="17">
        <v>45860</v>
      </c>
      <c r="Y374">
        <v>36993110</v>
      </c>
      <c r="Z374" t="s">
        <v>318</v>
      </c>
      <c r="AC374" s="6"/>
      <c r="AH374" s="8"/>
      <c r="AJ374" s="10"/>
      <c r="AK374" s="10"/>
    </row>
    <row r="375" spans="1:37" x14ac:dyDescent="0.3">
      <c r="A375" s="6">
        <v>45871</v>
      </c>
      <c r="B375" s="11">
        <v>45871</v>
      </c>
      <c r="C375">
        <v>20081999</v>
      </c>
      <c r="D375" t="s">
        <v>132</v>
      </c>
      <c r="E375" t="s">
        <v>313</v>
      </c>
      <c r="F375" t="s">
        <v>548</v>
      </c>
      <c r="G375" s="8">
        <v>6850</v>
      </c>
      <c r="H375" t="s">
        <v>28</v>
      </c>
      <c r="I375" s="10">
        <v>1.184465693430657</v>
      </c>
      <c r="J375" s="10">
        <v>8113.59</v>
      </c>
      <c r="K375">
        <v>1.18</v>
      </c>
      <c r="L375" t="s">
        <v>379</v>
      </c>
      <c r="M375" t="s">
        <v>316</v>
      </c>
      <c r="N375" t="s">
        <v>317</v>
      </c>
      <c r="O375" t="s">
        <v>60</v>
      </c>
      <c r="P375">
        <v>6850</v>
      </c>
      <c r="Q375" t="s">
        <v>28</v>
      </c>
      <c r="R375">
        <v>691850</v>
      </c>
      <c r="S375">
        <v>101</v>
      </c>
      <c r="T375" t="s">
        <v>114</v>
      </c>
      <c r="U375" t="s">
        <v>690</v>
      </c>
      <c r="V375">
        <v>20</v>
      </c>
      <c r="W375">
        <v>2008</v>
      </c>
      <c r="X375" s="17">
        <v>45870</v>
      </c>
      <c r="Y375">
        <v>39798093</v>
      </c>
      <c r="Z375" t="s">
        <v>318</v>
      </c>
      <c r="AC375" s="6"/>
      <c r="AH375" s="8"/>
      <c r="AJ375" s="10"/>
      <c r="AK375" s="10"/>
    </row>
    <row r="376" spans="1:37" x14ac:dyDescent="0.3">
      <c r="A376" s="6">
        <v>45872</v>
      </c>
      <c r="B376" s="11">
        <v>45872</v>
      </c>
      <c r="C376">
        <v>20081999</v>
      </c>
      <c r="D376" t="s">
        <v>177</v>
      </c>
      <c r="E376" t="s">
        <v>313</v>
      </c>
      <c r="F376" t="s">
        <v>519</v>
      </c>
      <c r="G376" s="8">
        <v>500</v>
      </c>
      <c r="H376" t="s">
        <v>28</v>
      </c>
      <c r="I376" s="10">
        <v>1.3934200000000001</v>
      </c>
      <c r="J376" s="10">
        <v>696.71</v>
      </c>
      <c r="K376">
        <v>1.39</v>
      </c>
      <c r="L376" t="s">
        <v>315</v>
      </c>
      <c r="M376" t="s">
        <v>316</v>
      </c>
      <c r="N376" t="s">
        <v>317</v>
      </c>
      <c r="O376" t="s">
        <v>60</v>
      </c>
      <c r="P376">
        <v>500</v>
      </c>
      <c r="Q376" t="s">
        <v>28</v>
      </c>
      <c r="R376">
        <v>60500</v>
      </c>
      <c r="S376">
        <v>121</v>
      </c>
      <c r="T376" t="s">
        <v>114</v>
      </c>
      <c r="U376" t="s">
        <v>690</v>
      </c>
      <c r="V376">
        <v>20</v>
      </c>
      <c r="W376">
        <v>2008</v>
      </c>
      <c r="X376" s="17">
        <v>45871</v>
      </c>
      <c r="Y376">
        <v>39737015</v>
      </c>
      <c r="Z376" t="s">
        <v>318</v>
      </c>
      <c r="AC376" s="6"/>
      <c r="AH376" s="8"/>
      <c r="AJ376" s="10"/>
      <c r="AK376" s="10"/>
    </row>
    <row r="377" spans="1:37" x14ac:dyDescent="0.3">
      <c r="A377" s="6">
        <v>45873</v>
      </c>
      <c r="B377" s="11">
        <v>45873</v>
      </c>
      <c r="C377">
        <v>20081929</v>
      </c>
      <c r="D377" t="s">
        <v>177</v>
      </c>
      <c r="E377" t="s">
        <v>604</v>
      </c>
      <c r="F377" t="s">
        <v>739</v>
      </c>
      <c r="G377" s="8">
        <v>200</v>
      </c>
      <c r="H377" t="s">
        <v>28</v>
      </c>
      <c r="I377" s="10">
        <v>4.4832999999999998</v>
      </c>
      <c r="J377" s="10">
        <v>896.66</v>
      </c>
      <c r="K377">
        <v>4.4800000000000004</v>
      </c>
      <c r="L377" t="s">
        <v>149</v>
      </c>
      <c r="M377" t="s">
        <v>150</v>
      </c>
      <c r="N377" t="s">
        <v>174</v>
      </c>
      <c r="O377" t="s">
        <v>32</v>
      </c>
      <c r="P377">
        <v>200</v>
      </c>
      <c r="Q377" t="s">
        <v>28</v>
      </c>
      <c r="R377">
        <v>920</v>
      </c>
      <c r="S377">
        <v>4.5999999999999996</v>
      </c>
      <c r="T377" t="s">
        <v>33</v>
      </c>
      <c r="U377" t="s">
        <v>690</v>
      </c>
      <c r="V377">
        <v>20</v>
      </c>
      <c r="W377">
        <v>2008</v>
      </c>
      <c r="X377" s="17">
        <v>45872</v>
      </c>
      <c r="Y377">
        <v>39738316</v>
      </c>
      <c r="Z377" t="s">
        <v>606</v>
      </c>
      <c r="AC377" s="6"/>
      <c r="AH377" s="8"/>
      <c r="AJ377" s="10"/>
      <c r="AK377" s="10"/>
    </row>
    <row r="378" spans="1:37" x14ac:dyDescent="0.3">
      <c r="A378" s="6">
        <v>45873</v>
      </c>
      <c r="B378" s="11">
        <v>45873</v>
      </c>
      <c r="C378">
        <v>20081991</v>
      </c>
      <c r="D378" t="s">
        <v>177</v>
      </c>
      <c r="E378" t="s">
        <v>740</v>
      </c>
      <c r="F378" t="s">
        <v>741</v>
      </c>
      <c r="G378" s="8">
        <v>50</v>
      </c>
      <c r="H378" t="s">
        <v>28</v>
      </c>
      <c r="I378" s="10">
        <v>4.3094000000000001</v>
      </c>
      <c r="J378" s="10">
        <v>215.47</v>
      </c>
      <c r="K378">
        <v>4.3099999999999996</v>
      </c>
      <c r="L378" t="s">
        <v>278</v>
      </c>
      <c r="M378" t="s">
        <v>67</v>
      </c>
      <c r="N378" t="s">
        <v>42</v>
      </c>
      <c r="O378" t="s">
        <v>32</v>
      </c>
      <c r="P378">
        <v>50</v>
      </c>
      <c r="Q378" t="s">
        <v>28</v>
      </c>
      <c r="R378">
        <v>285</v>
      </c>
      <c r="S378">
        <v>5.7</v>
      </c>
      <c r="T378" t="s">
        <v>448</v>
      </c>
      <c r="U378" t="s">
        <v>690</v>
      </c>
      <c r="V378">
        <v>20</v>
      </c>
      <c r="W378">
        <v>2008</v>
      </c>
      <c r="X378" s="17">
        <v>45873</v>
      </c>
      <c r="Y378">
        <v>39828733</v>
      </c>
      <c r="Z378" t="s">
        <v>742</v>
      </c>
      <c r="AC378" s="6"/>
      <c r="AH378" s="8"/>
      <c r="AJ378" s="10"/>
      <c r="AK378" s="10"/>
    </row>
    <row r="379" spans="1:37" x14ac:dyDescent="0.3">
      <c r="A379" s="6">
        <v>45873</v>
      </c>
      <c r="B379" s="11">
        <v>45873</v>
      </c>
      <c r="C379">
        <v>20081991</v>
      </c>
      <c r="D379" t="s">
        <v>743</v>
      </c>
      <c r="E379" t="s">
        <v>261</v>
      </c>
      <c r="F379" t="s">
        <v>79</v>
      </c>
      <c r="G379" s="8">
        <v>1000</v>
      </c>
      <c r="H379" t="s">
        <v>28</v>
      </c>
      <c r="I379" s="10">
        <v>1.5292300000000001</v>
      </c>
      <c r="J379" s="10">
        <v>1529.23</v>
      </c>
      <c r="K379">
        <v>1529.23</v>
      </c>
      <c r="L379" t="s">
        <v>612</v>
      </c>
      <c r="M379" t="s">
        <v>81</v>
      </c>
      <c r="N379" t="s">
        <v>89</v>
      </c>
      <c r="O379" t="s">
        <v>32</v>
      </c>
      <c r="P379">
        <v>1</v>
      </c>
      <c r="Q379" t="s">
        <v>43</v>
      </c>
      <c r="R379">
        <v>1630</v>
      </c>
      <c r="S379">
        <v>1630</v>
      </c>
      <c r="T379" t="s">
        <v>33</v>
      </c>
      <c r="U379" t="s">
        <v>690</v>
      </c>
      <c r="V379">
        <v>20</v>
      </c>
      <c r="W379">
        <v>2008</v>
      </c>
      <c r="X379" s="17">
        <v>45874</v>
      </c>
      <c r="Y379">
        <v>39970959</v>
      </c>
      <c r="Z379" t="s">
        <v>262</v>
      </c>
      <c r="AC379" s="6"/>
      <c r="AH379" s="8"/>
      <c r="AJ379" s="10"/>
      <c r="AK379" s="10"/>
    </row>
    <row r="380" spans="1:37" x14ac:dyDescent="0.3">
      <c r="A380" s="6">
        <v>45875</v>
      </c>
      <c r="B380" s="11">
        <v>45875</v>
      </c>
      <c r="C380">
        <v>20081991</v>
      </c>
      <c r="D380" t="s">
        <v>744</v>
      </c>
      <c r="E380" t="s">
        <v>551</v>
      </c>
      <c r="F380" t="s">
        <v>552</v>
      </c>
      <c r="G380" s="8">
        <v>10</v>
      </c>
      <c r="H380" t="s">
        <v>28</v>
      </c>
      <c r="I380" s="10">
        <v>4.165</v>
      </c>
      <c r="J380" s="10">
        <v>41.65</v>
      </c>
      <c r="K380">
        <v>4.17</v>
      </c>
      <c r="L380" t="s">
        <v>149</v>
      </c>
      <c r="M380" t="s">
        <v>150</v>
      </c>
      <c r="N380" t="s">
        <v>174</v>
      </c>
      <c r="O380" t="s">
        <v>32</v>
      </c>
      <c r="P380">
        <v>10</v>
      </c>
      <c r="Q380" t="s">
        <v>28</v>
      </c>
      <c r="R380">
        <v>42.5</v>
      </c>
      <c r="S380">
        <v>4.25</v>
      </c>
      <c r="T380" t="s">
        <v>33</v>
      </c>
      <c r="U380" t="s">
        <v>690</v>
      </c>
      <c r="V380">
        <v>20</v>
      </c>
      <c r="W380">
        <v>2008</v>
      </c>
      <c r="X380" s="17">
        <v>45875</v>
      </c>
      <c r="Y380">
        <v>40239269</v>
      </c>
      <c r="Z380" t="s">
        <v>553</v>
      </c>
      <c r="AC380" s="6"/>
      <c r="AH380" s="8"/>
      <c r="AJ380" s="10"/>
      <c r="AK380" s="10"/>
    </row>
    <row r="381" spans="1:37" x14ac:dyDescent="0.3">
      <c r="A381" s="6">
        <v>45876</v>
      </c>
      <c r="B381" s="11">
        <v>45876</v>
      </c>
      <c r="C381">
        <v>20081999</v>
      </c>
      <c r="D381" t="s">
        <v>473</v>
      </c>
      <c r="E381" t="s">
        <v>435</v>
      </c>
      <c r="F381" t="s">
        <v>436</v>
      </c>
      <c r="G381" s="8">
        <v>250</v>
      </c>
      <c r="H381" t="s">
        <v>28</v>
      </c>
      <c r="I381" s="10">
        <v>1.1516</v>
      </c>
      <c r="J381" s="10">
        <v>287.89999999999998</v>
      </c>
      <c r="K381">
        <v>1.1499999999999999</v>
      </c>
      <c r="L381" t="s">
        <v>315</v>
      </c>
      <c r="M381" t="s">
        <v>316</v>
      </c>
      <c r="N381" t="s">
        <v>317</v>
      </c>
      <c r="O381" t="s">
        <v>60</v>
      </c>
      <c r="P381">
        <v>250</v>
      </c>
      <c r="Q381" t="s">
        <v>28</v>
      </c>
      <c r="R381">
        <v>25000</v>
      </c>
      <c r="S381">
        <v>100</v>
      </c>
      <c r="T381" t="s">
        <v>114</v>
      </c>
      <c r="U381" t="s">
        <v>690</v>
      </c>
      <c r="V381">
        <v>20</v>
      </c>
      <c r="W381">
        <v>2008</v>
      </c>
      <c r="X381" s="17">
        <v>45876</v>
      </c>
      <c r="Y381">
        <v>39731852</v>
      </c>
      <c r="Z381" t="s">
        <v>437</v>
      </c>
      <c r="AC381" s="6"/>
      <c r="AH381" s="8"/>
      <c r="AJ381" s="10"/>
      <c r="AK381" s="10"/>
    </row>
    <row r="382" spans="1:37" x14ac:dyDescent="0.3">
      <c r="A382" s="6">
        <v>45878</v>
      </c>
      <c r="B382" s="11">
        <v>45878</v>
      </c>
      <c r="C382">
        <v>20081999</v>
      </c>
      <c r="D382" t="s">
        <v>462</v>
      </c>
      <c r="E382" t="s">
        <v>313</v>
      </c>
      <c r="F382" t="s">
        <v>745</v>
      </c>
      <c r="G382" s="8">
        <v>1550</v>
      </c>
      <c r="H382" t="s">
        <v>28</v>
      </c>
      <c r="I382" s="10">
        <v>1.1599290322580651</v>
      </c>
      <c r="J382" s="10">
        <v>1797.89</v>
      </c>
      <c r="K382">
        <v>1.1599999999999999</v>
      </c>
      <c r="L382" t="s">
        <v>315</v>
      </c>
      <c r="M382" t="s">
        <v>316</v>
      </c>
      <c r="N382" t="s">
        <v>317</v>
      </c>
      <c r="O382" t="s">
        <v>60</v>
      </c>
      <c r="P382">
        <v>1550</v>
      </c>
      <c r="Q382" t="s">
        <v>28</v>
      </c>
      <c r="R382">
        <v>156550</v>
      </c>
      <c r="S382">
        <v>101</v>
      </c>
      <c r="T382" t="s">
        <v>114</v>
      </c>
      <c r="U382" t="s">
        <v>690</v>
      </c>
      <c r="V382">
        <v>20</v>
      </c>
      <c r="W382">
        <v>2008</v>
      </c>
      <c r="X382" s="17">
        <v>45877</v>
      </c>
      <c r="Y382">
        <v>39761741</v>
      </c>
      <c r="Z382" t="s">
        <v>318</v>
      </c>
      <c r="AC382" s="6"/>
      <c r="AH382" s="8"/>
      <c r="AJ382" s="10"/>
      <c r="AK382" s="10"/>
    </row>
    <row r="383" spans="1:37" x14ac:dyDescent="0.3">
      <c r="A383" s="6">
        <v>45878</v>
      </c>
      <c r="B383" s="11">
        <v>45878</v>
      </c>
      <c r="C383">
        <v>20081999</v>
      </c>
      <c r="D383" t="s">
        <v>132</v>
      </c>
      <c r="E383" t="s">
        <v>313</v>
      </c>
      <c r="F383" t="s">
        <v>445</v>
      </c>
      <c r="G383" s="8">
        <v>200</v>
      </c>
      <c r="H383" t="s">
        <v>28</v>
      </c>
      <c r="I383" s="10">
        <v>1.3645499999999999</v>
      </c>
      <c r="J383" s="10">
        <v>272.91000000000003</v>
      </c>
      <c r="K383">
        <v>1.36</v>
      </c>
      <c r="L383" t="s">
        <v>315</v>
      </c>
      <c r="M383" t="s">
        <v>316</v>
      </c>
      <c r="N383" t="s">
        <v>317</v>
      </c>
      <c r="O383" t="s">
        <v>60</v>
      </c>
      <c r="P383">
        <v>200</v>
      </c>
      <c r="Q383" t="s">
        <v>28</v>
      </c>
      <c r="R383">
        <v>24200</v>
      </c>
      <c r="S383">
        <v>121</v>
      </c>
      <c r="T383" t="s">
        <v>114</v>
      </c>
      <c r="U383" t="s">
        <v>690</v>
      </c>
      <c r="V383">
        <v>20</v>
      </c>
      <c r="W383">
        <v>2008</v>
      </c>
      <c r="X383" s="17">
        <v>45878</v>
      </c>
      <c r="Y383">
        <v>39760656</v>
      </c>
      <c r="Z383" t="s">
        <v>318</v>
      </c>
      <c r="AC383" s="6"/>
      <c r="AH383" s="8"/>
      <c r="AJ383" s="10"/>
      <c r="AK383" s="10"/>
    </row>
    <row r="384" spans="1:37" x14ac:dyDescent="0.3">
      <c r="A384" s="6">
        <v>45878</v>
      </c>
      <c r="B384" s="11">
        <v>45878</v>
      </c>
      <c r="C384">
        <v>12079990</v>
      </c>
      <c r="D384" t="s">
        <v>527</v>
      </c>
      <c r="E384" t="s">
        <v>528</v>
      </c>
      <c r="F384" t="s">
        <v>529</v>
      </c>
      <c r="G384" s="8">
        <v>20</v>
      </c>
      <c r="H384" t="s">
        <v>28</v>
      </c>
      <c r="I384" s="10">
        <v>7.0995000000000008</v>
      </c>
      <c r="J384" s="10">
        <v>141.99</v>
      </c>
      <c r="K384">
        <v>7.1</v>
      </c>
      <c r="L384" t="s">
        <v>278</v>
      </c>
      <c r="M384" t="s">
        <v>67</v>
      </c>
      <c r="N384" t="s">
        <v>42</v>
      </c>
      <c r="O384" t="s">
        <v>32</v>
      </c>
      <c r="P384">
        <v>20</v>
      </c>
      <c r="Q384" t="s">
        <v>28</v>
      </c>
      <c r="R384">
        <v>184</v>
      </c>
      <c r="S384">
        <v>9.1999999999999993</v>
      </c>
      <c r="T384" t="s">
        <v>448</v>
      </c>
      <c r="U384" t="s">
        <v>592</v>
      </c>
      <c r="V384">
        <v>12</v>
      </c>
      <c r="W384">
        <v>1207</v>
      </c>
      <c r="X384" s="17">
        <v>45879</v>
      </c>
      <c r="Y384">
        <v>39843396</v>
      </c>
      <c r="Z384" t="s">
        <v>530</v>
      </c>
      <c r="AC384" s="6"/>
      <c r="AH384" s="8"/>
      <c r="AJ384" s="10"/>
      <c r="AK384" s="10"/>
    </row>
    <row r="385" spans="1:37" x14ac:dyDescent="0.3">
      <c r="A385" s="6">
        <v>45878</v>
      </c>
      <c r="B385" s="11">
        <v>45878</v>
      </c>
      <c r="C385">
        <v>20081999</v>
      </c>
      <c r="D385" t="s">
        <v>746</v>
      </c>
      <c r="E385" t="s">
        <v>747</v>
      </c>
      <c r="F385" t="s">
        <v>79</v>
      </c>
      <c r="G385" s="8">
        <v>25</v>
      </c>
      <c r="H385" t="s">
        <v>28</v>
      </c>
      <c r="I385" s="10">
        <v>4.0831999999999997</v>
      </c>
      <c r="J385" s="10">
        <v>102.08</v>
      </c>
      <c r="K385">
        <v>4083.2</v>
      </c>
      <c r="L385" t="s">
        <v>278</v>
      </c>
      <c r="M385" t="s">
        <v>67</v>
      </c>
      <c r="N385" t="s">
        <v>89</v>
      </c>
      <c r="O385" t="s">
        <v>32</v>
      </c>
      <c r="P385">
        <v>2.5000000000000001E-2</v>
      </c>
      <c r="Q385" t="s">
        <v>43</v>
      </c>
      <c r="R385">
        <v>104.5</v>
      </c>
      <c r="S385">
        <v>4180</v>
      </c>
      <c r="T385" t="s">
        <v>33</v>
      </c>
      <c r="U385" t="s">
        <v>690</v>
      </c>
      <c r="V385">
        <v>20</v>
      </c>
      <c r="W385">
        <v>2008</v>
      </c>
      <c r="X385" s="17">
        <v>45880</v>
      </c>
      <c r="Y385">
        <v>39899827</v>
      </c>
      <c r="Z385" t="s">
        <v>748</v>
      </c>
      <c r="AC385" s="6"/>
      <c r="AH385" s="8"/>
      <c r="AJ385" s="10"/>
      <c r="AK385" s="10"/>
    </row>
    <row r="386" spans="1:37" x14ac:dyDescent="0.3">
      <c r="A386" s="6">
        <v>45880</v>
      </c>
      <c r="B386" s="11">
        <v>45880</v>
      </c>
      <c r="C386">
        <v>20081999</v>
      </c>
      <c r="D386" t="s">
        <v>749</v>
      </c>
      <c r="E386" t="s">
        <v>596</v>
      </c>
      <c r="F386" t="s">
        <v>750</v>
      </c>
      <c r="G386" s="8">
        <v>60</v>
      </c>
      <c r="H386" t="s">
        <v>28</v>
      </c>
      <c r="I386" s="10">
        <v>5.0860000000000003</v>
      </c>
      <c r="J386" s="10">
        <v>305.16000000000003</v>
      </c>
      <c r="K386">
        <v>5.09</v>
      </c>
      <c r="L386" t="s">
        <v>149</v>
      </c>
      <c r="M386" t="s">
        <v>150</v>
      </c>
      <c r="N386" t="s">
        <v>174</v>
      </c>
      <c r="O386" t="s">
        <v>32</v>
      </c>
      <c r="P386">
        <v>60</v>
      </c>
      <c r="Q386" t="s">
        <v>28</v>
      </c>
      <c r="R386">
        <v>322.2</v>
      </c>
      <c r="S386">
        <v>5.37</v>
      </c>
      <c r="T386" t="s">
        <v>33</v>
      </c>
      <c r="U386" t="s">
        <v>690</v>
      </c>
      <c r="V386">
        <v>20</v>
      </c>
      <c r="W386">
        <v>2008</v>
      </c>
      <c r="X386" s="17">
        <v>45881</v>
      </c>
      <c r="Y386">
        <v>51567666</v>
      </c>
      <c r="Z386" t="s">
        <v>599</v>
      </c>
      <c r="AC386" s="6"/>
      <c r="AH386" s="8"/>
      <c r="AJ386" s="10"/>
      <c r="AK386" s="10"/>
    </row>
    <row r="387" spans="1:37" x14ac:dyDescent="0.3">
      <c r="A387" s="6">
        <v>45880</v>
      </c>
      <c r="B387" s="11">
        <v>45880</v>
      </c>
      <c r="C387">
        <v>20081999</v>
      </c>
      <c r="D387" t="s">
        <v>462</v>
      </c>
      <c r="E387" t="s">
        <v>313</v>
      </c>
      <c r="F387" t="s">
        <v>538</v>
      </c>
      <c r="G387" s="8">
        <v>1000</v>
      </c>
      <c r="H387" t="s">
        <v>28</v>
      </c>
      <c r="I387" s="10">
        <v>1.1599299999999999</v>
      </c>
      <c r="J387" s="10">
        <v>1159.93</v>
      </c>
      <c r="K387">
        <v>1.1599999999999999</v>
      </c>
      <c r="L387" t="s">
        <v>379</v>
      </c>
      <c r="M387" t="s">
        <v>316</v>
      </c>
      <c r="N387" t="s">
        <v>317</v>
      </c>
      <c r="O387" t="s">
        <v>60</v>
      </c>
      <c r="P387">
        <v>1000</v>
      </c>
      <c r="Q387" t="s">
        <v>28</v>
      </c>
      <c r="R387">
        <v>101000</v>
      </c>
      <c r="S387">
        <v>101</v>
      </c>
      <c r="T387" t="s">
        <v>114</v>
      </c>
      <c r="U387" t="s">
        <v>690</v>
      </c>
      <c r="V387">
        <v>20</v>
      </c>
      <c r="W387">
        <v>2008</v>
      </c>
      <c r="X387" s="17">
        <v>45882</v>
      </c>
      <c r="Y387">
        <v>51254037</v>
      </c>
      <c r="Z387" t="s">
        <v>318</v>
      </c>
      <c r="AC387" s="6"/>
      <c r="AH387" s="8"/>
      <c r="AJ387" s="10"/>
      <c r="AK387" s="10"/>
    </row>
    <row r="388" spans="1:37" x14ac:dyDescent="0.3">
      <c r="A388" s="6">
        <v>45880</v>
      </c>
      <c r="B388" s="11">
        <v>45880</v>
      </c>
      <c r="C388">
        <v>20081999</v>
      </c>
      <c r="D388" t="s">
        <v>462</v>
      </c>
      <c r="E388" t="s">
        <v>313</v>
      </c>
      <c r="F388" t="s">
        <v>533</v>
      </c>
      <c r="G388" s="8">
        <v>500</v>
      </c>
      <c r="H388" t="s">
        <v>28</v>
      </c>
      <c r="I388" s="10">
        <v>1.1390199999999999</v>
      </c>
      <c r="J388" s="10">
        <v>569.51</v>
      </c>
      <c r="K388">
        <v>1.1399999999999999</v>
      </c>
      <c r="L388" t="s">
        <v>379</v>
      </c>
      <c r="M388" t="s">
        <v>316</v>
      </c>
      <c r="N388" t="s">
        <v>317</v>
      </c>
      <c r="O388" t="s">
        <v>60</v>
      </c>
      <c r="P388">
        <v>500</v>
      </c>
      <c r="Q388" t="s">
        <v>28</v>
      </c>
      <c r="R388">
        <v>50500</v>
      </c>
      <c r="S388">
        <v>101</v>
      </c>
      <c r="T388" t="s">
        <v>114</v>
      </c>
      <c r="U388" t="s">
        <v>690</v>
      </c>
      <c r="V388">
        <v>20</v>
      </c>
      <c r="W388">
        <v>2008</v>
      </c>
      <c r="X388" s="17">
        <v>45883</v>
      </c>
      <c r="Y388">
        <v>50927349</v>
      </c>
      <c r="Z388" t="s">
        <v>318</v>
      </c>
      <c r="AC388" s="6"/>
      <c r="AH388" s="8"/>
      <c r="AJ388" s="10"/>
      <c r="AK388" s="10"/>
    </row>
    <row r="389" spans="1:37" x14ac:dyDescent="0.3">
      <c r="A389" s="6">
        <v>45881</v>
      </c>
      <c r="B389" s="11">
        <v>45881</v>
      </c>
      <c r="C389">
        <v>20081991</v>
      </c>
      <c r="D389" t="s">
        <v>702</v>
      </c>
      <c r="E389" t="s">
        <v>751</v>
      </c>
      <c r="F389" t="s">
        <v>752</v>
      </c>
      <c r="G389" s="8">
        <v>5</v>
      </c>
      <c r="H389" t="s">
        <v>28</v>
      </c>
      <c r="I389" s="10">
        <v>5.4139999999999997</v>
      </c>
      <c r="J389" s="10">
        <v>27.07</v>
      </c>
      <c r="K389">
        <v>5.41</v>
      </c>
      <c r="L389" t="s">
        <v>465</v>
      </c>
      <c r="M389" t="s">
        <v>136</v>
      </c>
      <c r="N389" t="s">
        <v>466</v>
      </c>
      <c r="O389" t="s">
        <v>60</v>
      </c>
      <c r="P389">
        <v>5</v>
      </c>
      <c r="Q389" t="s">
        <v>28</v>
      </c>
      <c r="R389">
        <v>2400</v>
      </c>
      <c r="S389">
        <v>480</v>
      </c>
      <c r="T389" t="s">
        <v>114</v>
      </c>
      <c r="U389" t="s">
        <v>690</v>
      </c>
      <c r="V389">
        <v>20</v>
      </c>
      <c r="W389">
        <v>2008</v>
      </c>
      <c r="X389" s="17">
        <v>45884</v>
      </c>
      <c r="Y389">
        <v>51095923</v>
      </c>
      <c r="Z389" t="s">
        <v>753</v>
      </c>
      <c r="AC389" s="6"/>
      <c r="AH389" s="8"/>
      <c r="AJ389" s="10"/>
      <c r="AK389" s="10"/>
    </row>
    <row r="390" spans="1:37" x14ac:dyDescent="0.3">
      <c r="A390" s="6">
        <v>45882</v>
      </c>
      <c r="B390" s="11">
        <v>45882</v>
      </c>
      <c r="C390">
        <v>12079990</v>
      </c>
      <c r="D390" t="s">
        <v>754</v>
      </c>
      <c r="E390" t="s">
        <v>38</v>
      </c>
      <c r="F390" t="s">
        <v>434</v>
      </c>
      <c r="G390" s="8">
        <v>2000</v>
      </c>
      <c r="H390" t="s">
        <v>28</v>
      </c>
      <c r="I390" s="10">
        <v>1.976275</v>
      </c>
      <c r="J390" s="10">
        <v>3952.55</v>
      </c>
      <c r="K390">
        <v>1976.28</v>
      </c>
      <c r="L390" t="s">
        <v>40</v>
      </c>
      <c r="M390" t="s">
        <v>41</v>
      </c>
      <c r="N390" t="s">
        <v>42</v>
      </c>
      <c r="O390" t="s">
        <v>32</v>
      </c>
      <c r="P390">
        <v>2</v>
      </c>
      <c r="Q390" t="s">
        <v>43</v>
      </c>
      <c r="R390">
        <v>4120</v>
      </c>
      <c r="S390">
        <v>2060</v>
      </c>
      <c r="T390" t="s">
        <v>33</v>
      </c>
      <c r="U390" t="s">
        <v>592</v>
      </c>
      <c r="V390">
        <v>12</v>
      </c>
      <c r="W390">
        <v>1207</v>
      </c>
      <c r="X390" s="17">
        <v>45885</v>
      </c>
      <c r="Y390">
        <v>51192671</v>
      </c>
      <c r="Z390" t="s">
        <v>45</v>
      </c>
      <c r="AC390" s="6"/>
      <c r="AH390" s="8"/>
      <c r="AJ390" s="10"/>
      <c r="AK390" s="10"/>
    </row>
    <row r="391" spans="1:37" x14ac:dyDescent="0.3">
      <c r="A391" s="6">
        <v>45886</v>
      </c>
      <c r="B391" s="11">
        <v>45886</v>
      </c>
      <c r="C391">
        <v>20081999</v>
      </c>
      <c r="D391" t="s">
        <v>177</v>
      </c>
      <c r="E391" t="s">
        <v>313</v>
      </c>
      <c r="F391" t="s">
        <v>514</v>
      </c>
      <c r="G391" s="8">
        <v>1000</v>
      </c>
      <c r="H391" t="s">
        <v>28</v>
      </c>
      <c r="I391" s="10">
        <v>1.1599299999999999</v>
      </c>
      <c r="J391" s="10">
        <v>1159.93</v>
      </c>
      <c r="K391">
        <v>1.1599999999999999</v>
      </c>
      <c r="L391" t="s">
        <v>379</v>
      </c>
      <c r="M391" t="s">
        <v>316</v>
      </c>
      <c r="N391" t="s">
        <v>317</v>
      </c>
      <c r="O391" t="s">
        <v>60</v>
      </c>
      <c r="P391">
        <v>1000</v>
      </c>
      <c r="Q391" t="s">
        <v>28</v>
      </c>
      <c r="R391">
        <v>101000</v>
      </c>
      <c r="S391">
        <v>101</v>
      </c>
      <c r="T391" t="s">
        <v>114</v>
      </c>
      <c r="U391" t="s">
        <v>690</v>
      </c>
      <c r="V391">
        <v>20</v>
      </c>
      <c r="W391">
        <v>2008</v>
      </c>
      <c r="X391" s="17">
        <v>45886</v>
      </c>
      <c r="Y391">
        <v>51566769</v>
      </c>
      <c r="Z391" t="s">
        <v>318</v>
      </c>
      <c r="AC391" s="6"/>
      <c r="AH391" s="8"/>
      <c r="AJ391" s="10"/>
      <c r="AK391" s="10"/>
    </row>
    <row r="392" spans="1:37" x14ac:dyDescent="0.3">
      <c r="A392" s="6">
        <v>45887</v>
      </c>
      <c r="B392" s="11">
        <v>45887</v>
      </c>
      <c r="C392">
        <v>20081993</v>
      </c>
      <c r="D392" t="s">
        <v>473</v>
      </c>
      <c r="E392" t="s">
        <v>755</v>
      </c>
      <c r="F392" t="s">
        <v>756</v>
      </c>
      <c r="G392" s="8">
        <v>250</v>
      </c>
      <c r="H392" t="s">
        <v>28</v>
      </c>
      <c r="I392" s="10">
        <v>0.56388000000000005</v>
      </c>
      <c r="J392" s="10">
        <v>140.97</v>
      </c>
      <c r="K392">
        <v>0.56000000000000005</v>
      </c>
      <c r="L392" t="s">
        <v>322</v>
      </c>
      <c r="M392" t="s">
        <v>316</v>
      </c>
      <c r="N392" t="s">
        <v>323</v>
      </c>
      <c r="O392" t="s">
        <v>60</v>
      </c>
      <c r="P392">
        <v>250</v>
      </c>
      <c r="Q392" t="s">
        <v>28</v>
      </c>
      <c r="R392">
        <v>12500</v>
      </c>
      <c r="S392">
        <v>50</v>
      </c>
      <c r="T392" t="s">
        <v>114</v>
      </c>
      <c r="U392" t="s">
        <v>690</v>
      </c>
      <c r="V392">
        <v>20</v>
      </c>
      <c r="W392">
        <v>2008</v>
      </c>
      <c r="X392" s="17">
        <v>45887</v>
      </c>
      <c r="Y392">
        <v>66680312</v>
      </c>
      <c r="Z392" t="s">
        <v>757</v>
      </c>
      <c r="AC392" s="6"/>
      <c r="AH392" s="8"/>
      <c r="AJ392" s="10"/>
      <c r="AK392" s="10"/>
    </row>
    <row r="393" spans="1:37" x14ac:dyDescent="0.3">
      <c r="A393" s="6">
        <v>45891</v>
      </c>
      <c r="B393" s="11">
        <v>45891</v>
      </c>
      <c r="C393">
        <v>20081999</v>
      </c>
      <c r="D393" t="s">
        <v>462</v>
      </c>
      <c r="E393" t="s">
        <v>313</v>
      </c>
      <c r="F393" t="s">
        <v>329</v>
      </c>
      <c r="G393" s="8">
        <v>900</v>
      </c>
      <c r="H393" t="s">
        <v>28</v>
      </c>
      <c r="I393" s="10">
        <v>1.1693555555555559</v>
      </c>
      <c r="J393" s="10">
        <v>1052.42</v>
      </c>
      <c r="K393">
        <v>1.17</v>
      </c>
      <c r="L393" t="s">
        <v>315</v>
      </c>
      <c r="M393" t="s">
        <v>316</v>
      </c>
      <c r="N393" t="s">
        <v>317</v>
      </c>
      <c r="O393" t="s">
        <v>60</v>
      </c>
      <c r="P393">
        <v>900</v>
      </c>
      <c r="Q393" t="s">
        <v>28</v>
      </c>
      <c r="R393">
        <v>90900</v>
      </c>
      <c r="S393">
        <v>101</v>
      </c>
      <c r="T393" t="s">
        <v>114</v>
      </c>
      <c r="U393" t="s">
        <v>690</v>
      </c>
      <c r="V393">
        <v>20</v>
      </c>
      <c r="W393">
        <v>2008</v>
      </c>
      <c r="X393" s="17">
        <v>45888</v>
      </c>
      <c r="Y393">
        <v>67131626</v>
      </c>
      <c r="Z393" t="s">
        <v>318</v>
      </c>
      <c r="AC393" s="6"/>
      <c r="AH393" s="8"/>
      <c r="AJ393" s="10"/>
      <c r="AK393" s="10"/>
    </row>
    <row r="394" spans="1:37" x14ac:dyDescent="0.3">
      <c r="A394" s="6">
        <v>45892</v>
      </c>
      <c r="B394" s="11">
        <v>45892</v>
      </c>
      <c r="C394">
        <v>20081999</v>
      </c>
      <c r="D394" t="s">
        <v>177</v>
      </c>
      <c r="E394" t="s">
        <v>518</v>
      </c>
      <c r="F394" t="s">
        <v>519</v>
      </c>
      <c r="G394" s="8">
        <v>1500</v>
      </c>
      <c r="H394" t="s">
        <v>28</v>
      </c>
      <c r="I394" s="10">
        <v>1.33144</v>
      </c>
      <c r="J394" s="10">
        <v>1997.16</v>
      </c>
      <c r="K394">
        <v>1.33</v>
      </c>
      <c r="L394" t="s">
        <v>315</v>
      </c>
      <c r="M394" t="s">
        <v>316</v>
      </c>
      <c r="N394" t="s">
        <v>317</v>
      </c>
      <c r="O394" t="s">
        <v>60</v>
      </c>
      <c r="P394">
        <v>1500</v>
      </c>
      <c r="Q394" t="s">
        <v>28</v>
      </c>
      <c r="R394">
        <v>172500</v>
      </c>
      <c r="S394">
        <v>115</v>
      </c>
      <c r="T394" t="s">
        <v>114</v>
      </c>
      <c r="U394" t="s">
        <v>690</v>
      </c>
      <c r="V394">
        <v>20</v>
      </c>
      <c r="W394">
        <v>2008</v>
      </c>
      <c r="X394" s="17">
        <v>45889</v>
      </c>
      <c r="Y394">
        <v>66962332</v>
      </c>
      <c r="Z394" t="s">
        <v>520</v>
      </c>
      <c r="AC394" s="6"/>
      <c r="AH394" s="8"/>
      <c r="AJ394" s="10"/>
      <c r="AK394" s="10"/>
    </row>
    <row r="395" spans="1:37" x14ac:dyDescent="0.3">
      <c r="A395" s="6">
        <v>45894</v>
      </c>
      <c r="B395" s="11">
        <v>45894</v>
      </c>
      <c r="C395">
        <v>20081991</v>
      </c>
      <c r="D395" t="s">
        <v>702</v>
      </c>
      <c r="E395" t="s">
        <v>751</v>
      </c>
      <c r="F395" t="s">
        <v>752</v>
      </c>
      <c r="G395" s="8">
        <v>30</v>
      </c>
      <c r="H395" t="s">
        <v>28</v>
      </c>
      <c r="I395" s="10">
        <v>6.3666666666666663</v>
      </c>
      <c r="J395" s="10">
        <v>191</v>
      </c>
      <c r="K395">
        <v>6.37</v>
      </c>
      <c r="L395" t="s">
        <v>465</v>
      </c>
      <c r="M395" t="s">
        <v>136</v>
      </c>
      <c r="N395" t="s">
        <v>466</v>
      </c>
      <c r="O395" t="s">
        <v>60</v>
      </c>
      <c r="P395">
        <v>30</v>
      </c>
      <c r="Q395" t="s">
        <v>28</v>
      </c>
      <c r="R395">
        <v>16800</v>
      </c>
      <c r="S395">
        <v>560</v>
      </c>
      <c r="T395" t="s">
        <v>114</v>
      </c>
      <c r="U395" t="s">
        <v>690</v>
      </c>
      <c r="V395">
        <v>20</v>
      </c>
      <c r="W395">
        <v>2008</v>
      </c>
      <c r="X395" s="17">
        <v>45890</v>
      </c>
      <c r="Y395">
        <v>67985231</v>
      </c>
      <c r="Z395" t="s">
        <v>753</v>
      </c>
      <c r="AC395" s="6"/>
      <c r="AH395" s="8"/>
      <c r="AJ395" s="10"/>
      <c r="AK395" s="10"/>
    </row>
    <row r="396" spans="1:37" x14ac:dyDescent="0.3">
      <c r="A396" s="6">
        <v>45894</v>
      </c>
      <c r="B396" s="11">
        <v>45894</v>
      </c>
      <c r="C396">
        <v>20081999</v>
      </c>
      <c r="D396" t="s">
        <v>132</v>
      </c>
      <c r="E396" t="s">
        <v>313</v>
      </c>
      <c r="F396" t="s">
        <v>758</v>
      </c>
      <c r="G396" s="8">
        <v>5000</v>
      </c>
      <c r="H396" t="s">
        <v>28</v>
      </c>
      <c r="I396" s="10">
        <v>1.1693499999999999</v>
      </c>
      <c r="J396" s="10">
        <v>5846.75</v>
      </c>
      <c r="K396">
        <v>1.17</v>
      </c>
      <c r="L396" t="s">
        <v>379</v>
      </c>
      <c r="M396" t="s">
        <v>316</v>
      </c>
      <c r="N396" t="s">
        <v>317</v>
      </c>
      <c r="O396" t="s">
        <v>60</v>
      </c>
      <c r="P396">
        <v>5000</v>
      </c>
      <c r="Q396" t="s">
        <v>28</v>
      </c>
      <c r="R396">
        <v>505000</v>
      </c>
      <c r="S396">
        <v>101</v>
      </c>
      <c r="T396" t="s">
        <v>114</v>
      </c>
      <c r="U396" t="s">
        <v>690</v>
      </c>
      <c r="V396">
        <v>20</v>
      </c>
      <c r="W396">
        <v>2008</v>
      </c>
      <c r="X396" s="17">
        <v>45891</v>
      </c>
      <c r="Y396">
        <v>66617272</v>
      </c>
      <c r="Z396" t="s">
        <v>318</v>
      </c>
      <c r="AC396" s="6"/>
      <c r="AH396" s="8"/>
      <c r="AJ396" s="10"/>
      <c r="AK396" s="10"/>
    </row>
    <row r="397" spans="1:37" x14ac:dyDescent="0.3">
      <c r="A397" s="6">
        <v>45894</v>
      </c>
      <c r="B397" s="11">
        <v>45894</v>
      </c>
      <c r="C397">
        <v>20081991</v>
      </c>
      <c r="D397" t="s">
        <v>702</v>
      </c>
      <c r="E397" t="s">
        <v>751</v>
      </c>
      <c r="F397" t="s">
        <v>759</v>
      </c>
      <c r="G397" s="8">
        <v>25</v>
      </c>
      <c r="H397" t="s">
        <v>28</v>
      </c>
      <c r="I397" s="10">
        <v>6.3663999999999996</v>
      </c>
      <c r="J397" s="10">
        <v>159.16</v>
      </c>
      <c r="K397">
        <v>6.37</v>
      </c>
      <c r="L397" t="s">
        <v>465</v>
      </c>
      <c r="M397" t="s">
        <v>136</v>
      </c>
      <c r="N397" t="s">
        <v>466</v>
      </c>
      <c r="O397" t="s">
        <v>60</v>
      </c>
      <c r="P397">
        <v>25</v>
      </c>
      <c r="Q397" t="s">
        <v>28</v>
      </c>
      <c r="R397">
        <v>14000</v>
      </c>
      <c r="S397">
        <v>560</v>
      </c>
      <c r="T397" t="s">
        <v>114</v>
      </c>
      <c r="U397" t="s">
        <v>690</v>
      </c>
      <c r="V397">
        <v>20</v>
      </c>
      <c r="W397">
        <v>2008</v>
      </c>
      <c r="X397" s="17">
        <v>45892</v>
      </c>
      <c r="Y397">
        <v>66871696</v>
      </c>
      <c r="Z397" t="s">
        <v>753</v>
      </c>
      <c r="AC397" s="6"/>
      <c r="AH397" s="8"/>
      <c r="AJ397" s="10"/>
      <c r="AK397" s="10"/>
    </row>
    <row r="398" spans="1:37" x14ac:dyDescent="0.3">
      <c r="A398" s="6">
        <v>45895</v>
      </c>
      <c r="B398" s="11">
        <v>45895</v>
      </c>
      <c r="C398">
        <v>20081999</v>
      </c>
      <c r="D398" t="s">
        <v>132</v>
      </c>
      <c r="E398" t="s">
        <v>313</v>
      </c>
      <c r="F398" t="s">
        <v>79</v>
      </c>
      <c r="G398" s="8">
        <v>2250</v>
      </c>
      <c r="H398" t="s">
        <v>28</v>
      </c>
      <c r="I398" s="10">
        <v>1.169351111111111</v>
      </c>
      <c r="J398" s="10">
        <v>2631.04</v>
      </c>
      <c r="K398">
        <v>1.17</v>
      </c>
      <c r="L398" t="s">
        <v>315</v>
      </c>
      <c r="M398" t="s">
        <v>316</v>
      </c>
      <c r="N398" t="s">
        <v>317</v>
      </c>
      <c r="O398" t="s">
        <v>60</v>
      </c>
      <c r="P398">
        <v>2250</v>
      </c>
      <c r="Q398" t="s">
        <v>28</v>
      </c>
      <c r="R398">
        <v>227250</v>
      </c>
      <c r="S398">
        <v>101</v>
      </c>
      <c r="T398" t="s">
        <v>114</v>
      </c>
      <c r="U398" t="s">
        <v>690</v>
      </c>
      <c r="V398">
        <v>20</v>
      </c>
      <c r="W398">
        <v>2008</v>
      </c>
      <c r="X398" s="17">
        <v>45893</v>
      </c>
      <c r="Y398">
        <v>67014721</v>
      </c>
      <c r="Z398" t="s">
        <v>318</v>
      </c>
      <c r="AC398" s="6"/>
      <c r="AH398" s="8"/>
      <c r="AJ398" s="10"/>
      <c r="AK398" s="10"/>
    </row>
    <row r="399" spans="1:37" x14ac:dyDescent="0.3">
      <c r="A399" s="6">
        <v>45896</v>
      </c>
      <c r="B399" s="11">
        <v>45896</v>
      </c>
      <c r="C399">
        <v>20081991</v>
      </c>
      <c r="D399" t="s">
        <v>702</v>
      </c>
      <c r="E399" t="s">
        <v>751</v>
      </c>
      <c r="F399" t="s">
        <v>752</v>
      </c>
      <c r="G399" s="8">
        <v>10</v>
      </c>
      <c r="H399" t="s">
        <v>28</v>
      </c>
      <c r="I399" s="10">
        <v>4.548</v>
      </c>
      <c r="J399" s="10">
        <v>45.48</v>
      </c>
      <c r="K399">
        <v>4.55</v>
      </c>
      <c r="L399" t="s">
        <v>465</v>
      </c>
      <c r="M399" t="s">
        <v>136</v>
      </c>
      <c r="N399" t="s">
        <v>466</v>
      </c>
      <c r="O399" t="s">
        <v>60</v>
      </c>
      <c r="P399">
        <v>10</v>
      </c>
      <c r="Q399" t="s">
        <v>28</v>
      </c>
      <c r="R399">
        <v>4000</v>
      </c>
      <c r="S399">
        <v>400</v>
      </c>
      <c r="T399" t="s">
        <v>114</v>
      </c>
      <c r="U399" t="s">
        <v>690</v>
      </c>
      <c r="V399">
        <v>20</v>
      </c>
      <c r="W399">
        <v>2008</v>
      </c>
      <c r="X399" s="17">
        <v>45894</v>
      </c>
      <c r="Y399">
        <v>67917404</v>
      </c>
      <c r="Z399" t="s">
        <v>753</v>
      </c>
      <c r="AC399" s="6"/>
      <c r="AH399" s="8"/>
      <c r="AJ399" s="10"/>
      <c r="AK399" s="10"/>
    </row>
    <row r="400" spans="1:37" x14ac:dyDescent="0.3">
      <c r="A400" s="6">
        <v>45896</v>
      </c>
      <c r="B400" s="11">
        <v>45896</v>
      </c>
      <c r="C400">
        <v>20081999</v>
      </c>
      <c r="D400" t="s">
        <v>132</v>
      </c>
      <c r="E400" t="s">
        <v>622</v>
      </c>
      <c r="F400" t="s">
        <v>548</v>
      </c>
      <c r="G400" s="8">
        <v>6000</v>
      </c>
      <c r="H400" t="s">
        <v>28</v>
      </c>
      <c r="I400" s="10">
        <v>1.3314383333333331</v>
      </c>
      <c r="J400" s="10">
        <v>7988.63</v>
      </c>
      <c r="K400">
        <v>1.33</v>
      </c>
      <c r="L400" t="s">
        <v>379</v>
      </c>
      <c r="M400" t="s">
        <v>316</v>
      </c>
      <c r="N400" t="s">
        <v>317</v>
      </c>
      <c r="O400" t="s">
        <v>60</v>
      </c>
      <c r="P400">
        <v>6000</v>
      </c>
      <c r="Q400" t="s">
        <v>28</v>
      </c>
      <c r="R400">
        <v>690000</v>
      </c>
      <c r="S400">
        <v>115</v>
      </c>
      <c r="T400" t="s">
        <v>114</v>
      </c>
      <c r="U400" t="s">
        <v>690</v>
      </c>
      <c r="V400">
        <v>20</v>
      </c>
      <c r="W400">
        <v>2008</v>
      </c>
      <c r="X400" s="17">
        <v>45895</v>
      </c>
      <c r="Y400">
        <v>66992451</v>
      </c>
      <c r="Z400" t="s">
        <v>623</v>
      </c>
      <c r="AC400" s="6"/>
      <c r="AH400" s="8"/>
      <c r="AJ400" s="10"/>
      <c r="AK400" s="10"/>
    </row>
    <row r="401" spans="1:37" x14ac:dyDescent="0.3">
      <c r="A401" s="6">
        <v>45896</v>
      </c>
      <c r="B401" s="11">
        <v>45896</v>
      </c>
      <c r="C401">
        <v>20081999</v>
      </c>
      <c r="D401" t="s">
        <v>177</v>
      </c>
      <c r="E401" t="s">
        <v>760</v>
      </c>
      <c r="F401" t="s">
        <v>79</v>
      </c>
      <c r="G401" s="8">
        <v>350</v>
      </c>
      <c r="H401" t="s">
        <v>28</v>
      </c>
      <c r="I401" s="10">
        <v>4.1234285714285717</v>
      </c>
      <c r="J401" s="10">
        <v>1443.2</v>
      </c>
      <c r="K401">
        <v>4.12</v>
      </c>
      <c r="L401" t="s">
        <v>75</v>
      </c>
      <c r="M401" t="s">
        <v>50</v>
      </c>
      <c r="N401" t="s">
        <v>89</v>
      </c>
      <c r="O401" t="s">
        <v>32</v>
      </c>
      <c r="P401">
        <v>350</v>
      </c>
      <c r="Q401" t="s">
        <v>28</v>
      </c>
      <c r="R401">
        <v>1081.5</v>
      </c>
      <c r="S401">
        <v>3.09</v>
      </c>
      <c r="U401" t="s">
        <v>690</v>
      </c>
      <c r="V401">
        <v>20</v>
      </c>
      <c r="W401">
        <v>2008</v>
      </c>
      <c r="X401" s="17">
        <v>45896</v>
      </c>
      <c r="Y401">
        <v>63909733</v>
      </c>
      <c r="Z401" t="s">
        <v>396</v>
      </c>
      <c r="AC401" s="6"/>
      <c r="AH401" s="8"/>
      <c r="AJ401" s="10"/>
      <c r="AK401" s="10"/>
    </row>
    <row r="402" spans="1:37" x14ac:dyDescent="0.3">
      <c r="A402" s="6">
        <v>45898</v>
      </c>
      <c r="B402" s="11">
        <v>45898</v>
      </c>
      <c r="C402">
        <v>20081999</v>
      </c>
      <c r="D402" t="s">
        <v>484</v>
      </c>
      <c r="E402" t="s">
        <v>340</v>
      </c>
      <c r="F402" t="s">
        <v>341</v>
      </c>
      <c r="G402" s="8">
        <v>50</v>
      </c>
      <c r="H402" t="s">
        <v>28</v>
      </c>
      <c r="I402" s="10">
        <v>6.0442</v>
      </c>
      <c r="J402" s="10">
        <v>302.20999999999998</v>
      </c>
      <c r="K402">
        <v>6.04</v>
      </c>
      <c r="L402" t="s">
        <v>639</v>
      </c>
      <c r="M402" t="s">
        <v>343</v>
      </c>
      <c r="N402" t="s">
        <v>42</v>
      </c>
      <c r="O402" t="s">
        <v>32</v>
      </c>
      <c r="P402">
        <v>50</v>
      </c>
      <c r="Q402" t="s">
        <v>28</v>
      </c>
      <c r="R402">
        <v>340.5</v>
      </c>
      <c r="S402">
        <v>6.81</v>
      </c>
      <c r="T402" t="s">
        <v>33</v>
      </c>
      <c r="U402" t="s">
        <v>690</v>
      </c>
      <c r="V402">
        <v>20</v>
      </c>
      <c r="W402">
        <v>2008</v>
      </c>
      <c r="X402" s="17">
        <v>45897</v>
      </c>
      <c r="Y402">
        <v>64989395</v>
      </c>
      <c r="Z402" t="s">
        <v>345</v>
      </c>
      <c r="AC402" s="6"/>
      <c r="AH402" s="8"/>
      <c r="AJ402" s="10"/>
      <c r="AK402" s="10"/>
    </row>
    <row r="403" spans="1:37" x14ac:dyDescent="0.3">
      <c r="A403" s="6">
        <v>45899</v>
      </c>
      <c r="B403" s="11">
        <v>45899</v>
      </c>
      <c r="C403">
        <v>12079990</v>
      </c>
      <c r="D403" t="s">
        <v>177</v>
      </c>
      <c r="E403" t="s">
        <v>154</v>
      </c>
      <c r="F403" t="s">
        <v>79</v>
      </c>
      <c r="G403" s="8">
        <v>62</v>
      </c>
      <c r="H403" t="s">
        <v>28</v>
      </c>
      <c r="I403" s="10">
        <v>6.3808064516129033</v>
      </c>
      <c r="J403" s="10">
        <v>395.61</v>
      </c>
      <c r="K403">
        <v>6.38</v>
      </c>
      <c r="L403" t="s">
        <v>278</v>
      </c>
      <c r="M403" t="s">
        <v>67</v>
      </c>
      <c r="N403" t="s">
        <v>51</v>
      </c>
      <c r="O403" t="s">
        <v>32</v>
      </c>
      <c r="P403">
        <v>62</v>
      </c>
      <c r="Q403" t="s">
        <v>28</v>
      </c>
      <c r="R403">
        <v>531.34</v>
      </c>
      <c r="S403">
        <v>8.57</v>
      </c>
      <c r="T403" t="s">
        <v>448</v>
      </c>
      <c r="U403" t="s">
        <v>592</v>
      </c>
      <c r="V403">
        <v>12</v>
      </c>
      <c r="W403">
        <v>1207</v>
      </c>
      <c r="X403" s="17">
        <v>45898</v>
      </c>
      <c r="Y403">
        <v>63950667</v>
      </c>
      <c r="Z403" t="s">
        <v>158</v>
      </c>
      <c r="AC403" s="6"/>
      <c r="AH403" s="8"/>
      <c r="AJ403" s="10"/>
      <c r="AK403" s="10"/>
    </row>
    <row r="404" spans="1:37" x14ac:dyDescent="0.3">
      <c r="A404" s="6">
        <v>45899</v>
      </c>
      <c r="B404" s="11">
        <v>45899</v>
      </c>
      <c r="C404">
        <v>20081999</v>
      </c>
      <c r="D404" t="s">
        <v>462</v>
      </c>
      <c r="E404" t="s">
        <v>133</v>
      </c>
      <c r="F404" t="s">
        <v>714</v>
      </c>
      <c r="G404" s="8">
        <v>5</v>
      </c>
      <c r="H404" t="s">
        <v>28</v>
      </c>
      <c r="I404" s="10">
        <v>5.0020000000000007</v>
      </c>
      <c r="J404" s="10">
        <v>25.01</v>
      </c>
      <c r="K404">
        <v>5</v>
      </c>
      <c r="L404" t="s">
        <v>761</v>
      </c>
      <c r="M404" t="s">
        <v>136</v>
      </c>
      <c r="N404" t="s">
        <v>762</v>
      </c>
      <c r="O404" t="s">
        <v>60</v>
      </c>
      <c r="P404">
        <v>5</v>
      </c>
      <c r="Q404" t="s">
        <v>28</v>
      </c>
      <c r="R404">
        <v>2200</v>
      </c>
      <c r="S404">
        <v>440</v>
      </c>
      <c r="T404" t="s">
        <v>114</v>
      </c>
      <c r="U404" t="s">
        <v>690</v>
      </c>
      <c r="V404">
        <v>20</v>
      </c>
      <c r="W404">
        <v>2008</v>
      </c>
      <c r="X404" s="17">
        <v>45870</v>
      </c>
      <c r="Y404">
        <v>67889489</v>
      </c>
      <c r="Z404" t="s">
        <v>138</v>
      </c>
      <c r="AC404" s="6"/>
      <c r="AH404" s="8"/>
      <c r="AJ404" s="10"/>
      <c r="AK404" s="10"/>
    </row>
    <row r="405" spans="1:37" x14ac:dyDescent="0.3">
      <c r="A405" s="6">
        <v>45902</v>
      </c>
      <c r="B405" s="11">
        <v>45902</v>
      </c>
      <c r="C405">
        <v>20081991</v>
      </c>
      <c r="D405" t="s">
        <v>763</v>
      </c>
      <c r="E405" t="s">
        <v>261</v>
      </c>
      <c r="F405" t="s">
        <v>79</v>
      </c>
      <c r="G405" s="8">
        <v>1000</v>
      </c>
      <c r="H405" t="s">
        <v>28</v>
      </c>
      <c r="I405" s="10">
        <v>4.1381500000000004</v>
      </c>
      <c r="J405" s="10">
        <v>4138.1499999999996</v>
      </c>
      <c r="K405">
        <v>4138.1499999999996</v>
      </c>
      <c r="L405" t="s">
        <v>571</v>
      </c>
      <c r="M405" t="s">
        <v>572</v>
      </c>
      <c r="N405" t="s">
        <v>89</v>
      </c>
      <c r="O405" t="s">
        <v>32</v>
      </c>
      <c r="P405">
        <v>1</v>
      </c>
      <c r="Q405" t="s">
        <v>43</v>
      </c>
      <c r="R405">
        <v>4340</v>
      </c>
      <c r="S405">
        <v>4340</v>
      </c>
      <c r="T405" t="s">
        <v>33</v>
      </c>
      <c r="U405" t="s">
        <v>690</v>
      </c>
      <c r="V405">
        <v>20</v>
      </c>
      <c r="W405">
        <v>2008</v>
      </c>
      <c r="X405" s="17">
        <v>45901</v>
      </c>
      <c r="Y405">
        <v>69012141</v>
      </c>
      <c r="Z405" t="s">
        <v>262</v>
      </c>
      <c r="AC405" s="6"/>
      <c r="AH405" s="8"/>
      <c r="AJ405" s="10"/>
      <c r="AK405" s="10"/>
    </row>
    <row r="406" spans="1:37" x14ac:dyDescent="0.3">
      <c r="A406" s="6">
        <v>45903</v>
      </c>
      <c r="B406" s="11">
        <v>45903</v>
      </c>
      <c r="C406">
        <v>20081999</v>
      </c>
      <c r="D406" t="s">
        <v>132</v>
      </c>
      <c r="E406" t="s">
        <v>435</v>
      </c>
      <c r="F406" t="s">
        <v>436</v>
      </c>
      <c r="G406" s="8">
        <v>250</v>
      </c>
      <c r="H406" t="s">
        <v>28</v>
      </c>
      <c r="I406" s="10">
        <v>1.1368799999999999</v>
      </c>
      <c r="J406" s="10">
        <v>284.22000000000003</v>
      </c>
      <c r="K406">
        <v>1.1399999999999999</v>
      </c>
      <c r="L406" t="s">
        <v>315</v>
      </c>
      <c r="M406" t="s">
        <v>316</v>
      </c>
      <c r="N406" t="s">
        <v>317</v>
      </c>
      <c r="O406" t="s">
        <v>60</v>
      </c>
      <c r="P406">
        <v>250</v>
      </c>
      <c r="Q406" t="s">
        <v>28</v>
      </c>
      <c r="R406">
        <v>25000</v>
      </c>
      <c r="S406">
        <v>100</v>
      </c>
      <c r="T406" t="s">
        <v>114</v>
      </c>
      <c r="U406" t="s">
        <v>690</v>
      </c>
      <c r="V406">
        <v>20</v>
      </c>
      <c r="W406">
        <v>2008</v>
      </c>
      <c r="X406" s="17">
        <v>45902</v>
      </c>
      <c r="Y406">
        <v>68626275</v>
      </c>
      <c r="Z406" t="s">
        <v>437</v>
      </c>
      <c r="AC406" s="6"/>
      <c r="AH406" s="8"/>
      <c r="AJ406" s="10"/>
      <c r="AK406" s="10"/>
    </row>
    <row r="407" spans="1:37" x14ac:dyDescent="0.3">
      <c r="A407" s="6">
        <v>45904</v>
      </c>
      <c r="B407" s="11">
        <v>45904</v>
      </c>
      <c r="C407">
        <v>20081999</v>
      </c>
      <c r="D407" t="s">
        <v>177</v>
      </c>
      <c r="E407" t="s">
        <v>313</v>
      </c>
      <c r="F407" t="s">
        <v>531</v>
      </c>
      <c r="G407" s="8">
        <v>500</v>
      </c>
      <c r="H407" t="s">
        <v>28</v>
      </c>
      <c r="I407" s="10">
        <v>1.37564</v>
      </c>
      <c r="J407" s="10">
        <v>687.82</v>
      </c>
      <c r="K407">
        <v>1.38</v>
      </c>
      <c r="L407" t="s">
        <v>379</v>
      </c>
      <c r="M407" t="s">
        <v>316</v>
      </c>
      <c r="N407" t="s">
        <v>317</v>
      </c>
      <c r="O407" t="s">
        <v>60</v>
      </c>
      <c r="P407">
        <v>500</v>
      </c>
      <c r="Q407" t="s">
        <v>28</v>
      </c>
      <c r="R407">
        <v>60500</v>
      </c>
      <c r="S407">
        <v>121</v>
      </c>
      <c r="T407" t="s">
        <v>114</v>
      </c>
      <c r="U407" t="s">
        <v>690</v>
      </c>
      <c r="V407">
        <v>20</v>
      </c>
      <c r="W407">
        <v>2008</v>
      </c>
      <c r="X407" s="17">
        <v>45903</v>
      </c>
      <c r="Y407">
        <v>68591772</v>
      </c>
      <c r="Z407" t="s">
        <v>318</v>
      </c>
      <c r="AC407" s="6"/>
      <c r="AH407" s="8"/>
      <c r="AJ407" s="10"/>
      <c r="AK407" s="10"/>
    </row>
    <row r="408" spans="1:37" x14ac:dyDescent="0.3">
      <c r="A408" s="6">
        <v>45909</v>
      </c>
      <c r="B408" s="11">
        <v>45909</v>
      </c>
      <c r="C408">
        <v>20081999</v>
      </c>
      <c r="D408" t="s">
        <v>177</v>
      </c>
      <c r="E408" t="s">
        <v>313</v>
      </c>
      <c r="F408" t="s">
        <v>765</v>
      </c>
      <c r="G408" s="8">
        <v>500</v>
      </c>
      <c r="H408" t="s">
        <v>28</v>
      </c>
      <c r="I408" s="10">
        <v>1.3583000000000001</v>
      </c>
      <c r="J408" s="10">
        <v>679.15</v>
      </c>
      <c r="K408">
        <v>1.36</v>
      </c>
      <c r="L408" t="s">
        <v>379</v>
      </c>
      <c r="M408" t="s">
        <v>316</v>
      </c>
      <c r="N408" t="s">
        <v>317</v>
      </c>
      <c r="O408" t="s">
        <v>60</v>
      </c>
      <c r="P408">
        <v>500</v>
      </c>
      <c r="Q408" t="s">
        <v>28</v>
      </c>
      <c r="R408">
        <v>60500</v>
      </c>
      <c r="S408">
        <v>121</v>
      </c>
      <c r="T408" t="s">
        <v>114</v>
      </c>
      <c r="U408" t="s">
        <v>690</v>
      </c>
      <c r="V408">
        <v>20</v>
      </c>
      <c r="W408">
        <v>2008</v>
      </c>
      <c r="X408" s="17">
        <v>45904</v>
      </c>
      <c r="Y408">
        <v>71387853</v>
      </c>
      <c r="Z408" t="s">
        <v>318</v>
      </c>
      <c r="AC408" s="6"/>
      <c r="AH408" s="8"/>
      <c r="AJ408" s="10"/>
      <c r="AK408" s="10"/>
    </row>
    <row r="409" spans="1:37" x14ac:dyDescent="0.3">
      <c r="A409" s="6">
        <v>45911</v>
      </c>
      <c r="B409" s="11">
        <v>45911</v>
      </c>
      <c r="C409">
        <v>20081999</v>
      </c>
      <c r="D409" t="s">
        <v>660</v>
      </c>
      <c r="E409" t="s">
        <v>661</v>
      </c>
      <c r="F409" t="s">
        <v>766</v>
      </c>
      <c r="G409" s="8">
        <v>50</v>
      </c>
      <c r="H409" t="s">
        <v>28</v>
      </c>
      <c r="I409" s="10">
        <v>3.9289999999999998</v>
      </c>
      <c r="J409" s="10">
        <v>196.45</v>
      </c>
      <c r="K409">
        <v>3.93</v>
      </c>
      <c r="L409" t="s">
        <v>465</v>
      </c>
      <c r="M409" t="s">
        <v>136</v>
      </c>
      <c r="N409" t="s">
        <v>466</v>
      </c>
      <c r="O409" t="s">
        <v>60</v>
      </c>
      <c r="P409">
        <v>50</v>
      </c>
      <c r="Q409" t="s">
        <v>28</v>
      </c>
      <c r="R409">
        <v>17500</v>
      </c>
      <c r="S409">
        <v>350</v>
      </c>
      <c r="T409" t="s">
        <v>114</v>
      </c>
      <c r="U409" t="s">
        <v>690</v>
      </c>
      <c r="V409">
        <v>20</v>
      </c>
      <c r="W409">
        <v>2008</v>
      </c>
      <c r="X409" s="17">
        <v>45905</v>
      </c>
      <c r="Y409">
        <v>70799056</v>
      </c>
      <c r="Z409" t="s">
        <v>663</v>
      </c>
      <c r="AC409" s="6"/>
      <c r="AH409" s="8"/>
      <c r="AJ409" s="10"/>
      <c r="AK409" s="10"/>
    </row>
    <row r="410" spans="1:37" x14ac:dyDescent="0.3">
      <c r="A410" s="6">
        <v>45913</v>
      </c>
      <c r="B410" s="11">
        <v>45913</v>
      </c>
      <c r="C410">
        <v>12079990</v>
      </c>
      <c r="D410" t="s">
        <v>767</v>
      </c>
      <c r="E410" t="s">
        <v>768</v>
      </c>
      <c r="F410" t="s">
        <v>79</v>
      </c>
      <c r="G410" s="8">
        <v>46.8</v>
      </c>
      <c r="H410" t="s">
        <v>28</v>
      </c>
      <c r="I410" s="10">
        <v>4.5547008547008554</v>
      </c>
      <c r="J410" s="10">
        <v>213.16</v>
      </c>
      <c r="K410">
        <v>4.55</v>
      </c>
      <c r="L410" t="s">
        <v>419</v>
      </c>
      <c r="M410" t="s">
        <v>88</v>
      </c>
      <c r="N410" t="s">
        <v>89</v>
      </c>
      <c r="O410" t="s">
        <v>32</v>
      </c>
      <c r="P410">
        <v>46.8</v>
      </c>
      <c r="Q410" t="s">
        <v>28</v>
      </c>
      <c r="R410">
        <v>247.57</v>
      </c>
      <c r="S410">
        <v>5.29</v>
      </c>
      <c r="T410" t="s">
        <v>33</v>
      </c>
      <c r="U410" t="s">
        <v>592</v>
      </c>
      <c r="V410">
        <v>12</v>
      </c>
      <c r="W410">
        <v>1207</v>
      </c>
      <c r="X410" s="17">
        <v>45906</v>
      </c>
      <c r="Y410">
        <v>71171025</v>
      </c>
      <c r="Z410" t="s">
        <v>769</v>
      </c>
      <c r="AC410" s="6"/>
      <c r="AH410" s="8"/>
      <c r="AJ410" s="10"/>
      <c r="AK410" s="10"/>
    </row>
    <row r="411" spans="1:37" x14ac:dyDescent="0.3">
      <c r="A411" s="6">
        <v>45915</v>
      </c>
      <c r="B411" s="11">
        <v>45915</v>
      </c>
      <c r="C411">
        <v>12079990</v>
      </c>
      <c r="D411" t="s">
        <v>177</v>
      </c>
      <c r="E411" t="s">
        <v>272</v>
      </c>
      <c r="F411" t="s">
        <v>594</v>
      </c>
      <c r="G411" s="8">
        <v>12.5</v>
      </c>
      <c r="H411" t="s">
        <v>28</v>
      </c>
      <c r="I411" s="10">
        <v>3.1751999999999998</v>
      </c>
      <c r="J411" s="10">
        <v>39.69</v>
      </c>
      <c r="K411">
        <v>3.18</v>
      </c>
      <c r="L411" t="s">
        <v>29</v>
      </c>
      <c r="M411" t="s">
        <v>30</v>
      </c>
      <c r="N411" t="s">
        <v>595</v>
      </c>
      <c r="O411" t="s">
        <v>32</v>
      </c>
      <c r="P411">
        <v>12.5</v>
      </c>
      <c r="Q411" t="s">
        <v>28</v>
      </c>
      <c r="R411">
        <v>40.5</v>
      </c>
      <c r="S411">
        <v>3.24</v>
      </c>
      <c r="T411" t="s">
        <v>33</v>
      </c>
      <c r="U411" t="s">
        <v>592</v>
      </c>
      <c r="V411">
        <v>12</v>
      </c>
      <c r="W411">
        <v>1207</v>
      </c>
      <c r="X411" s="17">
        <v>45907</v>
      </c>
      <c r="Y411">
        <v>77923616</v>
      </c>
      <c r="Z411" t="s">
        <v>274</v>
      </c>
      <c r="AC411" s="6"/>
      <c r="AH411" s="8"/>
      <c r="AJ411" s="10"/>
      <c r="AK411" s="10"/>
    </row>
    <row r="412" spans="1:37" x14ac:dyDescent="0.3">
      <c r="A412" s="6">
        <v>45917</v>
      </c>
      <c r="B412" s="11">
        <v>45917</v>
      </c>
      <c r="C412">
        <v>12079990</v>
      </c>
      <c r="D412" t="s">
        <v>770</v>
      </c>
      <c r="E412" t="s">
        <v>771</v>
      </c>
      <c r="F412" t="s">
        <v>772</v>
      </c>
      <c r="G412" s="8">
        <v>100</v>
      </c>
      <c r="H412" t="s">
        <v>28</v>
      </c>
      <c r="I412" s="10">
        <v>4.1917</v>
      </c>
      <c r="J412" s="10">
        <v>419.17</v>
      </c>
      <c r="K412">
        <v>4.1900000000000004</v>
      </c>
      <c r="L412" t="s">
        <v>156</v>
      </c>
      <c r="M412" t="s">
        <v>157</v>
      </c>
      <c r="N412" t="s">
        <v>51</v>
      </c>
      <c r="O412" t="s">
        <v>32</v>
      </c>
      <c r="P412">
        <v>100</v>
      </c>
      <c r="Q412" t="s">
        <v>28</v>
      </c>
      <c r="R412">
        <v>426</v>
      </c>
      <c r="S412">
        <v>4.26</v>
      </c>
      <c r="T412" t="s">
        <v>33</v>
      </c>
      <c r="U412" t="s">
        <v>592</v>
      </c>
      <c r="V412">
        <v>12</v>
      </c>
      <c r="W412">
        <v>1207</v>
      </c>
      <c r="X412" s="17">
        <v>45908</v>
      </c>
      <c r="Y412">
        <v>69366509</v>
      </c>
      <c r="Z412" t="s">
        <v>773</v>
      </c>
      <c r="AC412" s="6"/>
      <c r="AH412" s="8"/>
      <c r="AJ412" s="10"/>
      <c r="AK412" s="10"/>
    </row>
    <row r="413" spans="1:37" x14ac:dyDescent="0.3">
      <c r="A413" s="6">
        <v>45918</v>
      </c>
      <c r="B413" s="11">
        <v>45918</v>
      </c>
      <c r="C413">
        <v>7099390</v>
      </c>
      <c r="D413" t="s">
        <v>177</v>
      </c>
      <c r="E413" t="s">
        <v>774</v>
      </c>
      <c r="F413" t="s">
        <v>775</v>
      </c>
      <c r="G413" s="8">
        <v>39.200000000000003</v>
      </c>
      <c r="H413" t="s">
        <v>28</v>
      </c>
      <c r="I413" s="10">
        <v>5.3056122448979588</v>
      </c>
      <c r="J413" s="10">
        <v>207.98</v>
      </c>
      <c r="K413">
        <v>5.31</v>
      </c>
      <c r="L413" t="s">
        <v>712</v>
      </c>
      <c r="M413" t="s">
        <v>88</v>
      </c>
      <c r="N413" t="s">
        <v>266</v>
      </c>
      <c r="O413" t="s">
        <v>32</v>
      </c>
      <c r="P413">
        <v>39.200000000000003</v>
      </c>
      <c r="Q413" t="s">
        <v>28</v>
      </c>
      <c r="R413">
        <v>219.91</v>
      </c>
      <c r="S413">
        <v>5.61</v>
      </c>
      <c r="T413" t="s">
        <v>33</v>
      </c>
      <c r="U413" t="s">
        <v>776</v>
      </c>
      <c r="V413">
        <v>7</v>
      </c>
      <c r="W413">
        <v>709</v>
      </c>
      <c r="X413" s="17">
        <v>45909</v>
      </c>
      <c r="Y413">
        <v>71416267</v>
      </c>
      <c r="Z413" t="s">
        <v>777</v>
      </c>
      <c r="AC413" s="6"/>
      <c r="AH413" s="8"/>
      <c r="AJ413" s="10"/>
      <c r="AK413" s="10"/>
    </row>
    <row r="414" spans="1:37" x14ac:dyDescent="0.3">
      <c r="A414" s="6">
        <v>45921</v>
      </c>
      <c r="B414" s="11">
        <v>45921</v>
      </c>
      <c r="C414">
        <v>20081999</v>
      </c>
      <c r="D414" t="s">
        <v>132</v>
      </c>
      <c r="E414" t="s">
        <v>429</v>
      </c>
      <c r="F414" t="s">
        <v>430</v>
      </c>
      <c r="G414" s="8">
        <v>2000</v>
      </c>
      <c r="H414" t="s">
        <v>28</v>
      </c>
      <c r="I414" s="10">
        <v>1.1451499999999999</v>
      </c>
      <c r="J414" s="10">
        <v>2290.3000000000002</v>
      </c>
      <c r="K414">
        <v>1.1499999999999999</v>
      </c>
      <c r="L414" t="s">
        <v>379</v>
      </c>
      <c r="M414" t="s">
        <v>316</v>
      </c>
      <c r="N414" t="s">
        <v>317</v>
      </c>
      <c r="O414" t="s">
        <v>60</v>
      </c>
      <c r="P414">
        <v>2000</v>
      </c>
      <c r="Q414" t="s">
        <v>28</v>
      </c>
      <c r="R414">
        <v>200000</v>
      </c>
      <c r="S414">
        <v>100</v>
      </c>
      <c r="T414" t="s">
        <v>114</v>
      </c>
      <c r="U414" t="s">
        <v>690</v>
      </c>
      <c r="V414">
        <v>20</v>
      </c>
      <c r="W414">
        <v>2008</v>
      </c>
      <c r="X414" s="17">
        <v>45910</v>
      </c>
      <c r="Y414">
        <v>70967782</v>
      </c>
      <c r="Z414" t="s">
        <v>432</v>
      </c>
      <c r="AC414" s="6"/>
      <c r="AH414" s="8"/>
      <c r="AJ414" s="10"/>
      <c r="AK414" s="10"/>
    </row>
    <row r="415" spans="1:37" x14ac:dyDescent="0.3">
      <c r="A415" s="6">
        <v>45922</v>
      </c>
      <c r="B415" s="11">
        <v>45922</v>
      </c>
      <c r="C415">
        <v>7099310</v>
      </c>
      <c r="D415" t="s">
        <v>132</v>
      </c>
      <c r="E415" t="s">
        <v>633</v>
      </c>
      <c r="F415" t="s">
        <v>778</v>
      </c>
      <c r="G415" s="8">
        <v>1500</v>
      </c>
      <c r="H415" t="s">
        <v>28</v>
      </c>
      <c r="I415" s="10">
        <v>3.664486666666666</v>
      </c>
      <c r="J415" s="10">
        <v>5496.73</v>
      </c>
      <c r="K415">
        <v>3.66</v>
      </c>
      <c r="L415" t="s">
        <v>379</v>
      </c>
      <c r="M415" t="s">
        <v>316</v>
      </c>
      <c r="N415" t="s">
        <v>317</v>
      </c>
      <c r="O415" t="s">
        <v>60</v>
      </c>
      <c r="P415">
        <v>1500</v>
      </c>
      <c r="Q415" t="s">
        <v>28</v>
      </c>
      <c r="R415">
        <v>48000000</v>
      </c>
      <c r="S415">
        <v>32000</v>
      </c>
      <c r="T415" t="s">
        <v>114</v>
      </c>
      <c r="U415" t="s">
        <v>637</v>
      </c>
      <c r="V415">
        <v>7</v>
      </c>
      <c r="W415">
        <v>709</v>
      </c>
      <c r="X415" s="17">
        <v>45911</v>
      </c>
      <c r="Y415">
        <v>72747432</v>
      </c>
      <c r="Z415" t="s">
        <v>635</v>
      </c>
      <c r="AC415" s="6"/>
      <c r="AH415" s="8"/>
      <c r="AJ415" s="10"/>
      <c r="AK415" s="10"/>
    </row>
    <row r="416" spans="1:37" x14ac:dyDescent="0.3">
      <c r="A416" s="6">
        <v>45922</v>
      </c>
      <c r="B416" s="11">
        <v>45922</v>
      </c>
      <c r="C416">
        <v>20081991</v>
      </c>
      <c r="D416" t="s">
        <v>702</v>
      </c>
      <c r="E416" t="s">
        <v>751</v>
      </c>
      <c r="F416" t="s">
        <v>79</v>
      </c>
      <c r="G416" s="8">
        <v>25</v>
      </c>
      <c r="H416" t="s">
        <v>28</v>
      </c>
      <c r="I416" s="10">
        <v>4.4980000000000002</v>
      </c>
      <c r="J416" s="10">
        <v>112.45</v>
      </c>
      <c r="K416">
        <v>4.5</v>
      </c>
      <c r="L416" t="s">
        <v>465</v>
      </c>
      <c r="M416" t="s">
        <v>136</v>
      </c>
      <c r="N416" t="s">
        <v>466</v>
      </c>
      <c r="O416" t="s">
        <v>60</v>
      </c>
      <c r="P416">
        <v>25</v>
      </c>
      <c r="Q416" t="s">
        <v>28</v>
      </c>
      <c r="R416">
        <v>10000</v>
      </c>
      <c r="S416">
        <v>400</v>
      </c>
      <c r="T416" t="s">
        <v>114</v>
      </c>
      <c r="U416" t="s">
        <v>690</v>
      </c>
      <c r="V416">
        <v>20</v>
      </c>
      <c r="W416">
        <v>2008</v>
      </c>
      <c r="X416" s="17">
        <v>45912</v>
      </c>
      <c r="Y416">
        <v>72998991</v>
      </c>
      <c r="Z416" t="s">
        <v>753</v>
      </c>
      <c r="AC416" s="6"/>
      <c r="AH416" s="8"/>
      <c r="AJ416" s="10"/>
      <c r="AK416" s="10"/>
    </row>
    <row r="417" spans="1:37" x14ac:dyDescent="0.3">
      <c r="A417" s="6">
        <v>45922</v>
      </c>
      <c r="B417" s="11">
        <v>45922</v>
      </c>
      <c r="C417">
        <v>20081991</v>
      </c>
      <c r="D417" t="s">
        <v>702</v>
      </c>
      <c r="E417" t="s">
        <v>751</v>
      </c>
      <c r="F417" t="s">
        <v>752</v>
      </c>
      <c r="G417" s="8">
        <v>1</v>
      </c>
      <c r="H417" t="s">
        <v>28</v>
      </c>
      <c r="I417" s="10">
        <v>4.5</v>
      </c>
      <c r="J417" s="10">
        <v>4.5</v>
      </c>
      <c r="K417">
        <v>4.5</v>
      </c>
      <c r="L417" t="s">
        <v>465</v>
      </c>
      <c r="M417" t="s">
        <v>136</v>
      </c>
      <c r="N417" t="s">
        <v>466</v>
      </c>
      <c r="O417" t="s">
        <v>60</v>
      </c>
      <c r="P417">
        <v>1</v>
      </c>
      <c r="Q417" t="s">
        <v>28</v>
      </c>
      <c r="R417">
        <v>400</v>
      </c>
      <c r="S417">
        <v>400</v>
      </c>
      <c r="T417" t="s">
        <v>114</v>
      </c>
      <c r="U417" t="s">
        <v>690</v>
      </c>
      <c r="V417">
        <v>20</v>
      </c>
      <c r="W417">
        <v>2008</v>
      </c>
      <c r="X417" s="17">
        <v>45913</v>
      </c>
      <c r="Y417">
        <v>72627446</v>
      </c>
      <c r="Z417" t="s">
        <v>753</v>
      </c>
      <c r="AC417" s="6"/>
      <c r="AH417" s="8"/>
      <c r="AJ417" s="10"/>
      <c r="AK417" s="10"/>
    </row>
    <row r="418" spans="1:37" x14ac:dyDescent="0.3">
      <c r="A418" s="6">
        <v>45923</v>
      </c>
      <c r="B418" s="11">
        <v>45923</v>
      </c>
      <c r="C418">
        <v>12079990</v>
      </c>
      <c r="D418" t="s">
        <v>779</v>
      </c>
      <c r="E418" t="s">
        <v>780</v>
      </c>
      <c r="F418" t="s">
        <v>781</v>
      </c>
      <c r="G418" s="8">
        <v>15000</v>
      </c>
      <c r="H418" t="s">
        <v>28</v>
      </c>
      <c r="I418" s="10">
        <v>1.24251</v>
      </c>
      <c r="J418" s="10">
        <v>18637.650000000001</v>
      </c>
      <c r="K418">
        <v>1.24</v>
      </c>
      <c r="L418" t="s">
        <v>782</v>
      </c>
      <c r="M418" t="s">
        <v>58</v>
      </c>
      <c r="N418" t="s">
        <v>783</v>
      </c>
      <c r="O418" t="s">
        <v>60</v>
      </c>
      <c r="P418">
        <v>15000</v>
      </c>
      <c r="Q418" t="s">
        <v>28</v>
      </c>
      <c r="R418">
        <v>18750</v>
      </c>
      <c r="S418">
        <v>1.25</v>
      </c>
      <c r="T418" t="s">
        <v>33</v>
      </c>
      <c r="U418" t="s">
        <v>592</v>
      </c>
      <c r="V418">
        <v>12</v>
      </c>
      <c r="W418">
        <v>1207</v>
      </c>
      <c r="X418" s="17">
        <v>45914</v>
      </c>
      <c r="Y418">
        <v>77560979</v>
      </c>
      <c r="Z418" t="s">
        <v>784</v>
      </c>
      <c r="AC418" s="6"/>
      <c r="AH418" s="8"/>
      <c r="AJ418" s="10"/>
      <c r="AK418" s="10"/>
    </row>
    <row r="419" spans="1:37" x14ac:dyDescent="0.3">
      <c r="A419" s="6">
        <v>45923</v>
      </c>
      <c r="B419" s="11">
        <v>45923</v>
      </c>
      <c r="C419">
        <v>20081999</v>
      </c>
      <c r="D419" t="s">
        <v>494</v>
      </c>
      <c r="E419" t="s">
        <v>429</v>
      </c>
      <c r="F419" t="s">
        <v>430</v>
      </c>
      <c r="G419" s="8">
        <v>1000</v>
      </c>
      <c r="H419" t="s">
        <v>28</v>
      </c>
      <c r="I419" s="10">
        <v>1.1451499999999999</v>
      </c>
      <c r="J419" s="10">
        <v>1145.1500000000001</v>
      </c>
      <c r="K419">
        <v>1.1499999999999999</v>
      </c>
      <c r="L419" t="s">
        <v>379</v>
      </c>
      <c r="M419" t="s">
        <v>316</v>
      </c>
      <c r="N419" t="s">
        <v>317</v>
      </c>
      <c r="O419" t="s">
        <v>60</v>
      </c>
      <c r="P419">
        <v>1000</v>
      </c>
      <c r="Q419" t="s">
        <v>28</v>
      </c>
      <c r="R419">
        <v>100000</v>
      </c>
      <c r="S419">
        <v>100</v>
      </c>
      <c r="T419" t="s">
        <v>114</v>
      </c>
      <c r="U419" t="s">
        <v>690</v>
      </c>
      <c r="V419">
        <v>20</v>
      </c>
      <c r="W419">
        <v>2008</v>
      </c>
      <c r="X419" s="17">
        <v>45915</v>
      </c>
      <c r="Y419">
        <v>72743579</v>
      </c>
      <c r="Z419" t="s">
        <v>432</v>
      </c>
      <c r="AC419" s="6"/>
      <c r="AH419" s="8"/>
      <c r="AJ419" s="10"/>
      <c r="AK419" s="10"/>
    </row>
    <row r="420" spans="1:37" x14ac:dyDescent="0.3">
      <c r="A420" s="6">
        <v>45923</v>
      </c>
      <c r="B420" s="11">
        <v>45923</v>
      </c>
      <c r="C420">
        <v>20081999</v>
      </c>
      <c r="D420" t="s">
        <v>177</v>
      </c>
      <c r="E420" t="s">
        <v>740</v>
      </c>
      <c r="F420" t="s">
        <v>741</v>
      </c>
      <c r="G420" s="8">
        <v>125</v>
      </c>
      <c r="H420" t="s">
        <v>28</v>
      </c>
      <c r="I420" s="10">
        <v>4.1808800000000002</v>
      </c>
      <c r="J420" s="10">
        <v>522.61</v>
      </c>
      <c r="K420">
        <v>4.18</v>
      </c>
      <c r="L420" t="s">
        <v>278</v>
      </c>
      <c r="M420" t="s">
        <v>67</v>
      </c>
      <c r="N420" t="s">
        <v>42</v>
      </c>
      <c r="O420" t="s">
        <v>32</v>
      </c>
      <c r="P420">
        <v>125</v>
      </c>
      <c r="Q420" t="s">
        <v>28</v>
      </c>
      <c r="R420">
        <v>687.5</v>
      </c>
      <c r="S420">
        <v>5.5</v>
      </c>
      <c r="T420" t="s">
        <v>448</v>
      </c>
      <c r="U420" t="s">
        <v>690</v>
      </c>
      <c r="V420">
        <v>20</v>
      </c>
      <c r="W420">
        <v>2008</v>
      </c>
      <c r="X420" s="17">
        <v>45916</v>
      </c>
      <c r="Y420">
        <v>72406147</v>
      </c>
      <c r="Z420" t="s">
        <v>742</v>
      </c>
      <c r="AC420" s="6"/>
      <c r="AH420" s="8"/>
      <c r="AJ420" s="10"/>
      <c r="AK420" s="10"/>
    </row>
    <row r="421" spans="1:37" x14ac:dyDescent="0.3">
      <c r="A421" s="6">
        <v>45923</v>
      </c>
      <c r="B421" s="11">
        <v>45923</v>
      </c>
      <c r="C421">
        <v>20081999</v>
      </c>
      <c r="D421" t="s">
        <v>177</v>
      </c>
      <c r="E421" t="s">
        <v>313</v>
      </c>
      <c r="F421" t="s">
        <v>579</v>
      </c>
      <c r="G421" s="8">
        <v>500</v>
      </c>
      <c r="H421" t="s">
        <v>28</v>
      </c>
      <c r="I421" s="10">
        <v>1.3606400000000001</v>
      </c>
      <c r="J421" s="10">
        <v>680.32</v>
      </c>
      <c r="K421">
        <v>1.36</v>
      </c>
      <c r="L421" t="s">
        <v>379</v>
      </c>
      <c r="M421" t="s">
        <v>316</v>
      </c>
      <c r="N421" t="s">
        <v>317</v>
      </c>
      <c r="O421" t="s">
        <v>60</v>
      </c>
      <c r="P421">
        <v>500</v>
      </c>
      <c r="Q421" t="s">
        <v>28</v>
      </c>
      <c r="R421">
        <v>60500</v>
      </c>
      <c r="S421">
        <v>121</v>
      </c>
      <c r="T421" t="s">
        <v>114</v>
      </c>
      <c r="U421" t="s">
        <v>690</v>
      </c>
      <c r="V421">
        <v>20</v>
      </c>
      <c r="W421">
        <v>2008</v>
      </c>
      <c r="X421" s="17">
        <v>45917</v>
      </c>
      <c r="Y421">
        <v>72973451</v>
      </c>
      <c r="Z421" t="s">
        <v>318</v>
      </c>
      <c r="AC421" s="6"/>
      <c r="AH421" s="8"/>
      <c r="AJ421" s="10"/>
      <c r="AK421" s="10"/>
    </row>
    <row r="422" spans="1:37" x14ac:dyDescent="0.3">
      <c r="A422" s="6">
        <v>45924</v>
      </c>
      <c r="B422" s="11">
        <v>45924</v>
      </c>
      <c r="C422">
        <v>20081999</v>
      </c>
      <c r="D422" t="s">
        <v>660</v>
      </c>
      <c r="E422" t="s">
        <v>661</v>
      </c>
      <c r="F422" t="s">
        <v>766</v>
      </c>
      <c r="G422" s="8">
        <v>37</v>
      </c>
      <c r="H422" t="s">
        <v>28</v>
      </c>
      <c r="I422" s="10">
        <v>3.9356756756756761</v>
      </c>
      <c r="J422" s="10">
        <v>145.62</v>
      </c>
      <c r="K422">
        <v>3.94</v>
      </c>
      <c r="L422" t="s">
        <v>465</v>
      </c>
      <c r="M422" t="s">
        <v>136</v>
      </c>
      <c r="N422" t="s">
        <v>466</v>
      </c>
      <c r="O422" t="s">
        <v>60</v>
      </c>
      <c r="P422">
        <v>37</v>
      </c>
      <c r="Q422" t="s">
        <v>28</v>
      </c>
      <c r="R422">
        <v>12950</v>
      </c>
      <c r="S422">
        <v>350</v>
      </c>
      <c r="T422" t="s">
        <v>114</v>
      </c>
      <c r="U422" t="s">
        <v>690</v>
      </c>
      <c r="V422">
        <v>20</v>
      </c>
      <c r="W422">
        <v>2008</v>
      </c>
      <c r="X422" s="17">
        <v>45918</v>
      </c>
      <c r="Y422">
        <v>72450029</v>
      </c>
      <c r="Z422" t="s">
        <v>663</v>
      </c>
      <c r="AC422" s="6"/>
      <c r="AH422" s="8"/>
      <c r="AJ422" s="10"/>
      <c r="AK422" s="10"/>
    </row>
    <row r="423" spans="1:37" x14ac:dyDescent="0.3">
      <c r="A423" s="6">
        <v>45925</v>
      </c>
      <c r="B423" s="11">
        <v>45925</v>
      </c>
      <c r="C423">
        <v>12079990</v>
      </c>
      <c r="D423" t="s">
        <v>177</v>
      </c>
      <c r="E423" t="s">
        <v>154</v>
      </c>
      <c r="F423" t="s">
        <v>380</v>
      </c>
      <c r="G423" s="8">
        <v>9.6</v>
      </c>
      <c r="H423" t="s">
        <v>28</v>
      </c>
      <c r="I423" s="10">
        <v>6.65625</v>
      </c>
      <c r="J423" s="10">
        <v>63.9</v>
      </c>
      <c r="K423">
        <v>6.66</v>
      </c>
      <c r="L423" t="s">
        <v>785</v>
      </c>
      <c r="M423" t="s">
        <v>157</v>
      </c>
      <c r="N423" t="s">
        <v>51</v>
      </c>
      <c r="O423" t="s">
        <v>32</v>
      </c>
      <c r="P423">
        <v>9.6</v>
      </c>
      <c r="Q423" t="s">
        <v>28</v>
      </c>
      <c r="R423">
        <v>65.569999999999993</v>
      </c>
      <c r="S423">
        <v>6.83</v>
      </c>
      <c r="T423" t="s">
        <v>33</v>
      </c>
      <c r="U423" t="s">
        <v>592</v>
      </c>
      <c r="V423">
        <v>12</v>
      </c>
      <c r="W423">
        <v>1207</v>
      </c>
      <c r="X423" s="17">
        <v>45919</v>
      </c>
      <c r="Y423">
        <v>72275122</v>
      </c>
      <c r="Z423" t="s">
        <v>158</v>
      </c>
      <c r="AC423" s="6"/>
      <c r="AH423" s="8"/>
      <c r="AJ423" s="10"/>
      <c r="AK423" s="10"/>
    </row>
    <row r="424" spans="1:37" x14ac:dyDescent="0.3">
      <c r="A424" s="6">
        <v>45926</v>
      </c>
      <c r="B424" s="11">
        <v>45926</v>
      </c>
      <c r="C424">
        <v>20081999</v>
      </c>
      <c r="D424" t="s">
        <v>177</v>
      </c>
      <c r="E424" t="s">
        <v>518</v>
      </c>
      <c r="F424" t="s">
        <v>519</v>
      </c>
      <c r="G424" s="8">
        <v>1000</v>
      </c>
      <c r="H424" t="s">
        <v>28</v>
      </c>
      <c r="I424" s="10">
        <v>1.1451499999999999</v>
      </c>
      <c r="J424" s="10">
        <v>1145.1500000000001</v>
      </c>
      <c r="K424">
        <v>1.1499999999999999</v>
      </c>
      <c r="L424" t="s">
        <v>315</v>
      </c>
      <c r="M424" t="s">
        <v>316</v>
      </c>
      <c r="N424" t="s">
        <v>317</v>
      </c>
      <c r="O424" t="s">
        <v>60</v>
      </c>
      <c r="P424">
        <v>1000</v>
      </c>
      <c r="Q424" t="s">
        <v>28</v>
      </c>
      <c r="R424">
        <v>100000</v>
      </c>
      <c r="S424">
        <v>100</v>
      </c>
      <c r="T424" t="s">
        <v>114</v>
      </c>
      <c r="U424" t="s">
        <v>690</v>
      </c>
      <c r="V424">
        <v>20</v>
      </c>
      <c r="W424">
        <v>2008</v>
      </c>
      <c r="X424" s="17">
        <v>45920</v>
      </c>
      <c r="Y424">
        <v>72727975</v>
      </c>
      <c r="Z424" t="s">
        <v>520</v>
      </c>
      <c r="AC424" s="6"/>
      <c r="AH424" s="8"/>
      <c r="AJ424" s="10"/>
      <c r="AK424" s="10"/>
    </row>
    <row r="425" spans="1:37" x14ac:dyDescent="0.3">
      <c r="A425" s="6">
        <v>45929</v>
      </c>
      <c r="B425" s="11">
        <v>45929</v>
      </c>
      <c r="C425">
        <v>20081999</v>
      </c>
      <c r="D425" t="s">
        <v>177</v>
      </c>
      <c r="E425" t="s">
        <v>313</v>
      </c>
      <c r="F425" t="s">
        <v>737</v>
      </c>
      <c r="G425" s="8">
        <v>500</v>
      </c>
      <c r="H425" t="s">
        <v>28</v>
      </c>
      <c r="I425" s="10">
        <v>1.3606400000000001</v>
      </c>
      <c r="J425" s="10">
        <v>680.32</v>
      </c>
      <c r="K425">
        <v>1.36</v>
      </c>
      <c r="L425" t="s">
        <v>379</v>
      </c>
      <c r="M425" t="s">
        <v>316</v>
      </c>
      <c r="N425" t="s">
        <v>317</v>
      </c>
      <c r="O425" t="s">
        <v>60</v>
      </c>
      <c r="P425">
        <v>500</v>
      </c>
      <c r="Q425" t="s">
        <v>28</v>
      </c>
      <c r="R425">
        <v>60500</v>
      </c>
      <c r="S425">
        <v>121</v>
      </c>
      <c r="T425" t="s">
        <v>114</v>
      </c>
      <c r="U425" t="s">
        <v>690</v>
      </c>
      <c r="V425">
        <v>20</v>
      </c>
      <c r="W425">
        <v>2008</v>
      </c>
      <c r="X425" s="17">
        <v>45921</v>
      </c>
      <c r="Y425">
        <v>72783973</v>
      </c>
      <c r="Z425" t="s">
        <v>318</v>
      </c>
      <c r="AC425" s="6"/>
      <c r="AH425" s="8"/>
      <c r="AJ425" s="10"/>
      <c r="AK425" s="10"/>
    </row>
    <row r="426" spans="1:37" x14ac:dyDescent="0.3">
      <c r="A426" s="6">
        <v>45937</v>
      </c>
      <c r="B426" s="11">
        <v>45937</v>
      </c>
      <c r="C426">
        <v>20081991</v>
      </c>
      <c r="D426" t="s">
        <v>786</v>
      </c>
      <c r="E426" t="s">
        <v>581</v>
      </c>
      <c r="F426" t="s">
        <v>79</v>
      </c>
      <c r="G426" s="8">
        <v>600</v>
      </c>
      <c r="H426" t="s">
        <v>28</v>
      </c>
      <c r="I426" s="10">
        <v>1.274</v>
      </c>
      <c r="J426" s="10">
        <v>764.4</v>
      </c>
      <c r="K426">
        <v>1.27</v>
      </c>
      <c r="L426" t="s">
        <v>342</v>
      </c>
      <c r="M426" t="s">
        <v>343</v>
      </c>
      <c r="N426" t="s">
        <v>787</v>
      </c>
      <c r="O426" t="s">
        <v>32</v>
      </c>
      <c r="P426">
        <v>600</v>
      </c>
      <c r="Q426" t="s">
        <v>28</v>
      </c>
      <c r="R426">
        <v>822</v>
      </c>
      <c r="S426">
        <v>1.37</v>
      </c>
      <c r="T426" t="s">
        <v>33</v>
      </c>
      <c r="U426" t="s">
        <v>690</v>
      </c>
      <c r="V426">
        <v>20</v>
      </c>
      <c r="W426">
        <v>2008</v>
      </c>
      <c r="X426" s="17">
        <v>45931</v>
      </c>
      <c r="Y426">
        <v>84579728</v>
      </c>
      <c r="Z426" t="s">
        <v>584</v>
      </c>
      <c r="AC426" s="6"/>
      <c r="AH426" s="8"/>
      <c r="AJ426" s="10"/>
      <c r="AK426" s="10"/>
    </row>
    <row r="427" spans="1:37" x14ac:dyDescent="0.3">
      <c r="A427" s="6">
        <v>45937</v>
      </c>
      <c r="B427" s="11">
        <v>45937</v>
      </c>
      <c r="C427">
        <v>20081991</v>
      </c>
      <c r="D427" t="s">
        <v>786</v>
      </c>
      <c r="E427" t="s">
        <v>581</v>
      </c>
      <c r="F427" t="s">
        <v>79</v>
      </c>
      <c r="G427" s="8">
        <v>600</v>
      </c>
      <c r="H427" t="s">
        <v>28</v>
      </c>
      <c r="I427" s="10">
        <v>1.274</v>
      </c>
      <c r="J427" s="10">
        <v>764.4</v>
      </c>
      <c r="K427">
        <v>1.27</v>
      </c>
      <c r="L427" t="s">
        <v>583</v>
      </c>
      <c r="M427" t="s">
        <v>343</v>
      </c>
      <c r="N427" t="s">
        <v>787</v>
      </c>
      <c r="O427" t="s">
        <v>32</v>
      </c>
      <c r="P427">
        <v>600</v>
      </c>
      <c r="Q427" t="s">
        <v>28</v>
      </c>
      <c r="R427">
        <v>822</v>
      </c>
      <c r="S427">
        <v>1.37</v>
      </c>
      <c r="U427" t="s">
        <v>690</v>
      </c>
      <c r="V427">
        <v>20</v>
      </c>
      <c r="W427">
        <v>2008</v>
      </c>
      <c r="X427" s="17">
        <v>45932</v>
      </c>
      <c r="Y427">
        <v>84515944</v>
      </c>
      <c r="Z427" t="s">
        <v>584</v>
      </c>
      <c r="AC427" s="6"/>
      <c r="AH427" s="8"/>
      <c r="AJ427" s="10"/>
      <c r="AK427" s="10"/>
    </row>
    <row r="428" spans="1:37" x14ac:dyDescent="0.3">
      <c r="A428" s="6">
        <v>45938</v>
      </c>
      <c r="B428" s="11">
        <v>45938</v>
      </c>
      <c r="C428">
        <v>20081999</v>
      </c>
      <c r="D428" t="s">
        <v>660</v>
      </c>
      <c r="E428" t="s">
        <v>661</v>
      </c>
      <c r="F428" t="s">
        <v>789</v>
      </c>
      <c r="G428" s="8">
        <v>25</v>
      </c>
      <c r="H428" t="s">
        <v>28</v>
      </c>
      <c r="I428" s="10">
        <v>5.1227999999999998</v>
      </c>
      <c r="J428" s="10">
        <v>128.07</v>
      </c>
      <c r="K428">
        <v>5.12</v>
      </c>
      <c r="L428" t="s">
        <v>465</v>
      </c>
      <c r="M428" t="s">
        <v>136</v>
      </c>
      <c r="N428" t="s">
        <v>466</v>
      </c>
      <c r="O428" t="s">
        <v>60</v>
      </c>
      <c r="P428">
        <v>25</v>
      </c>
      <c r="Q428" t="s">
        <v>28</v>
      </c>
      <c r="R428">
        <v>11500</v>
      </c>
      <c r="S428">
        <v>460</v>
      </c>
      <c r="T428" t="s">
        <v>114</v>
      </c>
      <c r="U428" t="s">
        <v>690</v>
      </c>
      <c r="V428">
        <v>20</v>
      </c>
      <c r="W428">
        <v>2008</v>
      </c>
      <c r="X428" s="17">
        <v>45933</v>
      </c>
      <c r="Y428">
        <v>79968303</v>
      </c>
      <c r="Z428" t="s">
        <v>663</v>
      </c>
      <c r="AC428" s="6"/>
      <c r="AH428" s="8"/>
      <c r="AJ428" s="10"/>
      <c r="AK428" s="10"/>
    </row>
    <row r="429" spans="1:37" x14ac:dyDescent="0.3">
      <c r="A429" s="6">
        <v>45940</v>
      </c>
      <c r="B429" s="11">
        <v>45940</v>
      </c>
      <c r="C429">
        <v>20081929</v>
      </c>
      <c r="D429" t="s">
        <v>177</v>
      </c>
      <c r="E429" t="s">
        <v>790</v>
      </c>
      <c r="F429" t="s">
        <v>791</v>
      </c>
      <c r="G429" s="8">
        <v>10</v>
      </c>
      <c r="H429" t="s">
        <v>28</v>
      </c>
      <c r="I429" s="10">
        <v>5.2140000000000004</v>
      </c>
      <c r="J429" s="10">
        <v>52.14</v>
      </c>
      <c r="K429">
        <v>5.21</v>
      </c>
      <c r="L429" t="s">
        <v>149</v>
      </c>
      <c r="M429" t="s">
        <v>150</v>
      </c>
      <c r="N429" t="s">
        <v>174</v>
      </c>
      <c r="O429" t="s">
        <v>32</v>
      </c>
      <c r="P429">
        <v>10</v>
      </c>
      <c r="Q429" t="s">
        <v>28</v>
      </c>
      <c r="R429">
        <v>55</v>
      </c>
      <c r="S429">
        <v>5.5</v>
      </c>
      <c r="T429" t="s">
        <v>33</v>
      </c>
      <c r="U429" t="s">
        <v>690</v>
      </c>
      <c r="V429">
        <v>20</v>
      </c>
      <c r="W429">
        <v>2008</v>
      </c>
      <c r="X429" s="17">
        <v>45934</v>
      </c>
      <c r="Y429">
        <v>80193865</v>
      </c>
      <c r="Z429" t="s">
        <v>792</v>
      </c>
      <c r="AC429" s="6"/>
      <c r="AH429" s="8"/>
      <c r="AJ429" s="10"/>
      <c r="AK429" s="10"/>
    </row>
    <row r="430" spans="1:37" x14ac:dyDescent="0.3">
      <c r="A430" s="6">
        <v>45945</v>
      </c>
      <c r="B430" s="11">
        <v>45945</v>
      </c>
      <c r="C430">
        <v>20081929</v>
      </c>
      <c r="D430" t="s">
        <v>660</v>
      </c>
      <c r="E430" t="s">
        <v>661</v>
      </c>
      <c r="F430" t="s">
        <v>766</v>
      </c>
      <c r="G430" s="8">
        <v>25</v>
      </c>
      <c r="H430" t="s">
        <v>28</v>
      </c>
      <c r="I430" s="10">
        <v>4.4543999999999997</v>
      </c>
      <c r="J430" s="10">
        <v>111.36</v>
      </c>
      <c r="K430">
        <v>4.45</v>
      </c>
      <c r="L430" t="s">
        <v>465</v>
      </c>
      <c r="M430" t="s">
        <v>136</v>
      </c>
      <c r="N430" t="s">
        <v>466</v>
      </c>
      <c r="O430" t="s">
        <v>60</v>
      </c>
      <c r="P430">
        <v>25</v>
      </c>
      <c r="Q430" t="s">
        <v>28</v>
      </c>
      <c r="R430">
        <v>10000</v>
      </c>
      <c r="S430">
        <v>400</v>
      </c>
      <c r="T430" t="s">
        <v>114</v>
      </c>
      <c r="U430" t="s">
        <v>690</v>
      </c>
      <c r="V430">
        <v>20</v>
      </c>
      <c r="W430">
        <v>2008</v>
      </c>
      <c r="X430" s="17">
        <v>45935</v>
      </c>
      <c r="Y430">
        <v>81468439</v>
      </c>
      <c r="Z430" t="s">
        <v>663</v>
      </c>
      <c r="AC430" s="6"/>
      <c r="AH430" s="8"/>
      <c r="AJ430" s="10"/>
      <c r="AK430" s="10"/>
    </row>
    <row r="431" spans="1:37" x14ac:dyDescent="0.3">
      <c r="A431" s="6">
        <v>45945</v>
      </c>
      <c r="B431" s="11">
        <v>45945</v>
      </c>
      <c r="C431">
        <v>20081991</v>
      </c>
      <c r="D431" t="s">
        <v>793</v>
      </c>
      <c r="E431" t="s">
        <v>249</v>
      </c>
      <c r="F431" t="s">
        <v>794</v>
      </c>
      <c r="G431" s="8">
        <v>300</v>
      </c>
      <c r="H431" t="s">
        <v>28</v>
      </c>
      <c r="I431" s="10">
        <v>6.3472666666666671</v>
      </c>
      <c r="J431" s="10">
        <v>1904.18</v>
      </c>
      <c r="K431">
        <v>6.35</v>
      </c>
      <c r="L431" t="s">
        <v>658</v>
      </c>
      <c r="M431" t="s">
        <v>659</v>
      </c>
      <c r="N431" t="s">
        <v>89</v>
      </c>
      <c r="O431" t="s">
        <v>32</v>
      </c>
      <c r="P431">
        <v>300</v>
      </c>
      <c r="Q431" t="s">
        <v>28</v>
      </c>
      <c r="R431">
        <v>1908</v>
      </c>
      <c r="S431">
        <v>6.36</v>
      </c>
      <c r="T431" t="s">
        <v>33</v>
      </c>
      <c r="U431" t="s">
        <v>690</v>
      </c>
      <c r="V431">
        <v>20</v>
      </c>
      <c r="W431">
        <v>2008</v>
      </c>
      <c r="X431" s="17">
        <v>45936</v>
      </c>
      <c r="Y431">
        <v>81448131</v>
      </c>
      <c r="Z431" t="s">
        <v>253</v>
      </c>
      <c r="AC431" s="6"/>
      <c r="AH431" s="8"/>
      <c r="AJ431" s="10"/>
      <c r="AK431" s="10"/>
    </row>
    <row r="432" spans="1:37" x14ac:dyDescent="0.3">
      <c r="A432" s="6">
        <v>45948</v>
      </c>
      <c r="B432" s="11">
        <v>45948</v>
      </c>
      <c r="C432">
        <v>20081999</v>
      </c>
      <c r="D432" t="s">
        <v>660</v>
      </c>
      <c r="E432" t="s">
        <v>661</v>
      </c>
      <c r="F432" t="s">
        <v>789</v>
      </c>
      <c r="G432" s="8">
        <v>25</v>
      </c>
      <c r="H432" t="s">
        <v>28</v>
      </c>
      <c r="I432" s="10">
        <v>5.1816000000000004</v>
      </c>
      <c r="J432" s="10">
        <v>129.54</v>
      </c>
      <c r="K432">
        <v>5.18</v>
      </c>
      <c r="L432" t="s">
        <v>465</v>
      </c>
      <c r="M432" t="s">
        <v>136</v>
      </c>
      <c r="N432" t="s">
        <v>466</v>
      </c>
      <c r="O432" t="s">
        <v>60</v>
      </c>
      <c r="P432">
        <v>25</v>
      </c>
      <c r="Q432" t="s">
        <v>28</v>
      </c>
      <c r="R432">
        <v>11500</v>
      </c>
      <c r="S432">
        <v>460</v>
      </c>
      <c r="T432" t="s">
        <v>114</v>
      </c>
      <c r="U432" t="s">
        <v>690</v>
      </c>
      <c r="V432">
        <v>20</v>
      </c>
      <c r="W432">
        <v>2008</v>
      </c>
      <c r="X432" s="17">
        <v>45937</v>
      </c>
      <c r="Y432">
        <v>81497766</v>
      </c>
      <c r="Z432" t="s">
        <v>663</v>
      </c>
      <c r="AC432" s="6"/>
      <c r="AH432" s="8"/>
      <c r="AJ432" s="10"/>
      <c r="AK432" s="10"/>
    </row>
    <row r="433" spans="1:37" x14ac:dyDescent="0.3">
      <c r="A433" s="6">
        <v>45953</v>
      </c>
      <c r="B433" s="11">
        <v>45953</v>
      </c>
      <c r="C433">
        <v>20081999</v>
      </c>
      <c r="D433" t="s">
        <v>300</v>
      </c>
      <c r="E433" t="s">
        <v>596</v>
      </c>
      <c r="F433" t="s">
        <v>750</v>
      </c>
      <c r="G433" s="8">
        <v>100</v>
      </c>
      <c r="H433" t="s">
        <v>28</v>
      </c>
      <c r="I433" s="10">
        <v>4.9832999999999998</v>
      </c>
      <c r="J433" s="10">
        <v>498.33</v>
      </c>
      <c r="K433">
        <v>4.9800000000000004</v>
      </c>
      <c r="L433" t="s">
        <v>149</v>
      </c>
      <c r="M433" t="s">
        <v>150</v>
      </c>
      <c r="N433" t="s">
        <v>174</v>
      </c>
      <c r="O433" t="s">
        <v>32</v>
      </c>
      <c r="P433">
        <v>100</v>
      </c>
      <c r="Q433" t="s">
        <v>28</v>
      </c>
      <c r="R433">
        <v>537</v>
      </c>
      <c r="S433">
        <v>5.37</v>
      </c>
      <c r="U433" t="s">
        <v>690</v>
      </c>
      <c r="V433">
        <v>20</v>
      </c>
      <c r="W433">
        <v>2008</v>
      </c>
      <c r="X433" s="17">
        <v>45938</v>
      </c>
      <c r="Y433">
        <v>82558382</v>
      </c>
      <c r="Z433" t="s">
        <v>599</v>
      </c>
      <c r="AC433" s="6"/>
      <c r="AH433" s="8"/>
      <c r="AJ433" s="10"/>
      <c r="AK433" s="10"/>
    </row>
    <row r="434" spans="1:37" x14ac:dyDescent="0.3">
      <c r="A434" s="6">
        <v>45954</v>
      </c>
      <c r="B434" s="11">
        <v>45954</v>
      </c>
      <c r="C434">
        <v>12079990</v>
      </c>
      <c r="D434" t="s">
        <v>795</v>
      </c>
      <c r="E434" t="s">
        <v>38</v>
      </c>
      <c r="F434" t="s">
        <v>434</v>
      </c>
      <c r="G434" s="8">
        <v>2000</v>
      </c>
      <c r="H434" t="s">
        <v>28</v>
      </c>
      <c r="I434" s="10">
        <v>1.9944299999999999</v>
      </c>
      <c r="J434" s="10">
        <v>3988.86</v>
      </c>
      <c r="K434">
        <v>1994.43</v>
      </c>
      <c r="L434" t="s">
        <v>40</v>
      </c>
      <c r="M434" t="s">
        <v>41</v>
      </c>
      <c r="N434" t="s">
        <v>219</v>
      </c>
      <c r="O434" t="s">
        <v>32</v>
      </c>
      <c r="P434">
        <v>2</v>
      </c>
      <c r="Q434" t="s">
        <v>43</v>
      </c>
      <c r="R434">
        <v>4120</v>
      </c>
      <c r="S434">
        <v>2060</v>
      </c>
      <c r="T434" t="s">
        <v>33</v>
      </c>
      <c r="U434" t="s">
        <v>592</v>
      </c>
      <c r="V434">
        <v>12</v>
      </c>
      <c r="W434">
        <v>1207</v>
      </c>
      <c r="X434" s="17">
        <v>45939</v>
      </c>
      <c r="Y434">
        <v>82361536</v>
      </c>
      <c r="Z434" t="s">
        <v>45</v>
      </c>
      <c r="AC434" s="6"/>
      <c r="AH434" s="8"/>
      <c r="AJ434" s="10"/>
      <c r="AK434" s="10"/>
    </row>
    <row r="435" spans="1:37" x14ac:dyDescent="0.3">
      <c r="A435" s="6">
        <v>45954</v>
      </c>
      <c r="B435" s="11">
        <v>45954</v>
      </c>
      <c r="C435">
        <v>20081999</v>
      </c>
      <c r="D435" t="s">
        <v>300</v>
      </c>
      <c r="E435" t="s">
        <v>596</v>
      </c>
      <c r="F435" t="s">
        <v>750</v>
      </c>
      <c r="G435" s="8">
        <v>100</v>
      </c>
      <c r="H435" t="s">
        <v>28</v>
      </c>
      <c r="I435" s="10">
        <v>4.9832999999999998</v>
      </c>
      <c r="J435" s="10">
        <v>498.33</v>
      </c>
      <c r="K435">
        <v>4.9800000000000004</v>
      </c>
      <c r="L435" t="s">
        <v>149</v>
      </c>
      <c r="M435" t="s">
        <v>150</v>
      </c>
      <c r="N435" t="s">
        <v>174</v>
      </c>
      <c r="O435" t="s">
        <v>32</v>
      </c>
      <c r="P435">
        <v>100</v>
      </c>
      <c r="Q435" t="s">
        <v>28</v>
      </c>
      <c r="R435">
        <v>537</v>
      </c>
      <c r="S435">
        <v>5.37</v>
      </c>
      <c r="T435" t="s">
        <v>33</v>
      </c>
      <c r="U435" t="s">
        <v>690</v>
      </c>
      <c r="V435">
        <v>20</v>
      </c>
      <c r="W435">
        <v>2008</v>
      </c>
      <c r="X435" s="17">
        <v>45940</v>
      </c>
      <c r="Y435">
        <v>82549029</v>
      </c>
      <c r="Z435" t="s">
        <v>599</v>
      </c>
      <c r="AC435" s="6"/>
      <c r="AH435" s="8"/>
      <c r="AJ435" s="10"/>
      <c r="AK435" s="10"/>
    </row>
    <row r="436" spans="1:37" x14ac:dyDescent="0.3">
      <c r="A436" s="6">
        <v>45957</v>
      </c>
      <c r="B436" s="11">
        <v>45957</v>
      </c>
      <c r="C436">
        <v>20081999</v>
      </c>
      <c r="D436" t="s">
        <v>132</v>
      </c>
      <c r="E436" t="s">
        <v>796</v>
      </c>
      <c r="F436" t="s">
        <v>79</v>
      </c>
      <c r="G436" s="8">
        <v>25</v>
      </c>
      <c r="H436" t="s">
        <v>28</v>
      </c>
      <c r="I436" s="10">
        <v>7.1459999999999999</v>
      </c>
      <c r="J436" s="10">
        <v>178.65</v>
      </c>
      <c r="K436">
        <v>7.15</v>
      </c>
      <c r="L436" t="s">
        <v>612</v>
      </c>
      <c r="M436" t="s">
        <v>81</v>
      </c>
      <c r="N436" t="s">
        <v>31</v>
      </c>
      <c r="O436" t="s">
        <v>32</v>
      </c>
      <c r="P436">
        <v>25</v>
      </c>
      <c r="Q436" t="s">
        <v>28</v>
      </c>
      <c r="R436">
        <v>3250</v>
      </c>
      <c r="S436">
        <v>130</v>
      </c>
      <c r="T436" t="s">
        <v>114</v>
      </c>
      <c r="U436" t="s">
        <v>690</v>
      </c>
      <c r="V436">
        <v>20</v>
      </c>
      <c r="W436">
        <v>2008</v>
      </c>
      <c r="X436" s="17">
        <v>45941</v>
      </c>
      <c r="Y436">
        <v>89044082</v>
      </c>
      <c r="Z436" t="s">
        <v>797</v>
      </c>
      <c r="AC436" s="6"/>
      <c r="AH436" s="8"/>
      <c r="AJ436" s="10"/>
      <c r="AK436" s="10"/>
    </row>
    <row r="437" spans="1:37" x14ac:dyDescent="0.3">
      <c r="A437" s="6">
        <v>45959</v>
      </c>
      <c r="B437" s="11">
        <v>45959</v>
      </c>
      <c r="C437">
        <v>20089999</v>
      </c>
      <c r="D437" t="s">
        <v>798</v>
      </c>
      <c r="E437" t="s">
        <v>566</v>
      </c>
      <c r="F437" t="s">
        <v>799</v>
      </c>
      <c r="G437" s="8">
        <v>17</v>
      </c>
      <c r="H437" t="s">
        <v>28</v>
      </c>
      <c r="I437" s="10">
        <v>1.6894117647058819</v>
      </c>
      <c r="J437" s="10">
        <v>28.72</v>
      </c>
      <c r="K437">
        <v>1.69</v>
      </c>
      <c r="L437" t="s">
        <v>135</v>
      </c>
      <c r="M437" t="s">
        <v>136</v>
      </c>
      <c r="N437" t="s">
        <v>137</v>
      </c>
      <c r="O437" t="s">
        <v>60</v>
      </c>
      <c r="P437">
        <v>17</v>
      </c>
      <c r="Q437" t="s">
        <v>28</v>
      </c>
      <c r="R437">
        <v>2550</v>
      </c>
      <c r="S437">
        <v>150</v>
      </c>
      <c r="T437" t="s">
        <v>114</v>
      </c>
      <c r="U437" t="s">
        <v>647</v>
      </c>
      <c r="V437">
        <v>20</v>
      </c>
      <c r="W437">
        <v>2008</v>
      </c>
      <c r="X437" s="17">
        <v>45942</v>
      </c>
      <c r="Y437">
        <v>85841988</v>
      </c>
      <c r="Z437" t="s">
        <v>568</v>
      </c>
      <c r="AC437" s="6"/>
      <c r="AH437" s="8"/>
      <c r="AJ437" s="10"/>
      <c r="AK437" s="10"/>
    </row>
    <row r="438" spans="1:37" x14ac:dyDescent="0.3">
      <c r="A438" s="6">
        <v>45959</v>
      </c>
      <c r="B438" s="11">
        <v>45959</v>
      </c>
      <c r="C438">
        <v>20081991</v>
      </c>
      <c r="D438" t="s">
        <v>702</v>
      </c>
      <c r="E438" t="s">
        <v>751</v>
      </c>
      <c r="F438" t="s">
        <v>79</v>
      </c>
      <c r="G438" s="8">
        <v>50</v>
      </c>
      <c r="H438" t="s">
        <v>28</v>
      </c>
      <c r="I438" s="10">
        <v>6.0713999999999997</v>
      </c>
      <c r="J438" s="10">
        <v>303.57</v>
      </c>
      <c r="K438">
        <v>6.07</v>
      </c>
      <c r="L438" t="s">
        <v>465</v>
      </c>
      <c r="M438" t="s">
        <v>136</v>
      </c>
      <c r="N438" t="s">
        <v>466</v>
      </c>
      <c r="O438" t="s">
        <v>60</v>
      </c>
      <c r="P438">
        <v>50</v>
      </c>
      <c r="Q438" t="s">
        <v>28</v>
      </c>
      <c r="R438">
        <v>26950</v>
      </c>
      <c r="S438">
        <v>539</v>
      </c>
      <c r="T438" t="s">
        <v>114</v>
      </c>
      <c r="U438" t="s">
        <v>690</v>
      </c>
      <c r="V438">
        <v>20</v>
      </c>
      <c r="W438">
        <v>2008</v>
      </c>
      <c r="X438" s="17">
        <v>45943</v>
      </c>
      <c r="Y438">
        <v>82448933</v>
      </c>
      <c r="Z438" t="s">
        <v>753</v>
      </c>
      <c r="AC438" s="6"/>
      <c r="AH438" s="8"/>
      <c r="AJ438" s="10"/>
      <c r="AK438" s="10"/>
    </row>
    <row r="439" spans="1:37" x14ac:dyDescent="0.3">
      <c r="A439" s="6">
        <v>45960</v>
      </c>
      <c r="B439" s="11">
        <v>45960</v>
      </c>
      <c r="C439">
        <v>12129990</v>
      </c>
      <c r="D439" t="s">
        <v>800</v>
      </c>
      <c r="E439" t="s">
        <v>801</v>
      </c>
      <c r="F439" t="s">
        <v>79</v>
      </c>
      <c r="G439" s="8">
        <v>75</v>
      </c>
      <c r="H439" t="s">
        <v>28</v>
      </c>
      <c r="I439" s="10">
        <v>4.2069333333333327</v>
      </c>
      <c r="J439" s="10">
        <v>315.52</v>
      </c>
      <c r="K439">
        <v>4206.93</v>
      </c>
      <c r="L439" t="s">
        <v>278</v>
      </c>
      <c r="M439" t="s">
        <v>67</v>
      </c>
      <c r="N439" t="s">
        <v>89</v>
      </c>
      <c r="O439" t="s">
        <v>32</v>
      </c>
      <c r="P439">
        <v>7.4999999999999997E-2</v>
      </c>
      <c r="Q439" t="s">
        <v>43</v>
      </c>
      <c r="R439">
        <v>322.5</v>
      </c>
      <c r="S439">
        <v>4300</v>
      </c>
      <c r="T439" t="s">
        <v>33</v>
      </c>
      <c r="U439" t="s">
        <v>675</v>
      </c>
      <c r="V439">
        <v>12</v>
      </c>
      <c r="W439">
        <v>1212</v>
      </c>
      <c r="X439" s="17">
        <v>45944</v>
      </c>
      <c r="Y439">
        <v>82831310</v>
      </c>
      <c r="Z439" t="s">
        <v>802</v>
      </c>
      <c r="AC439" s="6"/>
      <c r="AH439" s="8"/>
      <c r="AJ439" s="10"/>
      <c r="AK439" s="10"/>
    </row>
    <row r="440" spans="1:37" x14ac:dyDescent="0.3">
      <c r="A440" s="6">
        <v>45961</v>
      </c>
      <c r="B440" s="11">
        <v>45961</v>
      </c>
      <c r="C440">
        <v>12079990</v>
      </c>
      <c r="D440" t="s">
        <v>177</v>
      </c>
      <c r="E440" t="s">
        <v>803</v>
      </c>
      <c r="F440" t="s">
        <v>804</v>
      </c>
      <c r="G440" s="8">
        <v>49.5</v>
      </c>
      <c r="H440" t="s">
        <v>28</v>
      </c>
      <c r="I440" s="10">
        <v>4.3367676767676766</v>
      </c>
      <c r="J440" s="10">
        <v>214.67</v>
      </c>
      <c r="K440">
        <v>4.34</v>
      </c>
      <c r="L440" t="s">
        <v>465</v>
      </c>
      <c r="M440" t="s">
        <v>136</v>
      </c>
      <c r="N440" t="s">
        <v>466</v>
      </c>
      <c r="O440" t="s">
        <v>60</v>
      </c>
      <c r="P440">
        <v>49.5</v>
      </c>
      <c r="Q440" t="s">
        <v>28</v>
      </c>
      <c r="R440">
        <v>19057.5</v>
      </c>
      <c r="S440">
        <v>385</v>
      </c>
      <c r="T440" t="s">
        <v>114</v>
      </c>
      <c r="U440" t="s">
        <v>592</v>
      </c>
      <c r="V440">
        <v>12</v>
      </c>
      <c r="W440">
        <v>1207</v>
      </c>
      <c r="X440" s="17">
        <v>45945</v>
      </c>
      <c r="Y440">
        <v>82331391</v>
      </c>
      <c r="Z440" t="s">
        <v>805</v>
      </c>
      <c r="AC440" s="6"/>
      <c r="AH440" s="8"/>
      <c r="AJ440" s="10"/>
      <c r="AK440" s="10"/>
    </row>
    <row r="441" spans="1:37" x14ac:dyDescent="0.3">
      <c r="A441" s="6">
        <v>45961</v>
      </c>
      <c r="B441" s="11">
        <v>45961</v>
      </c>
      <c r="C441">
        <v>20081929</v>
      </c>
      <c r="D441" t="s">
        <v>660</v>
      </c>
      <c r="E441" t="s">
        <v>661</v>
      </c>
      <c r="F441" t="s">
        <v>766</v>
      </c>
      <c r="G441" s="8">
        <v>50</v>
      </c>
      <c r="H441" t="s">
        <v>28</v>
      </c>
      <c r="I441" s="10">
        <v>5.069</v>
      </c>
      <c r="J441" s="10">
        <v>253.45</v>
      </c>
      <c r="K441">
        <v>5.07</v>
      </c>
      <c r="L441" t="s">
        <v>465</v>
      </c>
      <c r="M441" t="s">
        <v>136</v>
      </c>
      <c r="N441" t="s">
        <v>466</v>
      </c>
      <c r="O441" t="s">
        <v>60</v>
      </c>
      <c r="P441">
        <v>50</v>
      </c>
      <c r="Q441" t="s">
        <v>28</v>
      </c>
      <c r="R441">
        <v>22500</v>
      </c>
      <c r="S441">
        <v>450</v>
      </c>
      <c r="T441" t="s">
        <v>114</v>
      </c>
      <c r="U441" t="s">
        <v>690</v>
      </c>
      <c r="V441">
        <v>20</v>
      </c>
      <c r="W441">
        <v>2008</v>
      </c>
      <c r="X441" s="17">
        <v>45946</v>
      </c>
      <c r="Y441">
        <v>82470808</v>
      </c>
      <c r="Z441" t="s">
        <v>663</v>
      </c>
      <c r="AC441" s="6"/>
      <c r="AH441" s="8"/>
      <c r="AJ441" s="10"/>
      <c r="AK441" s="10"/>
    </row>
    <row r="442" spans="1:37" x14ac:dyDescent="0.3">
      <c r="X442" s="17"/>
      <c r="AB442" s="6"/>
      <c r="AG442" s="8"/>
      <c r="AI442" s="10"/>
      <c r="AJ442" s="10"/>
    </row>
    <row r="443" spans="1:37" x14ac:dyDescent="0.3">
      <c r="X443" s="17"/>
    </row>
    <row r="444" spans="1:37" x14ac:dyDescent="0.3">
      <c r="X444" s="17"/>
    </row>
    <row r="445" spans="1:37" x14ac:dyDescent="0.3">
      <c r="X445" s="17"/>
    </row>
    <row r="446" spans="1:37" x14ac:dyDescent="0.3">
      <c r="X446" s="17"/>
    </row>
    <row r="447" spans="1:37" x14ac:dyDescent="0.3">
      <c r="X447" s="17"/>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85"/>
  <sheetViews>
    <sheetView workbookViewId="0">
      <pane ySplit="1" topLeftCell="A259" activePane="bottomLeft" state="frozen"/>
      <selection pane="bottomLeft" activeCell="A285" sqref="A285"/>
    </sheetView>
  </sheetViews>
  <sheetFormatPr defaultRowHeight="14.4" x14ac:dyDescent="0.3"/>
  <cols>
    <col min="1" max="1" width="41" customWidth="1"/>
    <col min="2" max="2" width="21" customWidth="1"/>
    <col min="3" max="3" width="10" customWidth="1"/>
    <col min="4" max="6" width="42" customWidth="1"/>
    <col min="7" max="7" width="14" customWidth="1"/>
    <col min="8" max="8" width="15" customWidth="1"/>
    <col min="9" max="9" width="22" customWidth="1"/>
    <col min="10" max="10" width="26" customWidth="1"/>
    <col min="11" max="11" width="23" customWidth="1"/>
    <col min="12" max="13" width="24" customWidth="1"/>
    <col min="14" max="14" width="17" customWidth="1"/>
    <col min="15" max="15" width="15" customWidth="1"/>
    <col min="16" max="17" width="10" customWidth="1"/>
    <col min="18" max="18" width="13" customWidth="1"/>
    <col min="19" max="19" width="12" customWidth="1"/>
    <col min="20" max="20" width="15" customWidth="1"/>
    <col min="21" max="21" width="42" customWidth="1"/>
    <col min="22" max="24" width="10" customWidth="1"/>
    <col min="25" max="25" width="21" customWidth="1"/>
    <col min="26" max="26" width="15" customWidth="1"/>
  </cols>
  <sheetData>
    <row r="1" spans="1:26" ht="30" customHeight="1" x14ac:dyDescent="0.3">
      <c r="A1" s="2" t="s">
        <v>806</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row>
    <row r="2" spans="1:26" x14ac:dyDescent="0.3">
      <c r="A2" t="s">
        <v>807</v>
      </c>
      <c r="B2" s="1">
        <v>44563</v>
      </c>
      <c r="C2">
        <v>12079990</v>
      </c>
      <c r="D2" t="s">
        <v>808</v>
      </c>
      <c r="E2" t="s">
        <v>55</v>
      </c>
      <c r="F2" t="s">
        <v>809</v>
      </c>
      <c r="G2">
        <v>4000</v>
      </c>
      <c r="H2" t="s">
        <v>28</v>
      </c>
      <c r="I2">
        <v>1.975620810354153</v>
      </c>
      <c r="J2">
        <v>7902.4832414166131</v>
      </c>
      <c r="K2">
        <v>1.976</v>
      </c>
      <c r="L2" t="s">
        <v>358</v>
      </c>
      <c r="M2" t="s">
        <v>58</v>
      </c>
      <c r="N2" t="s">
        <v>359</v>
      </c>
      <c r="O2" t="s">
        <v>60</v>
      </c>
      <c r="P2">
        <v>4000</v>
      </c>
      <c r="Q2" t="s">
        <v>28</v>
      </c>
      <c r="R2">
        <v>7800</v>
      </c>
      <c r="S2">
        <v>1.95</v>
      </c>
      <c r="T2" t="s">
        <v>33</v>
      </c>
      <c r="U2" t="s">
        <v>34</v>
      </c>
      <c r="V2">
        <v>12</v>
      </c>
      <c r="W2">
        <v>1207</v>
      </c>
      <c r="X2" t="s">
        <v>35</v>
      </c>
      <c r="Y2" s="1">
        <v>8294</v>
      </c>
      <c r="Z2" t="s">
        <v>62</v>
      </c>
    </row>
    <row r="3" spans="1:26" x14ac:dyDescent="0.3">
      <c r="A3" t="s">
        <v>810</v>
      </c>
      <c r="B3" s="1">
        <v>44566</v>
      </c>
      <c r="C3">
        <v>12119029</v>
      </c>
      <c r="D3" t="s">
        <v>811</v>
      </c>
      <c r="E3" t="s">
        <v>812</v>
      </c>
      <c r="F3" t="s">
        <v>813</v>
      </c>
      <c r="G3">
        <v>300</v>
      </c>
      <c r="H3" t="s">
        <v>28</v>
      </c>
      <c r="I3">
        <v>0.9869271821093677</v>
      </c>
      <c r="J3">
        <v>296.07815463281031</v>
      </c>
      <c r="K3">
        <v>0.98699999999999999</v>
      </c>
      <c r="L3" t="s">
        <v>57</v>
      </c>
      <c r="M3" t="s">
        <v>58</v>
      </c>
      <c r="N3" t="s">
        <v>59</v>
      </c>
      <c r="O3" t="s">
        <v>60</v>
      </c>
      <c r="P3">
        <v>300</v>
      </c>
      <c r="Q3" t="s">
        <v>28</v>
      </c>
      <c r="R3">
        <v>285</v>
      </c>
      <c r="S3">
        <v>0.95</v>
      </c>
      <c r="T3" t="s">
        <v>33</v>
      </c>
      <c r="U3" t="s">
        <v>814</v>
      </c>
      <c r="V3">
        <v>12</v>
      </c>
      <c r="W3">
        <v>1211</v>
      </c>
      <c r="X3" t="s">
        <v>35</v>
      </c>
      <c r="Y3">
        <v>3652144</v>
      </c>
      <c r="Z3" t="s">
        <v>815</v>
      </c>
    </row>
    <row r="4" spans="1:26" x14ac:dyDescent="0.3">
      <c r="A4" t="s">
        <v>816</v>
      </c>
      <c r="B4" s="1">
        <v>44570</v>
      </c>
      <c r="C4">
        <v>12099190</v>
      </c>
      <c r="D4" t="s">
        <v>817</v>
      </c>
      <c r="E4" t="s">
        <v>818</v>
      </c>
      <c r="F4" t="s">
        <v>819</v>
      </c>
      <c r="G4">
        <v>35.4</v>
      </c>
      <c r="H4" t="s">
        <v>28</v>
      </c>
      <c r="I4">
        <v>38.025011461679952</v>
      </c>
      <c r="J4">
        <v>1346.0854057434699</v>
      </c>
      <c r="K4">
        <v>38.024999999999999</v>
      </c>
      <c r="L4" t="s">
        <v>820</v>
      </c>
      <c r="M4" t="s">
        <v>821</v>
      </c>
      <c r="N4" t="s">
        <v>294</v>
      </c>
      <c r="O4" t="s">
        <v>202</v>
      </c>
      <c r="P4">
        <v>35.4</v>
      </c>
      <c r="Q4" t="s">
        <v>28</v>
      </c>
      <c r="R4">
        <v>1239</v>
      </c>
      <c r="S4">
        <v>35</v>
      </c>
      <c r="T4" t="s">
        <v>33</v>
      </c>
      <c r="U4" t="s">
        <v>163</v>
      </c>
      <c r="V4">
        <v>12</v>
      </c>
      <c r="W4">
        <v>1209</v>
      </c>
      <c r="X4" t="s">
        <v>35</v>
      </c>
      <c r="Y4">
        <v>53052</v>
      </c>
      <c r="Z4" t="s">
        <v>822</v>
      </c>
    </row>
    <row r="5" spans="1:26" x14ac:dyDescent="0.3">
      <c r="A5" t="s">
        <v>816</v>
      </c>
      <c r="B5" s="1">
        <v>44577</v>
      </c>
      <c r="C5">
        <v>12099190</v>
      </c>
      <c r="D5" t="s">
        <v>823</v>
      </c>
      <c r="E5" t="s">
        <v>824</v>
      </c>
      <c r="F5" t="s">
        <v>825</v>
      </c>
      <c r="G5">
        <v>200</v>
      </c>
      <c r="H5" t="s">
        <v>28</v>
      </c>
      <c r="I5">
        <v>3.5052021946342511</v>
      </c>
      <c r="J5">
        <v>701.04043892685024</v>
      </c>
      <c r="K5">
        <v>3.5049999999999999</v>
      </c>
      <c r="L5" t="s">
        <v>826</v>
      </c>
      <c r="M5" t="s">
        <v>827</v>
      </c>
      <c r="N5" t="s">
        <v>669</v>
      </c>
      <c r="O5" t="s">
        <v>202</v>
      </c>
      <c r="P5">
        <v>200</v>
      </c>
      <c r="Q5" t="s">
        <v>28</v>
      </c>
      <c r="R5">
        <v>920</v>
      </c>
      <c r="S5">
        <v>4.5999999999999996</v>
      </c>
      <c r="T5" t="s">
        <v>33</v>
      </c>
      <c r="U5" t="s">
        <v>163</v>
      </c>
      <c r="V5">
        <v>12</v>
      </c>
      <c r="W5">
        <v>1209</v>
      </c>
      <c r="X5" t="s">
        <v>35</v>
      </c>
      <c r="Y5">
        <v>1671436</v>
      </c>
      <c r="Z5" t="s">
        <v>828</v>
      </c>
    </row>
    <row r="6" spans="1:26" x14ac:dyDescent="0.3">
      <c r="A6" t="s">
        <v>816</v>
      </c>
      <c r="B6" s="1">
        <v>44585</v>
      </c>
      <c r="C6">
        <v>12099190</v>
      </c>
      <c r="D6" t="s">
        <v>829</v>
      </c>
      <c r="E6" t="s">
        <v>830</v>
      </c>
      <c r="F6" t="s">
        <v>831</v>
      </c>
      <c r="G6">
        <v>2</v>
      </c>
      <c r="H6" t="s">
        <v>28</v>
      </c>
      <c r="I6">
        <v>20.072306589927472</v>
      </c>
      <c r="J6">
        <v>40.144613179854943</v>
      </c>
      <c r="K6">
        <v>20.071999999999999</v>
      </c>
      <c r="L6" t="s">
        <v>57</v>
      </c>
      <c r="M6" t="s">
        <v>58</v>
      </c>
      <c r="N6" t="s">
        <v>59</v>
      </c>
      <c r="O6" t="s">
        <v>60</v>
      </c>
      <c r="P6">
        <v>2</v>
      </c>
      <c r="Q6" t="s">
        <v>28</v>
      </c>
      <c r="R6">
        <v>35.700000000000003</v>
      </c>
      <c r="S6">
        <v>17.850000000000001</v>
      </c>
      <c r="T6" t="s">
        <v>33</v>
      </c>
      <c r="U6" t="s">
        <v>163</v>
      </c>
      <c r="V6">
        <v>12</v>
      </c>
      <c r="W6">
        <v>1209</v>
      </c>
      <c r="X6" t="s">
        <v>35</v>
      </c>
      <c r="Y6">
        <v>3654277</v>
      </c>
      <c r="Z6" t="s">
        <v>832</v>
      </c>
    </row>
    <row r="7" spans="1:26" x14ac:dyDescent="0.3">
      <c r="A7" t="s">
        <v>816</v>
      </c>
      <c r="B7" s="1">
        <v>44587</v>
      </c>
      <c r="C7">
        <v>12099190</v>
      </c>
      <c r="D7" t="s">
        <v>833</v>
      </c>
      <c r="E7" t="s">
        <v>834</v>
      </c>
      <c r="F7" t="s">
        <v>835</v>
      </c>
      <c r="G7">
        <v>595</v>
      </c>
      <c r="H7" t="s">
        <v>28</v>
      </c>
      <c r="I7">
        <v>1.480798604929124</v>
      </c>
      <c r="J7">
        <v>881.07516993282889</v>
      </c>
      <c r="K7">
        <v>1.4810000000000001</v>
      </c>
      <c r="L7" t="s">
        <v>826</v>
      </c>
      <c r="M7" t="s">
        <v>827</v>
      </c>
      <c r="N7" t="s">
        <v>51</v>
      </c>
      <c r="O7" t="s">
        <v>32</v>
      </c>
      <c r="P7">
        <v>595</v>
      </c>
      <c r="Q7" t="s">
        <v>28</v>
      </c>
      <c r="R7">
        <v>892.5</v>
      </c>
      <c r="S7">
        <v>1.5</v>
      </c>
      <c r="T7" t="s">
        <v>33</v>
      </c>
      <c r="U7" t="s">
        <v>163</v>
      </c>
      <c r="V7">
        <v>12</v>
      </c>
      <c r="W7">
        <v>1209</v>
      </c>
      <c r="X7" t="s">
        <v>35</v>
      </c>
      <c r="Y7">
        <v>2594521</v>
      </c>
      <c r="Z7" t="s">
        <v>836</v>
      </c>
    </row>
    <row r="8" spans="1:26" x14ac:dyDescent="0.3">
      <c r="A8" t="s">
        <v>807</v>
      </c>
      <c r="B8" s="1">
        <v>44587</v>
      </c>
      <c r="C8">
        <v>20081990</v>
      </c>
      <c r="D8" t="s">
        <v>837</v>
      </c>
      <c r="E8" t="s">
        <v>838</v>
      </c>
      <c r="F8" t="s">
        <v>839</v>
      </c>
      <c r="G8">
        <v>3000</v>
      </c>
      <c r="H8" t="s">
        <v>28</v>
      </c>
      <c r="I8">
        <v>1.3839109992379279</v>
      </c>
      <c r="J8">
        <v>4151.7329977137842</v>
      </c>
      <c r="K8">
        <v>1383.9110000000001</v>
      </c>
      <c r="L8" t="s">
        <v>57</v>
      </c>
      <c r="M8" t="s">
        <v>58</v>
      </c>
      <c r="N8" t="s">
        <v>59</v>
      </c>
      <c r="O8" t="s">
        <v>60</v>
      </c>
      <c r="P8">
        <v>3</v>
      </c>
      <c r="Q8" t="s">
        <v>43</v>
      </c>
      <c r="R8">
        <v>4230</v>
      </c>
      <c r="S8">
        <v>1410</v>
      </c>
      <c r="T8" t="s">
        <v>33</v>
      </c>
      <c r="U8" t="s">
        <v>44</v>
      </c>
      <c r="V8">
        <v>20</v>
      </c>
      <c r="W8">
        <v>2008</v>
      </c>
      <c r="X8" t="s">
        <v>35</v>
      </c>
      <c r="Y8">
        <v>3653084</v>
      </c>
      <c r="Z8" t="s">
        <v>840</v>
      </c>
    </row>
    <row r="9" spans="1:26" x14ac:dyDescent="0.3">
      <c r="A9" t="s">
        <v>807</v>
      </c>
      <c r="B9" s="1">
        <v>44597</v>
      </c>
      <c r="C9">
        <v>12099990</v>
      </c>
      <c r="D9" t="s">
        <v>841</v>
      </c>
      <c r="E9" t="s">
        <v>842</v>
      </c>
      <c r="F9" t="s">
        <v>843</v>
      </c>
      <c r="G9">
        <v>1500</v>
      </c>
      <c r="H9" t="s">
        <v>28</v>
      </c>
      <c r="I9">
        <v>0.89301022678165287</v>
      </c>
      <c r="J9">
        <v>1339.515340172479</v>
      </c>
      <c r="K9">
        <v>0.89300000000000002</v>
      </c>
      <c r="L9" t="s">
        <v>358</v>
      </c>
      <c r="M9" t="s">
        <v>58</v>
      </c>
      <c r="N9" t="s">
        <v>359</v>
      </c>
      <c r="O9" t="s">
        <v>60</v>
      </c>
      <c r="P9">
        <v>1500</v>
      </c>
      <c r="Q9" t="s">
        <v>28</v>
      </c>
      <c r="R9">
        <v>1350</v>
      </c>
      <c r="S9">
        <v>0.9</v>
      </c>
      <c r="T9" t="s">
        <v>33</v>
      </c>
      <c r="U9" t="s">
        <v>163</v>
      </c>
      <c r="V9">
        <v>12</v>
      </c>
      <c r="W9">
        <v>1209</v>
      </c>
      <c r="X9" t="s">
        <v>61</v>
      </c>
      <c r="Y9">
        <v>4694497</v>
      </c>
      <c r="Z9" t="s">
        <v>844</v>
      </c>
    </row>
    <row r="10" spans="1:26" x14ac:dyDescent="0.3">
      <c r="A10" t="s">
        <v>807</v>
      </c>
      <c r="B10" s="1">
        <v>44601</v>
      </c>
      <c r="C10">
        <v>20081920</v>
      </c>
      <c r="D10" t="s">
        <v>845</v>
      </c>
      <c r="E10" t="s">
        <v>838</v>
      </c>
      <c r="F10" t="s">
        <v>846</v>
      </c>
      <c r="G10">
        <v>4000</v>
      </c>
      <c r="H10" t="s">
        <v>28</v>
      </c>
      <c r="I10">
        <v>1.4099129920565121</v>
      </c>
      <c r="J10">
        <v>5639.6519682260478</v>
      </c>
      <c r="K10">
        <v>1409.913</v>
      </c>
      <c r="L10" t="s">
        <v>57</v>
      </c>
      <c r="M10" t="s">
        <v>58</v>
      </c>
      <c r="N10" t="s">
        <v>59</v>
      </c>
      <c r="O10" t="s">
        <v>60</v>
      </c>
      <c r="P10">
        <v>4</v>
      </c>
      <c r="Q10" t="s">
        <v>43</v>
      </c>
      <c r="R10">
        <v>5699.88</v>
      </c>
      <c r="S10">
        <v>1425</v>
      </c>
      <c r="T10" t="s">
        <v>33</v>
      </c>
      <c r="U10" t="s">
        <v>44</v>
      </c>
      <c r="V10">
        <v>20</v>
      </c>
      <c r="W10">
        <v>2008</v>
      </c>
      <c r="X10" t="s">
        <v>61</v>
      </c>
      <c r="Y10">
        <v>7453906</v>
      </c>
      <c r="Z10" t="s">
        <v>840</v>
      </c>
    </row>
    <row r="11" spans="1:26" x14ac:dyDescent="0.3">
      <c r="A11" t="s">
        <v>816</v>
      </c>
      <c r="B11" s="1">
        <v>44602</v>
      </c>
      <c r="C11">
        <v>12099190</v>
      </c>
      <c r="D11" t="s">
        <v>847</v>
      </c>
      <c r="E11" t="s">
        <v>848</v>
      </c>
      <c r="F11" t="s">
        <v>849</v>
      </c>
      <c r="G11">
        <v>54</v>
      </c>
      <c r="H11" t="s">
        <v>28</v>
      </c>
      <c r="I11">
        <v>32.794787625366553</v>
      </c>
      <c r="J11">
        <v>1770.9185317697941</v>
      </c>
      <c r="K11">
        <v>32.795000000000002</v>
      </c>
      <c r="L11" t="s">
        <v>850</v>
      </c>
      <c r="M11" t="s">
        <v>157</v>
      </c>
      <c r="N11" t="s">
        <v>294</v>
      </c>
      <c r="O11" t="s">
        <v>202</v>
      </c>
      <c r="P11">
        <v>54</v>
      </c>
      <c r="Q11" t="s">
        <v>28</v>
      </c>
      <c r="R11">
        <v>1588.68</v>
      </c>
      <c r="S11">
        <v>29.42</v>
      </c>
      <c r="T11" t="s">
        <v>33</v>
      </c>
      <c r="U11" t="s">
        <v>163</v>
      </c>
      <c r="V11">
        <v>12</v>
      </c>
      <c r="W11">
        <v>1209</v>
      </c>
      <c r="X11" t="s">
        <v>61</v>
      </c>
      <c r="Y11">
        <v>6302389</v>
      </c>
      <c r="Z11" t="s">
        <v>851</v>
      </c>
    </row>
    <row r="12" spans="1:26" x14ac:dyDescent="0.3">
      <c r="A12" t="s">
        <v>852</v>
      </c>
      <c r="B12" s="1">
        <v>44604</v>
      </c>
      <c r="C12">
        <v>13021919</v>
      </c>
      <c r="D12" t="s">
        <v>853</v>
      </c>
      <c r="E12" t="s">
        <v>854</v>
      </c>
      <c r="F12" t="s">
        <v>855</v>
      </c>
      <c r="G12">
        <v>225</v>
      </c>
      <c r="H12" t="s">
        <v>28</v>
      </c>
      <c r="I12">
        <v>44.18038929682394</v>
      </c>
      <c r="J12">
        <v>9940.5875917853864</v>
      </c>
      <c r="K12">
        <v>44.18</v>
      </c>
      <c r="L12" t="s">
        <v>856</v>
      </c>
      <c r="M12" t="s">
        <v>857</v>
      </c>
      <c r="N12" t="s">
        <v>201</v>
      </c>
      <c r="O12" t="s">
        <v>202</v>
      </c>
      <c r="P12">
        <v>225</v>
      </c>
      <c r="Q12" t="s">
        <v>28</v>
      </c>
      <c r="R12">
        <v>10125</v>
      </c>
      <c r="S12">
        <v>45</v>
      </c>
      <c r="T12" t="s">
        <v>33</v>
      </c>
      <c r="U12" t="s">
        <v>351</v>
      </c>
      <c r="V12">
        <v>13</v>
      </c>
      <c r="W12">
        <v>1302</v>
      </c>
      <c r="X12" t="s">
        <v>61</v>
      </c>
      <c r="Y12">
        <v>5844620</v>
      </c>
      <c r="Z12" t="s">
        <v>858</v>
      </c>
    </row>
    <row r="13" spans="1:26" x14ac:dyDescent="0.3">
      <c r="A13" t="s">
        <v>852</v>
      </c>
      <c r="B13" s="1">
        <v>44605</v>
      </c>
      <c r="C13">
        <v>13021919</v>
      </c>
      <c r="D13" t="s">
        <v>853</v>
      </c>
      <c r="E13" t="s">
        <v>854</v>
      </c>
      <c r="F13" t="s">
        <v>855</v>
      </c>
      <c r="G13">
        <v>9</v>
      </c>
      <c r="H13" t="s">
        <v>28</v>
      </c>
      <c r="I13">
        <v>44.240899361981242</v>
      </c>
      <c r="J13">
        <v>398.16809425783123</v>
      </c>
      <c r="K13">
        <v>44.241</v>
      </c>
      <c r="L13" t="s">
        <v>856</v>
      </c>
      <c r="M13" t="s">
        <v>857</v>
      </c>
      <c r="N13" t="s">
        <v>201</v>
      </c>
      <c r="O13" t="s">
        <v>202</v>
      </c>
      <c r="P13">
        <v>9</v>
      </c>
      <c r="Q13" t="s">
        <v>28</v>
      </c>
      <c r="R13">
        <v>405</v>
      </c>
      <c r="S13">
        <v>45</v>
      </c>
      <c r="T13" t="s">
        <v>33</v>
      </c>
      <c r="U13" t="s">
        <v>351</v>
      </c>
      <c r="V13">
        <v>13</v>
      </c>
      <c r="W13">
        <v>1302</v>
      </c>
      <c r="X13" t="s">
        <v>61</v>
      </c>
      <c r="Y13">
        <v>5844296</v>
      </c>
      <c r="Z13" t="s">
        <v>858</v>
      </c>
    </row>
    <row r="14" spans="1:26" x14ac:dyDescent="0.3">
      <c r="A14" t="s">
        <v>816</v>
      </c>
      <c r="B14" s="1">
        <v>44605</v>
      </c>
      <c r="C14">
        <v>12099190</v>
      </c>
      <c r="D14" t="s">
        <v>859</v>
      </c>
      <c r="E14" t="s">
        <v>848</v>
      </c>
      <c r="F14" t="s">
        <v>849</v>
      </c>
      <c r="G14">
        <v>10</v>
      </c>
      <c r="H14" t="s">
        <v>28</v>
      </c>
      <c r="I14">
        <v>22.562858674610428</v>
      </c>
      <c r="J14">
        <v>225.6285867461043</v>
      </c>
      <c r="K14">
        <v>22.562999999999999</v>
      </c>
      <c r="L14" t="s">
        <v>850</v>
      </c>
      <c r="M14" t="s">
        <v>157</v>
      </c>
      <c r="N14" t="s">
        <v>294</v>
      </c>
      <c r="O14" t="s">
        <v>202</v>
      </c>
      <c r="P14">
        <v>10</v>
      </c>
      <c r="Q14" t="s">
        <v>28</v>
      </c>
      <c r="R14">
        <v>201.3</v>
      </c>
      <c r="S14">
        <v>20.13</v>
      </c>
      <c r="T14" t="s">
        <v>33</v>
      </c>
      <c r="U14" t="s">
        <v>163</v>
      </c>
      <c r="V14">
        <v>12</v>
      </c>
      <c r="W14">
        <v>1209</v>
      </c>
      <c r="X14" t="s">
        <v>61</v>
      </c>
      <c r="Y14">
        <v>6302388</v>
      </c>
      <c r="Z14" t="s">
        <v>851</v>
      </c>
    </row>
    <row r="15" spans="1:26" x14ac:dyDescent="0.3">
      <c r="A15" t="s">
        <v>816</v>
      </c>
      <c r="B15" s="1">
        <v>44607</v>
      </c>
      <c r="C15">
        <v>12099190</v>
      </c>
      <c r="D15" t="s">
        <v>860</v>
      </c>
      <c r="E15" t="s">
        <v>861</v>
      </c>
      <c r="F15" t="s">
        <v>862</v>
      </c>
      <c r="G15">
        <v>15</v>
      </c>
      <c r="H15" t="s">
        <v>28</v>
      </c>
      <c r="I15">
        <v>12.406056449295409</v>
      </c>
      <c r="J15">
        <v>186.09084673943121</v>
      </c>
      <c r="K15">
        <v>12.406000000000001</v>
      </c>
      <c r="L15" t="s">
        <v>200</v>
      </c>
      <c r="M15" t="s">
        <v>30</v>
      </c>
      <c r="N15" t="s">
        <v>669</v>
      </c>
      <c r="O15" t="s">
        <v>202</v>
      </c>
      <c r="P15">
        <v>15</v>
      </c>
      <c r="Q15" t="s">
        <v>28</v>
      </c>
      <c r="R15">
        <v>180</v>
      </c>
      <c r="S15">
        <v>12</v>
      </c>
      <c r="T15" t="s">
        <v>33</v>
      </c>
      <c r="U15" t="s">
        <v>163</v>
      </c>
      <c r="V15">
        <v>12</v>
      </c>
      <c r="W15">
        <v>1209</v>
      </c>
      <c r="X15" t="s">
        <v>61</v>
      </c>
      <c r="Y15">
        <v>6401760</v>
      </c>
      <c r="Z15" t="s">
        <v>863</v>
      </c>
    </row>
    <row r="16" spans="1:26" x14ac:dyDescent="0.3">
      <c r="A16" t="s">
        <v>816</v>
      </c>
      <c r="B16" s="1">
        <v>44608</v>
      </c>
      <c r="C16">
        <v>12099190</v>
      </c>
      <c r="D16" t="s">
        <v>860</v>
      </c>
      <c r="E16" t="s">
        <v>861</v>
      </c>
      <c r="F16" t="s">
        <v>862</v>
      </c>
      <c r="G16">
        <v>20</v>
      </c>
      <c r="H16" t="s">
        <v>28</v>
      </c>
      <c r="I16">
        <v>15.325277627303681</v>
      </c>
      <c r="J16">
        <v>306.5055525460736</v>
      </c>
      <c r="K16">
        <v>15.324999999999999</v>
      </c>
      <c r="L16" t="s">
        <v>200</v>
      </c>
      <c r="M16" t="s">
        <v>30</v>
      </c>
      <c r="N16" t="s">
        <v>669</v>
      </c>
      <c r="O16" t="s">
        <v>202</v>
      </c>
      <c r="P16">
        <v>20</v>
      </c>
      <c r="Q16" t="s">
        <v>28</v>
      </c>
      <c r="R16">
        <v>300</v>
      </c>
      <c r="S16">
        <v>15</v>
      </c>
      <c r="T16" t="s">
        <v>33</v>
      </c>
      <c r="U16" t="s">
        <v>163</v>
      </c>
      <c r="V16">
        <v>12</v>
      </c>
      <c r="W16">
        <v>1209</v>
      </c>
      <c r="X16" t="s">
        <v>61</v>
      </c>
      <c r="Y16">
        <v>6401756</v>
      </c>
      <c r="Z16" t="s">
        <v>863</v>
      </c>
    </row>
    <row r="17" spans="1:26" x14ac:dyDescent="0.3">
      <c r="A17" t="s">
        <v>816</v>
      </c>
      <c r="B17" s="1">
        <v>44610</v>
      </c>
      <c r="C17">
        <v>12099190</v>
      </c>
      <c r="D17" t="s">
        <v>829</v>
      </c>
      <c r="E17" t="s">
        <v>830</v>
      </c>
      <c r="F17" t="s">
        <v>831</v>
      </c>
      <c r="G17">
        <v>5.5</v>
      </c>
      <c r="H17" t="s">
        <v>28</v>
      </c>
      <c r="I17">
        <v>21.916028835714819</v>
      </c>
      <c r="J17">
        <v>120.5381585964315</v>
      </c>
      <c r="K17">
        <v>21.916</v>
      </c>
      <c r="L17" t="s">
        <v>57</v>
      </c>
      <c r="M17" t="s">
        <v>58</v>
      </c>
      <c r="N17" t="s">
        <v>59</v>
      </c>
      <c r="O17" t="s">
        <v>60</v>
      </c>
      <c r="P17">
        <v>5.5</v>
      </c>
      <c r="Q17" t="s">
        <v>28</v>
      </c>
      <c r="R17">
        <v>119.63</v>
      </c>
      <c r="S17">
        <v>21.75</v>
      </c>
      <c r="T17" t="s">
        <v>33</v>
      </c>
      <c r="U17" t="s">
        <v>163</v>
      </c>
      <c r="V17">
        <v>12</v>
      </c>
      <c r="W17">
        <v>1209</v>
      </c>
      <c r="X17" t="s">
        <v>61</v>
      </c>
      <c r="Y17">
        <v>7497541</v>
      </c>
      <c r="Z17" t="s">
        <v>832</v>
      </c>
    </row>
    <row r="18" spans="1:26" x14ac:dyDescent="0.3">
      <c r="A18" t="s">
        <v>807</v>
      </c>
      <c r="B18" s="1">
        <v>44625</v>
      </c>
      <c r="C18">
        <v>20081920</v>
      </c>
      <c r="D18" t="s">
        <v>845</v>
      </c>
      <c r="E18" t="s">
        <v>838</v>
      </c>
      <c r="F18" t="s">
        <v>839</v>
      </c>
      <c r="G18">
        <v>3000</v>
      </c>
      <c r="H18" t="s">
        <v>28</v>
      </c>
      <c r="I18">
        <v>1.4231115372000001</v>
      </c>
      <c r="J18">
        <v>4269.3346116000002</v>
      </c>
      <c r="K18">
        <v>1423.1120000000001</v>
      </c>
      <c r="L18" t="s">
        <v>57</v>
      </c>
      <c r="M18" t="s">
        <v>58</v>
      </c>
      <c r="N18" t="s">
        <v>59</v>
      </c>
      <c r="O18" t="s">
        <v>60</v>
      </c>
      <c r="P18">
        <v>3</v>
      </c>
      <c r="Q18" t="s">
        <v>43</v>
      </c>
      <c r="R18">
        <v>4274.7299999999996</v>
      </c>
      <c r="S18">
        <v>1424.912</v>
      </c>
      <c r="T18" t="s">
        <v>33</v>
      </c>
      <c r="U18" t="s">
        <v>44</v>
      </c>
      <c r="V18">
        <v>20</v>
      </c>
      <c r="W18">
        <v>2008</v>
      </c>
      <c r="X18" t="s">
        <v>71</v>
      </c>
      <c r="Y18">
        <v>23299273</v>
      </c>
      <c r="Z18" t="s">
        <v>840</v>
      </c>
    </row>
    <row r="19" spans="1:26" x14ac:dyDescent="0.3">
      <c r="A19" t="s">
        <v>816</v>
      </c>
      <c r="B19" s="1">
        <v>44629</v>
      </c>
      <c r="C19">
        <v>12099190</v>
      </c>
      <c r="D19" t="s">
        <v>864</v>
      </c>
      <c r="E19" t="s">
        <v>830</v>
      </c>
      <c r="F19" t="s">
        <v>831</v>
      </c>
      <c r="G19">
        <v>4.4000000000000004</v>
      </c>
      <c r="H19" t="s">
        <v>28</v>
      </c>
      <c r="I19">
        <v>30.319694999999999</v>
      </c>
      <c r="J19">
        <v>133.40665799999999</v>
      </c>
      <c r="K19">
        <v>30.32</v>
      </c>
      <c r="L19" t="s">
        <v>57</v>
      </c>
      <c r="M19" t="s">
        <v>58</v>
      </c>
      <c r="N19" t="s">
        <v>59</v>
      </c>
      <c r="O19" t="s">
        <v>60</v>
      </c>
      <c r="P19">
        <v>4.4000000000000004</v>
      </c>
      <c r="Q19" t="s">
        <v>28</v>
      </c>
      <c r="R19">
        <v>127.25</v>
      </c>
      <c r="S19">
        <v>28.890999999999998</v>
      </c>
      <c r="T19" t="s">
        <v>33</v>
      </c>
      <c r="U19" t="s">
        <v>163</v>
      </c>
      <c r="V19">
        <v>12</v>
      </c>
      <c r="W19">
        <v>1209</v>
      </c>
      <c r="X19" t="s">
        <v>71</v>
      </c>
      <c r="Y19">
        <v>23296272</v>
      </c>
      <c r="Z19" t="s">
        <v>832</v>
      </c>
    </row>
    <row r="20" spans="1:26" x14ac:dyDescent="0.3">
      <c r="A20" t="s">
        <v>852</v>
      </c>
      <c r="B20" s="1">
        <v>44631</v>
      </c>
      <c r="C20">
        <v>13021919</v>
      </c>
      <c r="D20" t="s">
        <v>853</v>
      </c>
      <c r="E20" t="s">
        <v>854</v>
      </c>
      <c r="F20" t="s">
        <v>865</v>
      </c>
      <c r="G20">
        <v>50</v>
      </c>
      <c r="H20" t="s">
        <v>28</v>
      </c>
      <c r="I20">
        <v>44.119785436597333</v>
      </c>
      <c r="J20">
        <v>2205.989271829867</v>
      </c>
      <c r="K20">
        <v>44.12</v>
      </c>
      <c r="L20" t="s">
        <v>866</v>
      </c>
      <c r="M20" t="s">
        <v>867</v>
      </c>
      <c r="N20" t="s">
        <v>113</v>
      </c>
      <c r="O20" t="s">
        <v>32</v>
      </c>
      <c r="P20">
        <v>50</v>
      </c>
      <c r="Q20" t="s">
        <v>28</v>
      </c>
      <c r="R20">
        <v>2250</v>
      </c>
      <c r="S20">
        <v>0</v>
      </c>
      <c r="T20" t="s">
        <v>33</v>
      </c>
      <c r="U20" t="s">
        <v>351</v>
      </c>
      <c r="V20">
        <v>13</v>
      </c>
      <c r="W20">
        <v>1302</v>
      </c>
      <c r="X20" t="s">
        <v>71</v>
      </c>
      <c r="Y20">
        <v>10343371</v>
      </c>
      <c r="Z20" t="s">
        <v>858</v>
      </c>
    </row>
    <row r="21" spans="1:26" x14ac:dyDescent="0.3">
      <c r="A21" t="s">
        <v>816</v>
      </c>
      <c r="B21" s="1">
        <v>44634</v>
      </c>
      <c r="C21">
        <v>12099190</v>
      </c>
      <c r="D21" t="s">
        <v>868</v>
      </c>
      <c r="E21" t="s">
        <v>869</v>
      </c>
      <c r="F21" t="s">
        <v>870</v>
      </c>
      <c r="G21">
        <v>249.5</v>
      </c>
      <c r="H21" t="s">
        <v>28</v>
      </c>
      <c r="I21">
        <v>16.089105773679272</v>
      </c>
      <c r="J21">
        <v>4014.231890532978</v>
      </c>
      <c r="K21">
        <v>16.088999999999999</v>
      </c>
      <c r="L21" t="s">
        <v>871</v>
      </c>
      <c r="M21" t="s">
        <v>872</v>
      </c>
      <c r="N21" t="s">
        <v>113</v>
      </c>
      <c r="O21" t="s">
        <v>32</v>
      </c>
      <c r="P21">
        <v>249.5</v>
      </c>
      <c r="Q21" t="s">
        <v>28</v>
      </c>
      <c r="R21">
        <v>3992</v>
      </c>
      <c r="S21">
        <v>0</v>
      </c>
      <c r="T21" t="s">
        <v>33</v>
      </c>
      <c r="U21" t="s">
        <v>163</v>
      </c>
      <c r="V21">
        <v>12</v>
      </c>
      <c r="W21">
        <v>1209</v>
      </c>
      <c r="X21" t="s">
        <v>71</v>
      </c>
      <c r="Y21">
        <v>10345579</v>
      </c>
      <c r="Z21" t="s">
        <v>873</v>
      </c>
    </row>
    <row r="22" spans="1:26" x14ac:dyDescent="0.3">
      <c r="A22" t="s">
        <v>816</v>
      </c>
      <c r="B22" s="1">
        <v>44634</v>
      </c>
      <c r="C22">
        <v>12099190</v>
      </c>
      <c r="D22" t="s">
        <v>874</v>
      </c>
      <c r="E22" t="s">
        <v>869</v>
      </c>
      <c r="F22" t="s">
        <v>870</v>
      </c>
      <c r="G22">
        <v>1073.8</v>
      </c>
      <c r="H22" t="s">
        <v>28</v>
      </c>
      <c r="I22">
        <v>22.14998215985813</v>
      </c>
      <c r="J22">
        <v>23784.650843255658</v>
      </c>
      <c r="K22">
        <v>22.15</v>
      </c>
      <c r="L22" t="s">
        <v>871</v>
      </c>
      <c r="M22" t="s">
        <v>872</v>
      </c>
      <c r="N22" t="s">
        <v>113</v>
      </c>
      <c r="O22" t="s">
        <v>32</v>
      </c>
      <c r="P22">
        <v>1073.8</v>
      </c>
      <c r="Q22" t="s">
        <v>28</v>
      </c>
      <c r="R22">
        <v>23623.599999999999</v>
      </c>
      <c r="S22">
        <v>0</v>
      </c>
      <c r="T22" t="s">
        <v>33</v>
      </c>
      <c r="U22" t="s">
        <v>163</v>
      </c>
      <c r="V22">
        <v>12</v>
      </c>
      <c r="W22">
        <v>1209</v>
      </c>
      <c r="X22" t="s">
        <v>71</v>
      </c>
      <c r="Y22">
        <v>10344249</v>
      </c>
      <c r="Z22" t="s">
        <v>873</v>
      </c>
    </row>
    <row r="23" spans="1:26" x14ac:dyDescent="0.3">
      <c r="A23" t="s">
        <v>816</v>
      </c>
      <c r="B23" s="1">
        <v>44638</v>
      </c>
      <c r="C23">
        <v>12099190</v>
      </c>
      <c r="D23" t="s">
        <v>875</v>
      </c>
      <c r="E23" t="s">
        <v>876</v>
      </c>
      <c r="F23" t="s">
        <v>877</v>
      </c>
      <c r="G23">
        <v>50</v>
      </c>
      <c r="H23" t="s">
        <v>28</v>
      </c>
      <c r="I23">
        <v>78.354597190333877</v>
      </c>
      <c r="J23">
        <v>3917.729859516694</v>
      </c>
      <c r="K23">
        <v>78.355000000000004</v>
      </c>
      <c r="L23" t="s">
        <v>878</v>
      </c>
      <c r="M23" t="s">
        <v>872</v>
      </c>
      <c r="N23" t="s">
        <v>201</v>
      </c>
      <c r="O23" t="s">
        <v>202</v>
      </c>
      <c r="P23">
        <v>50</v>
      </c>
      <c r="Q23" t="s">
        <v>28</v>
      </c>
      <c r="R23">
        <v>3960</v>
      </c>
      <c r="S23">
        <v>0</v>
      </c>
      <c r="T23" t="s">
        <v>33</v>
      </c>
      <c r="U23" t="s">
        <v>163</v>
      </c>
      <c r="V23">
        <v>12</v>
      </c>
      <c r="W23">
        <v>1209</v>
      </c>
      <c r="X23" t="s">
        <v>71</v>
      </c>
      <c r="Y23">
        <v>10700067</v>
      </c>
      <c r="Z23" t="s">
        <v>879</v>
      </c>
    </row>
    <row r="24" spans="1:26" x14ac:dyDescent="0.3">
      <c r="A24" t="s">
        <v>816</v>
      </c>
      <c r="B24" s="1">
        <v>44639</v>
      </c>
      <c r="C24">
        <v>12099190</v>
      </c>
      <c r="D24" t="s">
        <v>880</v>
      </c>
      <c r="E24" t="s">
        <v>848</v>
      </c>
      <c r="F24" t="s">
        <v>849</v>
      </c>
      <c r="G24">
        <v>54</v>
      </c>
      <c r="H24" t="s">
        <v>28</v>
      </c>
      <c r="I24">
        <v>29.958062862163789</v>
      </c>
      <c r="J24">
        <v>1617.735394556845</v>
      </c>
      <c r="K24">
        <v>29.957999999999998</v>
      </c>
      <c r="L24" t="s">
        <v>850</v>
      </c>
      <c r="M24" t="s">
        <v>157</v>
      </c>
      <c r="N24" t="s">
        <v>294</v>
      </c>
      <c r="O24" t="s">
        <v>202</v>
      </c>
      <c r="P24">
        <v>54</v>
      </c>
      <c r="Q24" t="s">
        <v>28</v>
      </c>
      <c r="R24">
        <v>1560.6</v>
      </c>
      <c r="S24">
        <v>0</v>
      </c>
      <c r="T24" t="s">
        <v>33</v>
      </c>
      <c r="U24" t="s">
        <v>163</v>
      </c>
      <c r="V24">
        <v>12</v>
      </c>
      <c r="W24">
        <v>1209</v>
      </c>
      <c r="X24" t="s">
        <v>71</v>
      </c>
      <c r="Y24">
        <v>10190664</v>
      </c>
      <c r="Z24" t="s">
        <v>851</v>
      </c>
    </row>
    <row r="25" spans="1:26" x14ac:dyDescent="0.3">
      <c r="A25" t="s">
        <v>852</v>
      </c>
      <c r="B25" s="1">
        <v>44643</v>
      </c>
      <c r="C25">
        <v>13021919</v>
      </c>
      <c r="D25" t="s">
        <v>853</v>
      </c>
      <c r="E25" t="s">
        <v>854</v>
      </c>
      <c r="F25" t="s">
        <v>855</v>
      </c>
      <c r="G25">
        <v>200</v>
      </c>
      <c r="H25" t="s">
        <v>28</v>
      </c>
      <c r="I25">
        <v>45.011499751999999</v>
      </c>
      <c r="J25">
        <v>9002.2999503999999</v>
      </c>
      <c r="K25">
        <v>45.011000000000003</v>
      </c>
      <c r="L25" t="s">
        <v>856</v>
      </c>
      <c r="M25" t="s">
        <v>857</v>
      </c>
      <c r="N25" t="s">
        <v>201</v>
      </c>
      <c r="O25" t="s">
        <v>202</v>
      </c>
      <c r="P25">
        <v>200</v>
      </c>
      <c r="Q25" t="s">
        <v>28</v>
      </c>
      <c r="R25">
        <v>9000</v>
      </c>
      <c r="S25">
        <v>44.954999999999998</v>
      </c>
      <c r="T25" t="s">
        <v>33</v>
      </c>
      <c r="U25" t="s">
        <v>351</v>
      </c>
      <c r="V25">
        <v>13</v>
      </c>
      <c r="W25">
        <v>1302</v>
      </c>
      <c r="X25" t="s">
        <v>71</v>
      </c>
      <c r="Y25">
        <v>21807494</v>
      </c>
      <c r="Z25" t="s">
        <v>858</v>
      </c>
    </row>
    <row r="26" spans="1:26" x14ac:dyDescent="0.3">
      <c r="A26" t="s">
        <v>816</v>
      </c>
      <c r="B26" s="1">
        <v>44649</v>
      </c>
      <c r="C26">
        <v>12099190</v>
      </c>
      <c r="D26" t="s">
        <v>881</v>
      </c>
      <c r="E26" t="s">
        <v>882</v>
      </c>
      <c r="F26" t="s">
        <v>883</v>
      </c>
      <c r="G26">
        <v>7</v>
      </c>
      <c r="H26" t="s">
        <v>28</v>
      </c>
      <c r="I26">
        <v>66.481922571428569</v>
      </c>
      <c r="J26">
        <v>465.37345800000003</v>
      </c>
      <c r="K26">
        <v>66.481999999999999</v>
      </c>
      <c r="L26" t="s">
        <v>315</v>
      </c>
      <c r="M26" t="s">
        <v>316</v>
      </c>
      <c r="N26" t="s">
        <v>317</v>
      </c>
      <c r="O26" t="s">
        <v>60</v>
      </c>
      <c r="P26">
        <v>7</v>
      </c>
      <c r="Q26" t="s">
        <v>28</v>
      </c>
      <c r="R26">
        <v>34999.300000000003</v>
      </c>
      <c r="S26">
        <v>4999.8999999999996</v>
      </c>
      <c r="T26" t="s">
        <v>114</v>
      </c>
      <c r="U26" t="s">
        <v>163</v>
      </c>
      <c r="V26">
        <v>12</v>
      </c>
      <c r="W26">
        <v>1209</v>
      </c>
      <c r="X26" t="s">
        <v>71</v>
      </c>
      <c r="Y26">
        <v>21850349</v>
      </c>
      <c r="Z26" t="s">
        <v>884</v>
      </c>
    </row>
    <row r="27" spans="1:26" x14ac:dyDescent="0.3">
      <c r="A27" t="s">
        <v>816</v>
      </c>
      <c r="B27" s="1">
        <v>44650</v>
      </c>
      <c r="C27">
        <v>12099190</v>
      </c>
      <c r="D27" t="s">
        <v>885</v>
      </c>
      <c r="E27" t="s">
        <v>886</v>
      </c>
      <c r="F27" t="s">
        <v>887</v>
      </c>
      <c r="G27">
        <v>400</v>
      </c>
      <c r="H27" t="s">
        <v>28</v>
      </c>
      <c r="I27">
        <v>115.68686121650001</v>
      </c>
      <c r="J27">
        <v>46274.744486600001</v>
      </c>
      <c r="K27">
        <v>115.687</v>
      </c>
      <c r="L27" t="s">
        <v>358</v>
      </c>
      <c r="M27" t="s">
        <v>58</v>
      </c>
      <c r="N27" t="s">
        <v>359</v>
      </c>
      <c r="O27" t="s">
        <v>60</v>
      </c>
      <c r="P27">
        <v>400</v>
      </c>
      <c r="Q27" t="s">
        <v>28</v>
      </c>
      <c r="R27">
        <v>46000</v>
      </c>
      <c r="S27">
        <v>114.989</v>
      </c>
      <c r="T27" t="s">
        <v>33</v>
      </c>
      <c r="U27" t="s">
        <v>163</v>
      </c>
      <c r="V27">
        <v>12</v>
      </c>
      <c r="W27">
        <v>1209</v>
      </c>
      <c r="X27" t="s">
        <v>71</v>
      </c>
      <c r="Y27">
        <v>21617979</v>
      </c>
      <c r="Z27" t="s">
        <v>888</v>
      </c>
    </row>
    <row r="28" spans="1:26" x14ac:dyDescent="0.3">
      <c r="A28" t="s">
        <v>816</v>
      </c>
      <c r="B28" s="1">
        <v>44673</v>
      </c>
      <c r="C28">
        <v>12099990</v>
      </c>
      <c r="D28" t="s">
        <v>889</v>
      </c>
      <c r="E28" t="s">
        <v>85</v>
      </c>
      <c r="F28" t="s">
        <v>86</v>
      </c>
      <c r="G28">
        <v>30</v>
      </c>
      <c r="H28" t="s">
        <v>28</v>
      </c>
      <c r="I28">
        <v>6.6269999999999998</v>
      </c>
      <c r="J28">
        <v>198.81</v>
      </c>
      <c r="K28">
        <v>6.63</v>
      </c>
      <c r="L28" t="s">
        <v>87</v>
      </c>
      <c r="M28" t="s">
        <v>88</v>
      </c>
      <c r="N28" t="s">
        <v>89</v>
      </c>
      <c r="O28" t="s">
        <v>32</v>
      </c>
      <c r="P28">
        <v>30</v>
      </c>
      <c r="Q28" t="s">
        <v>28</v>
      </c>
      <c r="R28">
        <v>201</v>
      </c>
      <c r="S28">
        <v>6.7</v>
      </c>
      <c r="T28" t="s">
        <v>33</v>
      </c>
      <c r="U28" t="s">
        <v>163</v>
      </c>
      <c r="V28">
        <v>12</v>
      </c>
      <c r="W28">
        <v>1209</v>
      </c>
      <c r="X28" t="s">
        <v>82</v>
      </c>
      <c r="Y28">
        <v>27691860</v>
      </c>
      <c r="Z28" t="s">
        <v>92</v>
      </c>
    </row>
    <row r="29" spans="1:26" x14ac:dyDescent="0.3">
      <c r="A29" t="s">
        <v>852</v>
      </c>
      <c r="B29" s="1">
        <v>44680</v>
      </c>
      <c r="C29">
        <v>13021919</v>
      </c>
      <c r="D29" t="s">
        <v>890</v>
      </c>
      <c r="E29" t="s">
        <v>854</v>
      </c>
      <c r="F29" t="s">
        <v>855</v>
      </c>
      <c r="G29">
        <v>400</v>
      </c>
      <c r="H29" t="s">
        <v>28</v>
      </c>
      <c r="I29">
        <v>44.996675000000003</v>
      </c>
      <c r="J29">
        <v>17998.669999999998</v>
      </c>
      <c r="K29">
        <v>45</v>
      </c>
      <c r="L29" t="s">
        <v>856</v>
      </c>
      <c r="M29" t="s">
        <v>857</v>
      </c>
      <c r="N29" t="s">
        <v>201</v>
      </c>
      <c r="O29" t="s">
        <v>202</v>
      </c>
      <c r="P29">
        <v>400</v>
      </c>
      <c r="Q29" t="s">
        <v>28</v>
      </c>
      <c r="R29">
        <v>18000</v>
      </c>
      <c r="S29">
        <v>45</v>
      </c>
      <c r="T29" t="s">
        <v>33</v>
      </c>
      <c r="U29" t="s">
        <v>351</v>
      </c>
      <c r="V29">
        <v>13</v>
      </c>
      <c r="W29">
        <v>1302</v>
      </c>
      <c r="X29" t="s">
        <v>82</v>
      </c>
      <c r="Y29">
        <v>24800851</v>
      </c>
      <c r="Z29" t="s">
        <v>858</v>
      </c>
    </row>
    <row r="30" spans="1:26" x14ac:dyDescent="0.3">
      <c r="A30" t="s">
        <v>816</v>
      </c>
      <c r="B30" s="1">
        <v>44699</v>
      </c>
      <c r="C30">
        <v>12099190</v>
      </c>
      <c r="D30" t="s">
        <v>891</v>
      </c>
      <c r="E30" t="s">
        <v>830</v>
      </c>
      <c r="F30" t="s">
        <v>831</v>
      </c>
      <c r="G30">
        <v>0.25</v>
      </c>
      <c r="H30" t="s">
        <v>28</v>
      </c>
      <c r="I30">
        <v>159.24</v>
      </c>
      <c r="J30">
        <v>39.81</v>
      </c>
      <c r="K30">
        <v>159.24</v>
      </c>
      <c r="L30" t="s">
        <v>57</v>
      </c>
      <c r="M30" t="s">
        <v>58</v>
      </c>
      <c r="N30" t="s">
        <v>59</v>
      </c>
      <c r="O30" t="s">
        <v>60</v>
      </c>
      <c r="P30">
        <v>0.25</v>
      </c>
      <c r="Q30" t="s">
        <v>28</v>
      </c>
      <c r="R30">
        <v>33.93</v>
      </c>
      <c r="S30">
        <v>135.71</v>
      </c>
      <c r="T30" t="s">
        <v>33</v>
      </c>
      <c r="U30" t="s">
        <v>163</v>
      </c>
      <c r="V30">
        <v>12</v>
      </c>
      <c r="W30">
        <v>1209</v>
      </c>
      <c r="X30" t="s">
        <v>91</v>
      </c>
      <c r="Y30">
        <v>32660094</v>
      </c>
      <c r="Z30" t="s">
        <v>832</v>
      </c>
    </row>
    <row r="31" spans="1:26" x14ac:dyDescent="0.3">
      <c r="A31" t="s">
        <v>892</v>
      </c>
      <c r="B31" s="1">
        <v>44701</v>
      </c>
      <c r="C31">
        <v>19011090</v>
      </c>
      <c r="D31" t="s">
        <v>893</v>
      </c>
      <c r="E31" t="s">
        <v>894</v>
      </c>
      <c r="F31" t="s">
        <v>895</v>
      </c>
      <c r="G31">
        <v>1.6</v>
      </c>
      <c r="H31" t="s">
        <v>28</v>
      </c>
      <c r="I31">
        <v>8.2937499999999993</v>
      </c>
      <c r="J31">
        <v>13.27</v>
      </c>
      <c r="K31">
        <v>8.2899999999999991</v>
      </c>
      <c r="L31" t="s">
        <v>29</v>
      </c>
      <c r="M31" t="s">
        <v>30</v>
      </c>
      <c r="N31" t="s">
        <v>588</v>
      </c>
      <c r="O31" t="s">
        <v>32</v>
      </c>
      <c r="P31">
        <v>1.6</v>
      </c>
      <c r="Q31" t="s">
        <v>28</v>
      </c>
      <c r="R31">
        <v>19.47</v>
      </c>
      <c r="S31">
        <v>12.17</v>
      </c>
      <c r="T31" t="s">
        <v>33</v>
      </c>
      <c r="U31" t="s">
        <v>896</v>
      </c>
      <c r="V31">
        <v>19</v>
      </c>
      <c r="W31">
        <v>1901</v>
      </c>
      <c r="X31" t="s">
        <v>91</v>
      </c>
      <c r="Y31">
        <v>29604209</v>
      </c>
      <c r="Z31" t="s">
        <v>897</v>
      </c>
    </row>
    <row r="32" spans="1:26" x14ac:dyDescent="0.3">
      <c r="A32" t="s">
        <v>816</v>
      </c>
      <c r="B32" s="1">
        <v>44701</v>
      </c>
      <c r="C32">
        <v>12099190</v>
      </c>
      <c r="D32" t="s">
        <v>898</v>
      </c>
      <c r="E32" t="s">
        <v>899</v>
      </c>
      <c r="F32" t="s">
        <v>900</v>
      </c>
      <c r="G32">
        <v>0.25</v>
      </c>
      <c r="H32" t="s">
        <v>28</v>
      </c>
      <c r="I32">
        <v>0</v>
      </c>
      <c r="J32">
        <v>0</v>
      </c>
      <c r="K32">
        <v>0</v>
      </c>
      <c r="L32" t="s">
        <v>901</v>
      </c>
      <c r="M32" t="s">
        <v>123</v>
      </c>
      <c r="N32" t="s">
        <v>201</v>
      </c>
      <c r="O32" t="s">
        <v>202</v>
      </c>
      <c r="P32">
        <v>0.25</v>
      </c>
      <c r="Q32" t="s">
        <v>28</v>
      </c>
      <c r="R32">
        <v>0.5</v>
      </c>
      <c r="S32">
        <v>2</v>
      </c>
      <c r="T32" t="s">
        <v>33</v>
      </c>
      <c r="U32" t="s">
        <v>163</v>
      </c>
      <c r="V32">
        <v>12</v>
      </c>
      <c r="W32">
        <v>1209</v>
      </c>
      <c r="X32" t="s">
        <v>91</v>
      </c>
      <c r="Y32">
        <v>30243579</v>
      </c>
      <c r="Z32" t="s">
        <v>902</v>
      </c>
    </row>
    <row r="33" spans="1:26" x14ac:dyDescent="0.3">
      <c r="A33" t="s">
        <v>852</v>
      </c>
      <c r="B33" s="1">
        <v>44703</v>
      </c>
      <c r="C33">
        <v>13021919</v>
      </c>
      <c r="D33" t="s">
        <v>890</v>
      </c>
      <c r="E33" t="s">
        <v>854</v>
      </c>
      <c r="F33" t="s">
        <v>855</v>
      </c>
      <c r="G33">
        <v>300</v>
      </c>
      <c r="H33" t="s">
        <v>28</v>
      </c>
      <c r="I33">
        <v>44.993499999999997</v>
      </c>
      <c r="J33">
        <v>13498.05</v>
      </c>
      <c r="K33">
        <v>44.99</v>
      </c>
      <c r="L33" t="s">
        <v>856</v>
      </c>
      <c r="M33" t="s">
        <v>857</v>
      </c>
      <c r="N33" t="s">
        <v>201</v>
      </c>
      <c r="O33" t="s">
        <v>202</v>
      </c>
      <c r="P33">
        <v>300</v>
      </c>
      <c r="Q33" t="s">
        <v>28</v>
      </c>
      <c r="R33">
        <v>13500</v>
      </c>
      <c r="S33">
        <v>45</v>
      </c>
      <c r="T33" t="s">
        <v>33</v>
      </c>
      <c r="U33" t="s">
        <v>351</v>
      </c>
      <c r="V33">
        <v>13</v>
      </c>
      <c r="W33">
        <v>1302</v>
      </c>
      <c r="X33" t="s">
        <v>91</v>
      </c>
      <c r="Y33">
        <v>30306922</v>
      </c>
      <c r="Z33" t="s">
        <v>858</v>
      </c>
    </row>
    <row r="34" spans="1:26" x14ac:dyDescent="0.3">
      <c r="A34" t="s">
        <v>852</v>
      </c>
      <c r="B34" s="1">
        <v>44705</v>
      </c>
      <c r="C34">
        <v>13021919</v>
      </c>
      <c r="D34" t="s">
        <v>903</v>
      </c>
      <c r="E34" t="s">
        <v>904</v>
      </c>
      <c r="F34" t="s">
        <v>79</v>
      </c>
      <c r="G34">
        <v>100</v>
      </c>
      <c r="H34" t="s">
        <v>28</v>
      </c>
      <c r="I34">
        <v>11.0533</v>
      </c>
      <c r="J34">
        <v>1105.33</v>
      </c>
      <c r="K34">
        <v>11.05</v>
      </c>
      <c r="L34" t="s">
        <v>905</v>
      </c>
      <c r="M34" t="s">
        <v>827</v>
      </c>
      <c r="N34" t="s">
        <v>906</v>
      </c>
      <c r="O34" t="s">
        <v>202</v>
      </c>
      <c r="P34">
        <v>100</v>
      </c>
      <c r="Q34" t="s">
        <v>28</v>
      </c>
      <c r="R34">
        <v>1100</v>
      </c>
      <c r="S34">
        <v>11</v>
      </c>
      <c r="T34" t="s">
        <v>33</v>
      </c>
      <c r="U34" t="s">
        <v>351</v>
      </c>
      <c r="V34">
        <v>13</v>
      </c>
      <c r="W34">
        <v>1302</v>
      </c>
      <c r="X34" t="s">
        <v>91</v>
      </c>
      <c r="Y34">
        <v>31630260</v>
      </c>
      <c r="Z34" t="s">
        <v>907</v>
      </c>
    </row>
    <row r="35" spans="1:26" x14ac:dyDescent="0.3">
      <c r="A35" t="s">
        <v>852</v>
      </c>
      <c r="B35" s="1">
        <v>44715</v>
      </c>
      <c r="C35">
        <v>20081920</v>
      </c>
      <c r="D35" t="s">
        <v>908</v>
      </c>
      <c r="E35" t="s">
        <v>838</v>
      </c>
      <c r="F35" t="s">
        <v>839</v>
      </c>
      <c r="G35">
        <v>2000</v>
      </c>
      <c r="H35" t="s">
        <v>28</v>
      </c>
      <c r="I35">
        <v>1.4304300000000001</v>
      </c>
      <c r="J35">
        <v>2860.86</v>
      </c>
      <c r="K35">
        <v>1430.43</v>
      </c>
      <c r="L35" t="s">
        <v>57</v>
      </c>
      <c r="M35" t="s">
        <v>58</v>
      </c>
      <c r="N35" t="s">
        <v>59</v>
      </c>
      <c r="O35" t="s">
        <v>60</v>
      </c>
      <c r="P35">
        <v>2</v>
      </c>
      <c r="Q35" t="s">
        <v>43</v>
      </c>
      <c r="R35">
        <v>2860</v>
      </c>
      <c r="S35">
        <v>1430</v>
      </c>
      <c r="T35" t="s">
        <v>33</v>
      </c>
      <c r="U35" t="s">
        <v>44</v>
      </c>
      <c r="V35">
        <v>20</v>
      </c>
      <c r="W35">
        <v>2008</v>
      </c>
      <c r="X35" t="s">
        <v>106</v>
      </c>
      <c r="Y35">
        <v>37184143</v>
      </c>
      <c r="Z35" t="s">
        <v>840</v>
      </c>
    </row>
    <row r="36" spans="1:26" x14ac:dyDescent="0.3">
      <c r="A36" t="s">
        <v>852</v>
      </c>
      <c r="B36" s="1">
        <v>44719</v>
      </c>
      <c r="C36">
        <v>13021919</v>
      </c>
      <c r="D36" t="s">
        <v>903</v>
      </c>
      <c r="E36" t="s">
        <v>904</v>
      </c>
      <c r="F36" t="s">
        <v>79</v>
      </c>
      <c r="G36">
        <v>75</v>
      </c>
      <c r="H36" t="s">
        <v>28</v>
      </c>
      <c r="I36">
        <v>14.930533333333329</v>
      </c>
      <c r="J36">
        <v>1119.79</v>
      </c>
      <c r="K36">
        <v>14.93</v>
      </c>
      <c r="L36" t="s">
        <v>826</v>
      </c>
      <c r="M36" t="s">
        <v>827</v>
      </c>
      <c r="N36" t="s">
        <v>906</v>
      </c>
      <c r="O36" t="s">
        <v>202</v>
      </c>
      <c r="P36">
        <v>75</v>
      </c>
      <c r="Q36" t="s">
        <v>28</v>
      </c>
      <c r="R36">
        <v>1125</v>
      </c>
      <c r="S36">
        <v>15</v>
      </c>
      <c r="T36" t="s">
        <v>33</v>
      </c>
      <c r="U36" t="s">
        <v>351</v>
      </c>
      <c r="V36">
        <v>13</v>
      </c>
      <c r="W36">
        <v>1302</v>
      </c>
      <c r="X36" t="s">
        <v>106</v>
      </c>
      <c r="Y36">
        <v>33892223</v>
      </c>
      <c r="Z36" t="s">
        <v>907</v>
      </c>
    </row>
    <row r="37" spans="1:26" x14ac:dyDescent="0.3">
      <c r="A37" t="s">
        <v>816</v>
      </c>
      <c r="B37" s="1">
        <v>44722</v>
      </c>
      <c r="C37">
        <v>12099190</v>
      </c>
      <c r="D37" t="s">
        <v>177</v>
      </c>
      <c r="E37" t="s">
        <v>909</v>
      </c>
      <c r="F37" t="s">
        <v>910</v>
      </c>
      <c r="G37">
        <v>27</v>
      </c>
      <c r="H37" t="s">
        <v>28</v>
      </c>
      <c r="I37">
        <v>10.127407407407411</v>
      </c>
      <c r="J37">
        <v>273.44</v>
      </c>
      <c r="K37">
        <v>10.130000000000001</v>
      </c>
      <c r="L37" t="s">
        <v>57</v>
      </c>
      <c r="M37" t="s">
        <v>58</v>
      </c>
      <c r="N37" t="s">
        <v>59</v>
      </c>
      <c r="O37" t="s">
        <v>60</v>
      </c>
      <c r="P37">
        <v>27</v>
      </c>
      <c r="Q37" t="s">
        <v>28</v>
      </c>
      <c r="R37">
        <v>270</v>
      </c>
      <c r="S37">
        <v>10</v>
      </c>
      <c r="T37" t="s">
        <v>33</v>
      </c>
      <c r="U37" t="s">
        <v>163</v>
      </c>
      <c r="V37">
        <v>12</v>
      </c>
      <c r="W37">
        <v>1209</v>
      </c>
      <c r="X37" t="s">
        <v>106</v>
      </c>
      <c r="Y37">
        <v>37182082</v>
      </c>
      <c r="Z37" t="s">
        <v>911</v>
      </c>
    </row>
    <row r="38" spans="1:26" x14ac:dyDescent="0.3">
      <c r="A38" t="s">
        <v>816</v>
      </c>
      <c r="B38" s="1">
        <v>44728</v>
      </c>
      <c r="C38">
        <v>12099190</v>
      </c>
      <c r="D38" t="s">
        <v>132</v>
      </c>
      <c r="E38" t="s">
        <v>912</v>
      </c>
      <c r="F38" t="s">
        <v>913</v>
      </c>
      <c r="G38">
        <v>25</v>
      </c>
      <c r="H38" t="s">
        <v>28</v>
      </c>
      <c r="I38">
        <v>5.7291999999999996</v>
      </c>
      <c r="J38">
        <v>143.22999999999999</v>
      </c>
      <c r="K38">
        <v>5.73</v>
      </c>
      <c r="L38" t="s">
        <v>149</v>
      </c>
      <c r="M38" t="s">
        <v>150</v>
      </c>
      <c r="N38" t="s">
        <v>174</v>
      </c>
      <c r="O38" t="s">
        <v>32</v>
      </c>
      <c r="P38">
        <v>25</v>
      </c>
      <c r="Q38" t="s">
        <v>28</v>
      </c>
      <c r="R38">
        <v>141.5</v>
      </c>
      <c r="S38">
        <v>5.66</v>
      </c>
      <c r="T38" t="s">
        <v>33</v>
      </c>
      <c r="U38" t="s">
        <v>163</v>
      </c>
      <c r="V38">
        <v>12</v>
      </c>
      <c r="W38">
        <v>1209</v>
      </c>
      <c r="X38" t="s">
        <v>106</v>
      </c>
      <c r="Y38">
        <v>34299231</v>
      </c>
      <c r="Z38" t="s">
        <v>914</v>
      </c>
    </row>
    <row r="39" spans="1:26" x14ac:dyDescent="0.3">
      <c r="A39" t="s">
        <v>816</v>
      </c>
      <c r="B39" s="1">
        <v>44730</v>
      </c>
      <c r="C39">
        <v>12099190</v>
      </c>
      <c r="D39" t="s">
        <v>915</v>
      </c>
      <c r="E39" t="s">
        <v>916</v>
      </c>
      <c r="F39" t="s">
        <v>917</v>
      </c>
      <c r="G39">
        <v>4</v>
      </c>
      <c r="H39" t="s">
        <v>28</v>
      </c>
      <c r="I39">
        <v>71.197500000000005</v>
      </c>
      <c r="J39">
        <v>284.79000000000002</v>
      </c>
      <c r="K39">
        <v>71.2</v>
      </c>
      <c r="L39" t="s">
        <v>122</v>
      </c>
      <c r="M39" t="s">
        <v>123</v>
      </c>
      <c r="N39" t="s">
        <v>201</v>
      </c>
      <c r="O39" t="s">
        <v>202</v>
      </c>
      <c r="P39">
        <v>4</v>
      </c>
      <c r="Q39" t="s">
        <v>28</v>
      </c>
      <c r="R39">
        <v>260</v>
      </c>
      <c r="S39">
        <v>65</v>
      </c>
      <c r="T39" t="s">
        <v>33</v>
      </c>
      <c r="U39" t="s">
        <v>163</v>
      </c>
      <c r="V39">
        <v>12</v>
      </c>
      <c r="W39">
        <v>1209</v>
      </c>
      <c r="X39" t="s">
        <v>106</v>
      </c>
      <c r="Y39">
        <v>34572872</v>
      </c>
      <c r="Z39" t="s">
        <v>918</v>
      </c>
    </row>
    <row r="40" spans="1:26" x14ac:dyDescent="0.3">
      <c r="A40" t="s">
        <v>807</v>
      </c>
      <c r="B40" s="1">
        <v>44731</v>
      </c>
      <c r="C40">
        <v>20081920</v>
      </c>
      <c r="D40" t="s">
        <v>919</v>
      </c>
      <c r="E40" t="s">
        <v>838</v>
      </c>
      <c r="F40" t="s">
        <v>846</v>
      </c>
      <c r="G40">
        <v>1000</v>
      </c>
      <c r="H40" t="s">
        <v>28</v>
      </c>
      <c r="I40">
        <v>1.42395</v>
      </c>
      <c r="J40">
        <v>1423.95</v>
      </c>
      <c r="K40">
        <v>1423.95</v>
      </c>
      <c r="L40" t="s">
        <v>57</v>
      </c>
      <c r="M40" t="s">
        <v>58</v>
      </c>
      <c r="N40" t="s">
        <v>59</v>
      </c>
      <c r="O40" t="s">
        <v>60</v>
      </c>
      <c r="P40">
        <v>1</v>
      </c>
      <c r="Q40" t="s">
        <v>43</v>
      </c>
      <c r="R40">
        <v>1425</v>
      </c>
      <c r="S40">
        <v>1425</v>
      </c>
      <c r="T40" t="s">
        <v>33</v>
      </c>
      <c r="U40" t="s">
        <v>44</v>
      </c>
      <c r="V40">
        <v>20</v>
      </c>
      <c r="W40">
        <v>2008</v>
      </c>
      <c r="X40" t="s">
        <v>106</v>
      </c>
      <c r="Y40">
        <v>37187869</v>
      </c>
      <c r="Z40" t="s">
        <v>840</v>
      </c>
    </row>
    <row r="41" spans="1:26" x14ac:dyDescent="0.3">
      <c r="A41" t="s">
        <v>852</v>
      </c>
      <c r="B41" s="1">
        <v>44734</v>
      </c>
      <c r="C41">
        <v>13021919</v>
      </c>
      <c r="D41" t="s">
        <v>890</v>
      </c>
      <c r="E41" t="s">
        <v>854</v>
      </c>
      <c r="F41" t="s">
        <v>855</v>
      </c>
      <c r="G41">
        <v>400</v>
      </c>
      <c r="H41" t="s">
        <v>28</v>
      </c>
      <c r="I41">
        <v>45.016174999999997</v>
      </c>
      <c r="J41">
        <v>18006.47</v>
      </c>
      <c r="K41">
        <v>45.02</v>
      </c>
      <c r="L41" t="s">
        <v>856</v>
      </c>
      <c r="M41" t="s">
        <v>857</v>
      </c>
      <c r="N41" t="s">
        <v>201</v>
      </c>
      <c r="O41" t="s">
        <v>202</v>
      </c>
      <c r="P41">
        <v>400</v>
      </c>
      <c r="Q41" t="s">
        <v>28</v>
      </c>
      <c r="R41">
        <v>18000</v>
      </c>
      <c r="S41">
        <v>45</v>
      </c>
      <c r="T41" t="s">
        <v>33</v>
      </c>
      <c r="U41" t="s">
        <v>351</v>
      </c>
      <c r="V41">
        <v>13</v>
      </c>
      <c r="W41">
        <v>1302</v>
      </c>
      <c r="X41" t="s">
        <v>106</v>
      </c>
      <c r="Y41">
        <v>35434328</v>
      </c>
      <c r="Z41" t="s">
        <v>858</v>
      </c>
    </row>
    <row r="42" spans="1:26" x14ac:dyDescent="0.3">
      <c r="A42" t="s">
        <v>816</v>
      </c>
      <c r="B42" s="1">
        <v>44734</v>
      </c>
      <c r="C42">
        <v>12099190</v>
      </c>
      <c r="D42" t="s">
        <v>920</v>
      </c>
      <c r="E42" t="s">
        <v>861</v>
      </c>
      <c r="F42" t="s">
        <v>862</v>
      </c>
      <c r="G42">
        <v>15</v>
      </c>
      <c r="H42" t="s">
        <v>28</v>
      </c>
      <c r="I42">
        <v>15.534000000000001</v>
      </c>
      <c r="J42">
        <v>233.01</v>
      </c>
      <c r="K42">
        <v>15.53</v>
      </c>
      <c r="L42" t="s">
        <v>200</v>
      </c>
      <c r="M42" t="s">
        <v>30</v>
      </c>
      <c r="N42" t="s">
        <v>669</v>
      </c>
      <c r="O42" t="s">
        <v>202</v>
      </c>
      <c r="P42">
        <v>15</v>
      </c>
      <c r="Q42" t="s">
        <v>28</v>
      </c>
      <c r="R42">
        <v>225</v>
      </c>
      <c r="S42">
        <v>15</v>
      </c>
      <c r="T42" t="s">
        <v>33</v>
      </c>
      <c r="U42" t="s">
        <v>163</v>
      </c>
      <c r="V42">
        <v>12</v>
      </c>
      <c r="W42">
        <v>1209</v>
      </c>
      <c r="X42" t="s">
        <v>106</v>
      </c>
      <c r="Y42">
        <v>34772195</v>
      </c>
      <c r="Z42" t="s">
        <v>863</v>
      </c>
    </row>
    <row r="43" spans="1:26" x14ac:dyDescent="0.3">
      <c r="A43" t="s">
        <v>816</v>
      </c>
      <c r="B43" s="1">
        <v>44738</v>
      </c>
      <c r="C43">
        <v>12099110</v>
      </c>
      <c r="D43" t="s">
        <v>921</v>
      </c>
      <c r="E43" t="s">
        <v>922</v>
      </c>
      <c r="F43" t="s">
        <v>923</v>
      </c>
      <c r="G43">
        <v>50</v>
      </c>
      <c r="H43" t="s">
        <v>28</v>
      </c>
      <c r="I43">
        <v>49.967599999999997</v>
      </c>
      <c r="J43">
        <v>2498.38</v>
      </c>
      <c r="K43">
        <v>49.97</v>
      </c>
      <c r="L43" t="s">
        <v>358</v>
      </c>
      <c r="M43" t="s">
        <v>58</v>
      </c>
      <c r="N43" t="s">
        <v>359</v>
      </c>
      <c r="O43" t="s">
        <v>60</v>
      </c>
      <c r="P43">
        <v>50</v>
      </c>
      <c r="Q43" t="s">
        <v>28</v>
      </c>
      <c r="R43">
        <v>2500</v>
      </c>
      <c r="S43">
        <v>50</v>
      </c>
      <c r="T43" t="s">
        <v>33</v>
      </c>
      <c r="U43" t="s">
        <v>163</v>
      </c>
      <c r="V43">
        <v>12</v>
      </c>
      <c r="W43">
        <v>1209</v>
      </c>
      <c r="X43" t="s">
        <v>106</v>
      </c>
      <c r="Y43">
        <v>35824128</v>
      </c>
      <c r="Z43" t="s">
        <v>924</v>
      </c>
    </row>
    <row r="44" spans="1:26" x14ac:dyDescent="0.3">
      <c r="A44" t="s">
        <v>816</v>
      </c>
      <c r="B44" s="1">
        <v>44741</v>
      </c>
      <c r="C44">
        <v>12099190</v>
      </c>
      <c r="D44" t="s">
        <v>925</v>
      </c>
      <c r="E44" t="s">
        <v>869</v>
      </c>
      <c r="F44" t="s">
        <v>926</v>
      </c>
      <c r="G44">
        <v>30</v>
      </c>
      <c r="H44" t="s">
        <v>28</v>
      </c>
      <c r="I44">
        <v>140.23733333333331</v>
      </c>
      <c r="J44">
        <v>4207.12</v>
      </c>
      <c r="K44">
        <v>140.24</v>
      </c>
      <c r="L44" t="s">
        <v>235</v>
      </c>
      <c r="M44" t="s">
        <v>236</v>
      </c>
      <c r="N44" t="s">
        <v>201</v>
      </c>
      <c r="O44" t="s">
        <v>202</v>
      </c>
      <c r="P44">
        <v>30</v>
      </c>
      <c r="Q44" t="s">
        <v>28</v>
      </c>
      <c r="R44">
        <v>4200</v>
      </c>
      <c r="S44">
        <v>140</v>
      </c>
      <c r="T44" t="s">
        <v>33</v>
      </c>
      <c r="U44" t="s">
        <v>163</v>
      </c>
      <c r="V44">
        <v>12</v>
      </c>
      <c r="W44">
        <v>1209</v>
      </c>
      <c r="X44" t="s">
        <v>106</v>
      </c>
      <c r="Y44">
        <v>35718097</v>
      </c>
      <c r="Z44" t="s">
        <v>873</v>
      </c>
    </row>
    <row r="45" spans="1:26" x14ac:dyDescent="0.3">
      <c r="A45" t="s">
        <v>852</v>
      </c>
      <c r="B45" s="1">
        <v>44742</v>
      </c>
      <c r="C45">
        <v>13021919</v>
      </c>
      <c r="D45" t="s">
        <v>927</v>
      </c>
      <c r="E45" t="s">
        <v>928</v>
      </c>
      <c r="F45" t="s">
        <v>79</v>
      </c>
      <c r="G45">
        <v>20</v>
      </c>
      <c r="H45" t="s">
        <v>28</v>
      </c>
      <c r="I45">
        <v>269.90300000000002</v>
      </c>
      <c r="J45">
        <v>5398.06</v>
      </c>
      <c r="K45">
        <v>269.89999999999998</v>
      </c>
      <c r="L45" t="s">
        <v>929</v>
      </c>
      <c r="M45" t="s">
        <v>930</v>
      </c>
      <c r="N45" t="s">
        <v>931</v>
      </c>
      <c r="O45" t="s">
        <v>202</v>
      </c>
      <c r="P45">
        <v>20</v>
      </c>
      <c r="Q45" t="s">
        <v>28</v>
      </c>
      <c r="R45">
        <v>5400</v>
      </c>
      <c r="S45">
        <v>270</v>
      </c>
      <c r="T45" t="s">
        <v>33</v>
      </c>
      <c r="U45" t="s">
        <v>351</v>
      </c>
      <c r="V45">
        <v>13</v>
      </c>
      <c r="W45">
        <v>1302</v>
      </c>
      <c r="X45" t="s">
        <v>106</v>
      </c>
      <c r="Y45">
        <v>37253038</v>
      </c>
      <c r="Z45" t="s">
        <v>932</v>
      </c>
    </row>
    <row r="46" spans="1:26" x14ac:dyDescent="0.3">
      <c r="A46" t="s">
        <v>816</v>
      </c>
      <c r="B46" s="1">
        <v>44747</v>
      </c>
      <c r="C46">
        <v>12099910</v>
      </c>
      <c r="D46" t="s">
        <v>300</v>
      </c>
      <c r="E46" t="s">
        <v>64</v>
      </c>
      <c r="F46" t="s">
        <v>486</v>
      </c>
      <c r="G46">
        <v>24</v>
      </c>
      <c r="H46" t="s">
        <v>28</v>
      </c>
      <c r="I46">
        <v>8.0904166666666661</v>
      </c>
      <c r="J46">
        <v>194.17</v>
      </c>
      <c r="K46">
        <v>8.09</v>
      </c>
      <c r="L46" t="s">
        <v>189</v>
      </c>
      <c r="M46" t="s">
        <v>190</v>
      </c>
      <c r="N46" t="s">
        <v>89</v>
      </c>
      <c r="O46" t="s">
        <v>32</v>
      </c>
      <c r="P46">
        <v>24</v>
      </c>
      <c r="Q46" t="s">
        <v>28</v>
      </c>
      <c r="R46">
        <v>196.32</v>
      </c>
      <c r="S46">
        <v>8.18</v>
      </c>
      <c r="T46" t="s">
        <v>33</v>
      </c>
      <c r="U46" t="s">
        <v>163</v>
      </c>
      <c r="V46">
        <v>12</v>
      </c>
      <c r="W46">
        <v>1209</v>
      </c>
      <c r="X46" t="s">
        <v>115</v>
      </c>
      <c r="Y46">
        <v>38371119</v>
      </c>
      <c r="Z46" t="s">
        <v>68</v>
      </c>
    </row>
    <row r="47" spans="1:26" x14ac:dyDescent="0.3">
      <c r="A47" t="s">
        <v>816</v>
      </c>
      <c r="B47" s="1">
        <v>44757</v>
      </c>
      <c r="C47">
        <v>12099190</v>
      </c>
      <c r="D47" t="s">
        <v>933</v>
      </c>
      <c r="E47" t="s">
        <v>934</v>
      </c>
      <c r="F47" t="s">
        <v>935</v>
      </c>
      <c r="G47">
        <v>1</v>
      </c>
      <c r="H47" t="s">
        <v>28</v>
      </c>
      <c r="I47">
        <v>51.15</v>
      </c>
      <c r="J47">
        <v>51.15</v>
      </c>
      <c r="K47">
        <v>51.15</v>
      </c>
      <c r="L47" t="s">
        <v>80</v>
      </c>
      <c r="M47" t="s">
        <v>81</v>
      </c>
      <c r="N47" t="s">
        <v>401</v>
      </c>
      <c r="O47" t="s">
        <v>32</v>
      </c>
      <c r="P47">
        <v>1</v>
      </c>
      <c r="Q47" t="s">
        <v>28</v>
      </c>
      <c r="R47">
        <v>45</v>
      </c>
      <c r="S47">
        <v>45</v>
      </c>
      <c r="T47" t="s">
        <v>33</v>
      </c>
      <c r="U47" t="s">
        <v>163</v>
      </c>
      <c r="V47">
        <v>12</v>
      </c>
      <c r="W47">
        <v>1209</v>
      </c>
      <c r="X47" t="s">
        <v>115</v>
      </c>
      <c r="Y47">
        <v>41355827</v>
      </c>
      <c r="Z47" t="s">
        <v>936</v>
      </c>
    </row>
    <row r="48" spans="1:26" x14ac:dyDescent="0.3">
      <c r="A48" t="s">
        <v>816</v>
      </c>
      <c r="B48" s="1">
        <v>44758</v>
      </c>
      <c r="C48">
        <v>12099190</v>
      </c>
      <c r="D48" t="s">
        <v>937</v>
      </c>
      <c r="E48" t="s">
        <v>848</v>
      </c>
      <c r="F48" t="s">
        <v>938</v>
      </c>
      <c r="G48">
        <v>60</v>
      </c>
      <c r="H48" t="s">
        <v>28</v>
      </c>
      <c r="I48">
        <v>18.54216666666667</v>
      </c>
      <c r="J48">
        <v>1112.53</v>
      </c>
      <c r="K48">
        <v>18.54</v>
      </c>
      <c r="L48" t="s">
        <v>939</v>
      </c>
      <c r="M48" t="s">
        <v>30</v>
      </c>
      <c r="N48" t="s">
        <v>294</v>
      </c>
      <c r="O48" t="s">
        <v>202</v>
      </c>
      <c r="P48">
        <v>60</v>
      </c>
      <c r="Q48" t="s">
        <v>28</v>
      </c>
      <c r="R48">
        <v>1050.5999999999999</v>
      </c>
      <c r="S48">
        <v>17.510000000000002</v>
      </c>
      <c r="T48" t="s">
        <v>33</v>
      </c>
      <c r="U48" t="s">
        <v>163</v>
      </c>
      <c r="V48">
        <v>12</v>
      </c>
      <c r="W48">
        <v>1209</v>
      </c>
      <c r="X48" t="s">
        <v>115</v>
      </c>
      <c r="Y48">
        <v>39088238</v>
      </c>
      <c r="Z48" t="s">
        <v>851</v>
      </c>
    </row>
    <row r="49" spans="1:26" x14ac:dyDescent="0.3">
      <c r="A49" t="s">
        <v>816</v>
      </c>
      <c r="B49" s="1">
        <v>44758</v>
      </c>
      <c r="C49">
        <v>12099190</v>
      </c>
      <c r="D49" t="s">
        <v>940</v>
      </c>
      <c r="E49" t="s">
        <v>848</v>
      </c>
      <c r="F49" t="s">
        <v>938</v>
      </c>
      <c r="G49">
        <v>60</v>
      </c>
      <c r="H49" t="s">
        <v>28</v>
      </c>
      <c r="I49">
        <v>18.54216666666667</v>
      </c>
      <c r="J49">
        <v>1112.53</v>
      </c>
      <c r="K49">
        <v>18.54</v>
      </c>
      <c r="L49" t="s">
        <v>939</v>
      </c>
      <c r="M49" t="s">
        <v>30</v>
      </c>
      <c r="N49" t="s">
        <v>294</v>
      </c>
      <c r="O49" t="s">
        <v>202</v>
      </c>
      <c r="P49">
        <v>60</v>
      </c>
      <c r="Q49" t="s">
        <v>28</v>
      </c>
      <c r="R49">
        <v>1050.5999999999999</v>
      </c>
      <c r="S49">
        <v>17.510000000000002</v>
      </c>
      <c r="T49" t="s">
        <v>33</v>
      </c>
      <c r="U49" t="s">
        <v>163</v>
      </c>
      <c r="V49">
        <v>12</v>
      </c>
      <c r="W49">
        <v>1209</v>
      </c>
      <c r="X49" t="s">
        <v>115</v>
      </c>
      <c r="Y49">
        <v>39089419</v>
      </c>
      <c r="Z49" t="s">
        <v>851</v>
      </c>
    </row>
    <row r="50" spans="1:26" x14ac:dyDescent="0.3">
      <c r="A50" t="s">
        <v>852</v>
      </c>
      <c r="B50" s="1">
        <v>44758</v>
      </c>
      <c r="C50">
        <v>13021919</v>
      </c>
      <c r="D50" t="s">
        <v>941</v>
      </c>
      <c r="E50" t="s">
        <v>942</v>
      </c>
      <c r="F50" t="s">
        <v>943</v>
      </c>
      <c r="G50">
        <v>40</v>
      </c>
      <c r="H50" t="s">
        <v>28</v>
      </c>
      <c r="I50">
        <v>41.56</v>
      </c>
      <c r="J50">
        <v>1662.4</v>
      </c>
      <c r="K50">
        <v>41.56</v>
      </c>
      <c r="L50" t="s">
        <v>944</v>
      </c>
      <c r="M50" t="s">
        <v>945</v>
      </c>
      <c r="N50" t="s">
        <v>294</v>
      </c>
      <c r="O50" t="s">
        <v>202</v>
      </c>
      <c r="P50">
        <v>40</v>
      </c>
      <c r="Q50" t="s">
        <v>28</v>
      </c>
      <c r="R50">
        <v>1880</v>
      </c>
      <c r="S50">
        <v>47</v>
      </c>
      <c r="T50" t="s">
        <v>33</v>
      </c>
      <c r="U50" t="s">
        <v>351</v>
      </c>
      <c r="V50">
        <v>13</v>
      </c>
      <c r="W50">
        <v>1302</v>
      </c>
      <c r="X50" t="s">
        <v>115</v>
      </c>
      <c r="Y50">
        <v>39077475</v>
      </c>
      <c r="Z50" t="s">
        <v>946</v>
      </c>
    </row>
    <row r="51" spans="1:26" x14ac:dyDescent="0.3">
      <c r="A51" t="s">
        <v>816</v>
      </c>
      <c r="B51" s="1">
        <v>44758</v>
      </c>
      <c r="C51">
        <v>12099190</v>
      </c>
      <c r="D51" t="s">
        <v>947</v>
      </c>
      <c r="E51" t="s">
        <v>869</v>
      </c>
      <c r="F51" t="s">
        <v>948</v>
      </c>
      <c r="G51">
        <v>515.5</v>
      </c>
      <c r="H51" t="s">
        <v>28</v>
      </c>
      <c r="I51">
        <v>80.17443258971872</v>
      </c>
      <c r="J51">
        <v>41329.919999999998</v>
      </c>
      <c r="K51">
        <v>80.17</v>
      </c>
      <c r="L51" t="s">
        <v>949</v>
      </c>
      <c r="M51" t="s">
        <v>252</v>
      </c>
      <c r="N51" t="s">
        <v>201</v>
      </c>
      <c r="O51" t="s">
        <v>202</v>
      </c>
      <c r="P51">
        <v>515.5</v>
      </c>
      <c r="Q51" t="s">
        <v>28</v>
      </c>
      <c r="R51">
        <v>41240</v>
      </c>
      <c r="S51">
        <v>80</v>
      </c>
      <c r="T51" t="s">
        <v>33</v>
      </c>
      <c r="U51" t="s">
        <v>163</v>
      </c>
      <c r="V51">
        <v>12</v>
      </c>
      <c r="W51">
        <v>1209</v>
      </c>
      <c r="X51" t="s">
        <v>115</v>
      </c>
      <c r="Y51">
        <v>38667677</v>
      </c>
      <c r="Z51" t="s">
        <v>873</v>
      </c>
    </row>
    <row r="52" spans="1:26" x14ac:dyDescent="0.3">
      <c r="A52" t="s">
        <v>816</v>
      </c>
      <c r="B52" s="1">
        <v>44765</v>
      </c>
      <c r="C52">
        <v>12099190</v>
      </c>
      <c r="D52" t="s">
        <v>937</v>
      </c>
      <c r="E52" t="s">
        <v>848</v>
      </c>
      <c r="F52" t="s">
        <v>950</v>
      </c>
      <c r="G52">
        <v>100</v>
      </c>
      <c r="H52" t="s">
        <v>28</v>
      </c>
      <c r="I52">
        <v>18.3081</v>
      </c>
      <c r="J52">
        <v>1830.81</v>
      </c>
      <c r="K52">
        <v>18.309999999999999</v>
      </c>
      <c r="L52" t="s">
        <v>850</v>
      </c>
      <c r="M52" t="s">
        <v>157</v>
      </c>
      <c r="N52" t="s">
        <v>294</v>
      </c>
      <c r="O52" t="s">
        <v>202</v>
      </c>
      <c r="P52">
        <v>100</v>
      </c>
      <c r="Q52" t="s">
        <v>28</v>
      </c>
      <c r="R52">
        <v>1751</v>
      </c>
      <c r="S52">
        <v>17.510000000000002</v>
      </c>
      <c r="T52" t="s">
        <v>33</v>
      </c>
      <c r="U52" t="s">
        <v>163</v>
      </c>
      <c r="V52">
        <v>12</v>
      </c>
      <c r="W52">
        <v>1209</v>
      </c>
      <c r="X52" t="s">
        <v>115</v>
      </c>
      <c r="Y52">
        <v>40574247</v>
      </c>
      <c r="Z52" t="s">
        <v>851</v>
      </c>
    </row>
    <row r="53" spans="1:26" x14ac:dyDescent="0.3">
      <c r="A53" t="s">
        <v>816</v>
      </c>
      <c r="B53" s="1">
        <v>44778</v>
      </c>
      <c r="C53">
        <v>12099910</v>
      </c>
      <c r="D53" t="s">
        <v>951</v>
      </c>
      <c r="E53" t="s">
        <v>952</v>
      </c>
      <c r="F53" t="s">
        <v>953</v>
      </c>
      <c r="G53">
        <v>34</v>
      </c>
      <c r="H53" t="s">
        <v>28</v>
      </c>
      <c r="I53">
        <v>94.32558823529412</v>
      </c>
      <c r="J53">
        <v>3207.07</v>
      </c>
      <c r="K53">
        <v>94.33</v>
      </c>
      <c r="L53" t="s">
        <v>954</v>
      </c>
      <c r="M53" t="s">
        <v>58</v>
      </c>
      <c r="N53" t="s">
        <v>201</v>
      </c>
      <c r="O53" t="s">
        <v>202</v>
      </c>
      <c r="P53">
        <v>34</v>
      </c>
      <c r="Q53" t="s">
        <v>28</v>
      </c>
      <c r="R53">
        <v>3060</v>
      </c>
      <c r="S53">
        <v>90</v>
      </c>
      <c r="T53" t="s">
        <v>33</v>
      </c>
      <c r="U53" t="s">
        <v>163</v>
      </c>
      <c r="V53">
        <v>12</v>
      </c>
      <c r="W53">
        <v>1209</v>
      </c>
      <c r="X53" t="s">
        <v>955</v>
      </c>
      <c r="Y53">
        <v>42697494</v>
      </c>
      <c r="Z53" t="s">
        <v>956</v>
      </c>
    </row>
    <row r="54" spans="1:26" x14ac:dyDescent="0.3">
      <c r="A54" t="s">
        <v>816</v>
      </c>
      <c r="B54" s="1">
        <v>44778</v>
      </c>
      <c r="C54">
        <v>12099910</v>
      </c>
      <c r="D54" t="s">
        <v>951</v>
      </c>
      <c r="E54" t="s">
        <v>952</v>
      </c>
      <c r="F54" t="s">
        <v>953</v>
      </c>
      <c r="G54">
        <v>5</v>
      </c>
      <c r="H54" t="s">
        <v>28</v>
      </c>
      <c r="I54">
        <v>93.433999999999997</v>
      </c>
      <c r="J54">
        <v>467.17</v>
      </c>
      <c r="K54">
        <v>93.43</v>
      </c>
      <c r="L54" t="s">
        <v>954</v>
      </c>
      <c r="M54" t="s">
        <v>58</v>
      </c>
      <c r="N54" t="s">
        <v>201</v>
      </c>
      <c r="O54" t="s">
        <v>202</v>
      </c>
      <c r="P54">
        <v>5</v>
      </c>
      <c r="Q54" t="s">
        <v>28</v>
      </c>
      <c r="R54">
        <v>450</v>
      </c>
      <c r="S54">
        <v>90</v>
      </c>
      <c r="T54" t="s">
        <v>33</v>
      </c>
      <c r="U54" t="s">
        <v>163</v>
      </c>
      <c r="V54">
        <v>12</v>
      </c>
      <c r="W54">
        <v>1209</v>
      </c>
      <c r="X54" t="s">
        <v>955</v>
      </c>
      <c r="Y54">
        <v>42695974</v>
      </c>
      <c r="Z54" t="s">
        <v>956</v>
      </c>
    </row>
    <row r="55" spans="1:26" x14ac:dyDescent="0.3">
      <c r="A55" t="s">
        <v>816</v>
      </c>
      <c r="B55" s="1">
        <v>44785</v>
      </c>
      <c r="C55">
        <v>12099190</v>
      </c>
      <c r="D55" t="s">
        <v>957</v>
      </c>
      <c r="E55" t="s">
        <v>958</v>
      </c>
      <c r="F55" t="s">
        <v>959</v>
      </c>
      <c r="G55">
        <v>300</v>
      </c>
      <c r="H55" t="s">
        <v>28</v>
      </c>
      <c r="I55">
        <v>50.498633333333331</v>
      </c>
      <c r="J55">
        <v>15149.59</v>
      </c>
      <c r="K55">
        <v>50.5</v>
      </c>
      <c r="L55" t="s">
        <v>29</v>
      </c>
      <c r="M55" t="s">
        <v>30</v>
      </c>
      <c r="N55" t="s">
        <v>89</v>
      </c>
      <c r="O55" t="s">
        <v>32</v>
      </c>
      <c r="P55">
        <v>300</v>
      </c>
      <c r="Q55" t="s">
        <v>28</v>
      </c>
      <c r="R55">
        <v>15150</v>
      </c>
      <c r="S55">
        <v>50.5</v>
      </c>
      <c r="T55" t="s">
        <v>33</v>
      </c>
      <c r="U55" t="s">
        <v>163</v>
      </c>
      <c r="V55">
        <v>12</v>
      </c>
      <c r="W55">
        <v>1209</v>
      </c>
      <c r="X55" t="s">
        <v>955</v>
      </c>
      <c r="Y55">
        <v>43885365</v>
      </c>
      <c r="Z55" t="s">
        <v>960</v>
      </c>
    </row>
    <row r="56" spans="1:26" x14ac:dyDescent="0.3">
      <c r="A56" t="s">
        <v>816</v>
      </c>
      <c r="B56" s="1">
        <v>44802</v>
      </c>
      <c r="C56">
        <v>12099190</v>
      </c>
      <c r="D56" t="s">
        <v>961</v>
      </c>
      <c r="E56" t="s">
        <v>830</v>
      </c>
      <c r="F56" t="s">
        <v>831</v>
      </c>
      <c r="G56">
        <v>5</v>
      </c>
      <c r="H56" t="s">
        <v>28</v>
      </c>
      <c r="I56">
        <v>15.228</v>
      </c>
      <c r="J56">
        <v>76.14</v>
      </c>
      <c r="K56">
        <v>15.23</v>
      </c>
      <c r="L56" t="s">
        <v>57</v>
      </c>
      <c r="M56" t="s">
        <v>58</v>
      </c>
      <c r="N56" t="s">
        <v>962</v>
      </c>
      <c r="O56" t="s">
        <v>60</v>
      </c>
      <c r="P56">
        <v>5</v>
      </c>
      <c r="Q56" t="s">
        <v>28</v>
      </c>
      <c r="R56">
        <v>71.349999999999994</v>
      </c>
      <c r="S56">
        <v>14.27</v>
      </c>
      <c r="T56" t="s">
        <v>33</v>
      </c>
      <c r="U56" t="s">
        <v>163</v>
      </c>
      <c r="V56">
        <v>12</v>
      </c>
      <c r="W56">
        <v>1209</v>
      </c>
      <c r="X56" t="s">
        <v>955</v>
      </c>
      <c r="Y56">
        <v>45862742</v>
      </c>
      <c r="Z56" t="s">
        <v>832</v>
      </c>
    </row>
    <row r="57" spans="1:26" x14ac:dyDescent="0.3">
      <c r="A57" t="s">
        <v>816</v>
      </c>
      <c r="B57" s="1">
        <v>44803</v>
      </c>
      <c r="C57">
        <v>12099190</v>
      </c>
      <c r="D57" t="s">
        <v>132</v>
      </c>
      <c r="E57" t="s">
        <v>963</v>
      </c>
      <c r="F57" t="s">
        <v>964</v>
      </c>
      <c r="G57">
        <v>450</v>
      </c>
      <c r="H57" t="s">
        <v>28</v>
      </c>
      <c r="I57">
        <v>2.002266666666666</v>
      </c>
      <c r="J57">
        <v>901.02</v>
      </c>
      <c r="K57">
        <v>2</v>
      </c>
      <c r="L57" t="s">
        <v>57</v>
      </c>
      <c r="M57" t="s">
        <v>58</v>
      </c>
      <c r="N57" t="s">
        <v>962</v>
      </c>
      <c r="O57" t="s">
        <v>60</v>
      </c>
      <c r="P57">
        <v>450</v>
      </c>
      <c r="Q57" t="s">
        <v>28</v>
      </c>
      <c r="R57">
        <v>900</v>
      </c>
      <c r="S57">
        <v>2</v>
      </c>
      <c r="T57" t="s">
        <v>33</v>
      </c>
      <c r="U57" t="s">
        <v>163</v>
      </c>
      <c r="V57">
        <v>12</v>
      </c>
      <c r="W57">
        <v>1209</v>
      </c>
      <c r="X57" t="s">
        <v>955</v>
      </c>
      <c r="Y57">
        <v>45859162</v>
      </c>
      <c r="Z57" t="s">
        <v>965</v>
      </c>
    </row>
    <row r="58" spans="1:26" x14ac:dyDescent="0.3">
      <c r="A58" t="s">
        <v>816</v>
      </c>
      <c r="B58" s="1">
        <v>44808</v>
      </c>
      <c r="C58">
        <v>12099190</v>
      </c>
      <c r="D58" t="s">
        <v>966</v>
      </c>
      <c r="E58" t="s">
        <v>834</v>
      </c>
      <c r="F58" t="s">
        <v>835</v>
      </c>
      <c r="G58">
        <v>892</v>
      </c>
      <c r="H58" t="s">
        <v>28</v>
      </c>
      <c r="I58">
        <v>44.586640531962779</v>
      </c>
      <c r="J58">
        <v>39771.283354510801</v>
      </c>
      <c r="K58">
        <v>44.587000000000003</v>
      </c>
      <c r="L58" t="s">
        <v>826</v>
      </c>
      <c r="M58" t="s">
        <v>827</v>
      </c>
      <c r="N58" t="s">
        <v>51</v>
      </c>
      <c r="O58" t="s">
        <v>32</v>
      </c>
      <c r="P58">
        <v>892</v>
      </c>
      <c r="Q58" t="s">
        <v>28</v>
      </c>
      <c r="R58">
        <v>39248</v>
      </c>
      <c r="S58">
        <v>44</v>
      </c>
      <c r="T58" t="s">
        <v>33</v>
      </c>
      <c r="U58" t="s">
        <v>163</v>
      </c>
      <c r="V58">
        <v>12</v>
      </c>
      <c r="W58">
        <v>1209</v>
      </c>
      <c r="X58" t="s">
        <v>131</v>
      </c>
      <c r="Y58">
        <v>47261236</v>
      </c>
      <c r="Z58" t="s">
        <v>836</v>
      </c>
    </row>
    <row r="59" spans="1:26" x14ac:dyDescent="0.3">
      <c r="A59" t="s">
        <v>816</v>
      </c>
      <c r="B59" s="1">
        <v>44827</v>
      </c>
      <c r="C59">
        <v>12099190</v>
      </c>
      <c r="D59" t="s">
        <v>967</v>
      </c>
      <c r="E59" t="s">
        <v>830</v>
      </c>
      <c r="F59" t="s">
        <v>831</v>
      </c>
      <c r="G59">
        <v>7.7</v>
      </c>
      <c r="H59" t="s">
        <v>28</v>
      </c>
      <c r="I59">
        <v>59.406920906285578</v>
      </c>
      <c r="J59">
        <v>457.43329097839899</v>
      </c>
      <c r="K59">
        <v>59.406999999999996</v>
      </c>
      <c r="L59" t="s">
        <v>57</v>
      </c>
      <c r="M59" t="s">
        <v>58</v>
      </c>
      <c r="N59" t="s">
        <v>59</v>
      </c>
      <c r="O59" t="s">
        <v>60</v>
      </c>
      <c r="P59">
        <v>7.7</v>
      </c>
      <c r="Q59" t="s">
        <v>28</v>
      </c>
      <c r="R59">
        <v>462.08</v>
      </c>
      <c r="S59">
        <v>60.01</v>
      </c>
      <c r="T59" t="s">
        <v>33</v>
      </c>
      <c r="U59" t="s">
        <v>163</v>
      </c>
      <c r="V59">
        <v>12</v>
      </c>
      <c r="W59">
        <v>1209</v>
      </c>
      <c r="X59" t="s">
        <v>131</v>
      </c>
      <c r="Y59">
        <v>50583062</v>
      </c>
      <c r="Z59" t="s">
        <v>832</v>
      </c>
    </row>
    <row r="60" spans="1:26" x14ac:dyDescent="0.3">
      <c r="A60" t="s">
        <v>852</v>
      </c>
      <c r="B60" s="1">
        <v>44828</v>
      </c>
      <c r="C60">
        <v>33011990</v>
      </c>
      <c r="D60" t="s">
        <v>968</v>
      </c>
      <c r="E60" t="s">
        <v>969</v>
      </c>
      <c r="F60" t="s">
        <v>79</v>
      </c>
      <c r="G60">
        <v>25</v>
      </c>
      <c r="H60" t="s">
        <v>28</v>
      </c>
      <c r="I60">
        <v>19.313850063532399</v>
      </c>
      <c r="J60">
        <v>482.84625158831</v>
      </c>
      <c r="K60">
        <v>19.314</v>
      </c>
      <c r="L60" t="s">
        <v>251</v>
      </c>
      <c r="M60" t="s">
        <v>252</v>
      </c>
      <c r="N60" t="s">
        <v>906</v>
      </c>
      <c r="O60" t="s">
        <v>202</v>
      </c>
      <c r="P60">
        <v>25</v>
      </c>
      <c r="Q60" t="s">
        <v>28</v>
      </c>
      <c r="R60">
        <v>475</v>
      </c>
      <c r="S60">
        <v>19</v>
      </c>
      <c r="T60" t="s">
        <v>33</v>
      </c>
      <c r="U60" t="s">
        <v>970</v>
      </c>
      <c r="V60">
        <v>33</v>
      </c>
      <c r="W60">
        <v>3301</v>
      </c>
      <c r="X60" t="s">
        <v>131</v>
      </c>
      <c r="Y60">
        <v>48967941</v>
      </c>
      <c r="Z60" t="s">
        <v>971</v>
      </c>
    </row>
    <row r="61" spans="1:26" x14ac:dyDescent="0.3">
      <c r="A61" t="s">
        <v>816</v>
      </c>
      <c r="B61" s="1">
        <v>44831</v>
      </c>
      <c r="C61">
        <v>12099190</v>
      </c>
      <c r="D61" t="s">
        <v>972</v>
      </c>
      <c r="E61" t="s">
        <v>934</v>
      </c>
      <c r="F61" t="s">
        <v>973</v>
      </c>
      <c r="G61">
        <v>10</v>
      </c>
      <c r="H61" t="s">
        <v>28</v>
      </c>
      <c r="I61">
        <v>44.47268106734434</v>
      </c>
      <c r="J61">
        <v>444.72681067344342</v>
      </c>
      <c r="K61">
        <v>44.472999999999999</v>
      </c>
      <c r="L61" t="s">
        <v>358</v>
      </c>
      <c r="M61" t="s">
        <v>58</v>
      </c>
      <c r="N61" t="s">
        <v>359</v>
      </c>
      <c r="O61" t="s">
        <v>60</v>
      </c>
      <c r="P61">
        <v>10</v>
      </c>
      <c r="Q61" t="s">
        <v>28</v>
      </c>
      <c r="R61">
        <v>450</v>
      </c>
      <c r="S61">
        <v>45</v>
      </c>
      <c r="T61" t="s">
        <v>33</v>
      </c>
      <c r="U61" t="s">
        <v>163</v>
      </c>
      <c r="V61">
        <v>12</v>
      </c>
      <c r="W61">
        <v>1209</v>
      </c>
      <c r="X61" t="s">
        <v>131</v>
      </c>
      <c r="Y61">
        <v>48795198</v>
      </c>
      <c r="Z61" t="s">
        <v>936</v>
      </c>
    </row>
    <row r="62" spans="1:26" x14ac:dyDescent="0.3">
      <c r="A62" t="s">
        <v>816</v>
      </c>
      <c r="B62" s="1">
        <v>44832</v>
      </c>
      <c r="C62">
        <v>12099190</v>
      </c>
      <c r="D62" t="s">
        <v>974</v>
      </c>
      <c r="E62" t="s">
        <v>934</v>
      </c>
      <c r="F62" t="s">
        <v>973</v>
      </c>
      <c r="G62">
        <v>10</v>
      </c>
      <c r="H62" t="s">
        <v>28</v>
      </c>
      <c r="I62">
        <v>44.47268106734434</v>
      </c>
      <c r="J62">
        <v>444.72681067344342</v>
      </c>
      <c r="K62">
        <v>44.472999999999999</v>
      </c>
      <c r="L62" t="s">
        <v>358</v>
      </c>
      <c r="M62" t="s">
        <v>58</v>
      </c>
      <c r="N62" t="s">
        <v>359</v>
      </c>
      <c r="O62" t="s">
        <v>60</v>
      </c>
      <c r="P62">
        <v>10</v>
      </c>
      <c r="Q62" t="s">
        <v>28</v>
      </c>
      <c r="R62">
        <v>450</v>
      </c>
      <c r="S62">
        <v>45</v>
      </c>
      <c r="T62" t="s">
        <v>33</v>
      </c>
      <c r="U62" t="s">
        <v>163</v>
      </c>
      <c r="V62">
        <v>12</v>
      </c>
      <c r="W62">
        <v>1209</v>
      </c>
      <c r="X62" t="s">
        <v>131</v>
      </c>
      <c r="Y62">
        <v>49392510</v>
      </c>
      <c r="Z62" t="s">
        <v>936</v>
      </c>
    </row>
    <row r="63" spans="1:26" x14ac:dyDescent="0.3">
      <c r="A63" t="s">
        <v>816</v>
      </c>
      <c r="B63" s="1">
        <v>44833</v>
      </c>
      <c r="C63">
        <v>12099190</v>
      </c>
      <c r="D63" t="s">
        <v>975</v>
      </c>
      <c r="E63" t="s">
        <v>848</v>
      </c>
      <c r="F63" t="s">
        <v>950</v>
      </c>
      <c r="G63">
        <v>150</v>
      </c>
      <c r="H63" t="s">
        <v>28</v>
      </c>
      <c r="I63">
        <v>24.057602710715798</v>
      </c>
      <c r="J63">
        <v>3608.6404066073701</v>
      </c>
      <c r="K63">
        <v>24.058</v>
      </c>
      <c r="L63" t="s">
        <v>850</v>
      </c>
      <c r="M63" t="s">
        <v>157</v>
      </c>
      <c r="N63" t="s">
        <v>294</v>
      </c>
      <c r="O63" t="s">
        <v>202</v>
      </c>
      <c r="P63">
        <v>150</v>
      </c>
      <c r="Q63" t="s">
        <v>28</v>
      </c>
      <c r="R63">
        <v>2607</v>
      </c>
      <c r="S63">
        <v>17.38</v>
      </c>
      <c r="T63" t="s">
        <v>33</v>
      </c>
      <c r="U63" t="s">
        <v>163</v>
      </c>
      <c r="V63">
        <v>12</v>
      </c>
      <c r="W63">
        <v>1209</v>
      </c>
      <c r="X63" t="s">
        <v>131</v>
      </c>
      <c r="Y63">
        <v>48761305</v>
      </c>
      <c r="Z63" t="s">
        <v>851</v>
      </c>
    </row>
    <row r="64" spans="1:26" x14ac:dyDescent="0.3">
      <c r="A64" t="s">
        <v>816</v>
      </c>
      <c r="B64" s="1">
        <v>44833</v>
      </c>
      <c r="C64">
        <v>12099190</v>
      </c>
      <c r="D64" t="s">
        <v>976</v>
      </c>
      <c r="E64" t="s">
        <v>848</v>
      </c>
      <c r="F64" t="s">
        <v>950</v>
      </c>
      <c r="G64">
        <v>50</v>
      </c>
      <c r="H64" t="s">
        <v>28</v>
      </c>
      <c r="I64">
        <v>30.749682337992379</v>
      </c>
      <c r="J64">
        <v>1537.484116899619</v>
      </c>
      <c r="K64">
        <v>30.75</v>
      </c>
      <c r="L64" t="s">
        <v>850</v>
      </c>
      <c r="M64" t="s">
        <v>157</v>
      </c>
      <c r="N64" t="s">
        <v>294</v>
      </c>
      <c r="O64" t="s">
        <v>202</v>
      </c>
      <c r="P64">
        <v>50</v>
      </c>
      <c r="Q64" t="s">
        <v>28</v>
      </c>
      <c r="R64">
        <v>1109.5</v>
      </c>
      <c r="S64">
        <v>22.19</v>
      </c>
      <c r="T64" t="s">
        <v>33</v>
      </c>
      <c r="U64" t="s">
        <v>163</v>
      </c>
      <c r="V64">
        <v>12</v>
      </c>
      <c r="W64">
        <v>1209</v>
      </c>
      <c r="X64" t="s">
        <v>131</v>
      </c>
      <c r="Y64">
        <v>48761625</v>
      </c>
      <c r="Z64" t="s">
        <v>851</v>
      </c>
    </row>
    <row r="65" spans="1:26" x14ac:dyDescent="0.3">
      <c r="A65" t="s">
        <v>816</v>
      </c>
      <c r="B65" s="1">
        <v>44833</v>
      </c>
      <c r="C65">
        <v>12099190</v>
      </c>
      <c r="D65" t="s">
        <v>977</v>
      </c>
      <c r="E65" t="s">
        <v>848</v>
      </c>
      <c r="F65" t="s">
        <v>978</v>
      </c>
      <c r="G65">
        <v>20</v>
      </c>
      <c r="H65" t="s">
        <v>28</v>
      </c>
      <c r="I65">
        <v>18.424396442185511</v>
      </c>
      <c r="J65">
        <v>368.48792884371028</v>
      </c>
      <c r="K65">
        <v>18.423999999999999</v>
      </c>
      <c r="L65" t="s">
        <v>850</v>
      </c>
      <c r="M65" t="s">
        <v>157</v>
      </c>
      <c r="N65" t="s">
        <v>294</v>
      </c>
      <c r="O65" t="s">
        <v>202</v>
      </c>
      <c r="P65">
        <v>20</v>
      </c>
      <c r="Q65" t="s">
        <v>28</v>
      </c>
      <c r="R65">
        <v>347.6</v>
      </c>
      <c r="S65">
        <v>17.38</v>
      </c>
      <c r="T65" t="s">
        <v>33</v>
      </c>
      <c r="U65" t="s">
        <v>163</v>
      </c>
      <c r="V65">
        <v>12</v>
      </c>
      <c r="W65">
        <v>1209</v>
      </c>
      <c r="X65" t="s">
        <v>131</v>
      </c>
      <c r="Y65">
        <v>48759576</v>
      </c>
      <c r="Z65" t="s">
        <v>851</v>
      </c>
    </row>
    <row r="66" spans="1:26" x14ac:dyDescent="0.3">
      <c r="A66" t="s">
        <v>816</v>
      </c>
      <c r="B66" s="1">
        <v>44833</v>
      </c>
      <c r="C66">
        <v>12099190</v>
      </c>
      <c r="D66" t="s">
        <v>979</v>
      </c>
      <c r="E66" t="s">
        <v>848</v>
      </c>
      <c r="F66" t="s">
        <v>950</v>
      </c>
      <c r="G66">
        <v>50</v>
      </c>
      <c r="H66" t="s">
        <v>28</v>
      </c>
      <c r="I66">
        <v>24.904701397712831</v>
      </c>
      <c r="J66">
        <v>1245.2350698856419</v>
      </c>
      <c r="K66">
        <v>24.905000000000001</v>
      </c>
      <c r="L66" t="s">
        <v>850</v>
      </c>
      <c r="M66" t="s">
        <v>157</v>
      </c>
      <c r="N66" t="s">
        <v>294</v>
      </c>
      <c r="O66" t="s">
        <v>202</v>
      </c>
      <c r="P66">
        <v>50</v>
      </c>
      <c r="Q66" t="s">
        <v>28</v>
      </c>
      <c r="R66">
        <v>903</v>
      </c>
      <c r="S66">
        <v>18.059999999999999</v>
      </c>
      <c r="T66" t="s">
        <v>33</v>
      </c>
      <c r="U66" t="s">
        <v>163</v>
      </c>
      <c r="V66">
        <v>12</v>
      </c>
      <c r="W66">
        <v>1209</v>
      </c>
      <c r="X66" t="s">
        <v>131</v>
      </c>
      <c r="Y66">
        <v>48761638</v>
      </c>
      <c r="Z66" t="s">
        <v>851</v>
      </c>
    </row>
    <row r="67" spans="1:26" x14ac:dyDescent="0.3">
      <c r="A67" t="s">
        <v>816</v>
      </c>
      <c r="B67" s="1">
        <v>44833</v>
      </c>
      <c r="C67">
        <v>12099190</v>
      </c>
      <c r="D67" t="s">
        <v>980</v>
      </c>
      <c r="E67" t="s">
        <v>869</v>
      </c>
      <c r="F67" t="s">
        <v>981</v>
      </c>
      <c r="G67">
        <v>200.9</v>
      </c>
      <c r="H67" t="s">
        <v>28</v>
      </c>
      <c r="I67">
        <v>51.167459266844297</v>
      </c>
      <c r="J67">
        <v>10279.54256670902</v>
      </c>
      <c r="K67">
        <v>51.167000000000002</v>
      </c>
      <c r="L67" t="s">
        <v>982</v>
      </c>
      <c r="M67" t="s">
        <v>123</v>
      </c>
      <c r="N67" t="s">
        <v>201</v>
      </c>
      <c r="O67" t="s">
        <v>202</v>
      </c>
      <c r="P67">
        <v>200.9</v>
      </c>
      <c r="Q67" t="s">
        <v>28</v>
      </c>
      <c r="R67">
        <v>10045</v>
      </c>
      <c r="S67">
        <v>50</v>
      </c>
      <c r="T67" t="s">
        <v>33</v>
      </c>
      <c r="U67" t="s">
        <v>163</v>
      </c>
      <c r="V67">
        <v>12</v>
      </c>
      <c r="W67">
        <v>1209</v>
      </c>
      <c r="X67" t="s">
        <v>131</v>
      </c>
      <c r="Y67">
        <v>49345580</v>
      </c>
      <c r="Z67" t="s">
        <v>873</v>
      </c>
    </row>
    <row r="68" spans="1:26" x14ac:dyDescent="0.3">
      <c r="A68" t="s">
        <v>816</v>
      </c>
      <c r="B68" s="1">
        <v>44836</v>
      </c>
      <c r="C68">
        <v>12099910</v>
      </c>
      <c r="D68" t="s">
        <v>983</v>
      </c>
      <c r="E68" t="s">
        <v>984</v>
      </c>
      <c r="F68" t="s">
        <v>79</v>
      </c>
      <c r="G68">
        <v>0.03</v>
      </c>
      <c r="H68" t="s">
        <v>28</v>
      </c>
      <c r="I68">
        <v>0</v>
      </c>
      <c r="J68">
        <v>0</v>
      </c>
      <c r="K68">
        <v>0</v>
      </c>
      <c r="L68" t="s">
        <v>66</v>
      </c>
      <c r="M68" t="s">
        <v>81</v>
      </c>
      <c r="N68" t="s">
        <v>294</v>
      </c>
      <c r="O68" t="s">
        <v>202</v>
      </c>
      <c r="P68">
        <v>30</v>
      </c>
      <c r="Q68" t="s">
        <v>985</v>
      </c>
      <c r="R68">
        <v>0.3</v>
      </c>
      <c r="S68">
        <v>0.01</v>
      </c>
      <c r="T68" t="s">
        <v>33</v>
      </c>
      <c r="U68" t="s">
        <v>163</v>
      </c>
      <c r="V68">
        <v>12</v>
      </c>
      <c r="W68">
        <v>1209</v>
      </c>
      <c r="X68" t="s">
        <v>164</v>
      </c>
      <c r="Y68">
        <v>51825296</v>
      </c>
      <c r="Z68" t="s">
        <v>986</v>
      </c>
    </row>
    <row r="69" spans="1:26" x14ac:dyDescent="0.3">
      <c r="A69" t="s">
        <v>816</v>
      </c>
      <c r="B69" s="1">
        <v>44843</v>
      </c>
      <c r="C69">
        <v>12099190</v>
      </c>
      <c r="D69" t="s">
        <v>987</v>
      </c>
      <c r="E69" t="s">
        <v>830</v>
      </c>
      <c r="F69" t="s">
        <v>988</v>
      </c>
      <c r="G69">
        <v>41</v>
      </c>
      <c r="H69" t="s">
        <v>28</v>
      </c>
      <c r="I69">
        <v>9.3692386737993765</v>
      </c>
      <c r="J69">
        <v>384.13878562577452</v>
      </c>
      <c r="K69">
        <v>9.3689999999999998</v>
      </c>
      <c r="L69" t="s">
        <v>57</v>
      </c>
      <c r="M69" t="s">
        <v>58</v>
      </c>
      <c r="N69" t="s">
        <v>59</v>
      </c>
      <c r="O69" t="s">
        <v>60</v>
      </c>
      <c r="P69">
        <v>41</v>
      </c>
      <c r="Q69" t="s">
        <v>28</v>
      </c>
      <c r="R69">
        <v>384.17</v>
      </c>
      <c r="S69">
        <v>9.3699999999999992</v>
      </c>
      <c r="T69" t="s">
        <v>33</v>
      </c>
      <c r="U69" t="s">
        <v>163</v>
      </c>
      <c r="V69">
        <v>12</v>
      </c>
      <c r="W69">
        <v>1209</v>
      </c>
      <c r="X69" t="s">
        <v>164</v>
      </c>
      <c r="Y69">
        <v>57522758</v>
      </c>
      <c r="Z69" t="s">
        <v>832</v>
      </c>
    </row>
    <row r="70" spans="1:26" x14ac:dyDescent="0.3">
      <c r="A70" t="s">
        <v>852</v>
      </c>
      <c r="B70" s="1">
        <v>44845</v>
      </c>
      <c r="C70">
        <v>13021919</v>
      </c>
      <c r="D70" t="s">
        <v>989</v>
      </c>
      <c r="E70" t="s">
        <v>942</v>
      </c>
      <c r="F70" t="s">
        <v>943</v>
      </c>
      <c r="G70">
        <v>10</v>
      </c>
      <c r="H70" t="s">
        <v>28</v>
      </c>
      <c r="I70">
        <v>44.609665427509292</v>
      </c>
      <c r="J70">
        <v>446.09665427509287</v>
      </c>
      <c r="K70">
        <v>44.61</v>
      </c>
      <c r="L70" t="s">
        <v>944</v>
      </c>
      <c r="M70" t="s">
        <v>945</v>
      </c>
      <c r="N70" t="s">
        <v>294</v>
      </c>
      <c r="O70" t="s">
        <v>202</v>
      </c>
      <c r="P70">
        <v>10</v>
      </c>
      <c r="Q70" t="s">
        <v>28</v>
      </c>
      <c r="R70">
        <v>470</v>
      </c>
      <c r="S70">
        <v>47</v>
      </c>
      <c r="T70" t="s">
        <v>33</v>
      </c>
      <c r="U70" t="s">
        <v>351</v>
      </c>
      <c r="V70">
        <v>13</v>
      </c>
      <c r="W70">
        <v>1302</v>
      </c>
      <c r="X70" t="s">
        <v>164</v>
      </c>
      <c r="Y70">
        <v>51233072</v>
      </c>
      <c r="Z70" t="s">
        <v>946</v>
      </c>
    </row>
    <row r="71" spans="1:26" x14ac:dyDescent="0.3">
      <c r="A71" t="s">
        <v>892</v>
      </c>
      <c r="B71" s="1">
        <v>44868</v>
      </c>
      <c r="C71">
        <v>19011090</v>
      </c>
      <c r="D71" t="s">
        <v>990</v>
      </c>
      <c r="E71" t="s">
        <v>894</v>
      </c>
      <c r="F71" t="s">
        <v>991</v>
      </c>
      <c r="G71">
        <v>3</v>
      </c>
      <c r="H71" t="s">
        <v>28</v>
      </c>
      <c r="I71">
        <v>12.180267965895251</v>
      </c>
      <c r="J71">
        <v>36.540803897685748</v>
      </c>
      <c r="K71">
        <v>12.18</v>
      </c>
      <c r="L71" t="s">
        <v>29</v>
      </c>
      <c r="M71" t="s">
        <v>30</v>
      </c>
      <c r="N71" t="s">
        <v>595</v>
      </c>
      <c r="O71" t="s">
        <v>32</v>
      </c>
      <c r="P71">
        <v>3</v>
      </c>
      <c r="Q71" t="s">
        <v>28</v>
      </c>
      <c r="R71">
        <v>31.83</v>
      </c>
      <c r="S71">
        <v>10.61</v>
      </c>
      <c r="T71" t="s">
        <v>33</v>
      </c>
      <c r="U71" t="s">
        <v>992</v>
      </c>
      <c r="V71">
        <v>19</v>
      </c>
      <c r="W71">
        <v>1901</v>
      </c>
      <c r="X71" t="s">
        <v>171</v>
      </c>
      <c r="Y71">
        <v>66225512</v>
      </c>
      <c r="Z71" t="s">
        <v>897</v>
      </c>
    </row>
    <row r="72" spans="1:26" x14ac:dyDescent="0.3">
      <c r="A72" t="s">
        <v>816</v>
      </c>
      <c r="B72" s="1">
        <v>44874</v>
      </c>
      <c r="C72">
        <v>12099910</v>
      </c>
      <c r="D72" t="s">
        <v>993</v>
      </c>
      <c r="E72" t="s">
        <v>64</v>
      </c>
      <c r="F72" t="s">
        <v>486</v>
      </c>
      <c r="G72">
        <v>60</v>
      </c>
      <c r="H72" t="s">
        <v>28</v>
      </c>
      <c r="I72">
        <v>8.1201786439301671</v>
      </c>
      <c r="J72">
        <v>487.21071863581</v>
      </c>
      <c r="K72">
        <v>8.1199999999999992</v>
      </c>
      <c r="L72" t="s">
        <v>994</v>
      </c>
      <c r="M72" t="s">
        <v>190</v>
      </c>
      <c r="N72" t="s">
        <v>89</v>
      </c>
      <c r="O72" t="s">
        <v>32</v>
      </c>
      <c r="P72">
        <v>60</v>
      </c>
      <c r="Q72" t="s">
        <v>28</v>
      </c>
      <c r="R72">
        <v>492</v>
      </c>
      <c r="S72">
        <v>8.1999999999999993</v>
      </c>
      <c r="T72" t="s">
        <v>33</v>
      </c>
      <c r="U72" t="s">
        <v>163</v>
      </c>
      <c r="V72">
        <v>12</v>
      </c>
      <c r="W72">
        <v>1209</v>
      </c>
      <c r="X72" t="s">
        <v>171</v>
      </c>
      <c r="Y72">
        <v>58904598</v>
      </c>
      <c r="Z72" t="s">
        <v>68</v>
      </c>
    </row>
    <row r="73" spans="1:26" x14ac:dyDescent="0.3">
      <c r="A73" t="s">
        <v>852</v>
      </c>
      <c r="B73" s="1">
        <v>44885</v>
      </c>
      <c r="C73">
        <v>13021919</v>
      </c>
      <c r="D73" t="s">
        <v>995</v>
      </c>
      <c r="E73" t="s">
        <v>854</v>
      </c>
      <c r="F73" t="s">
        <v>996</v>
      </c>
      <c r="G73">
        <v>400</v>
      </c>
      <c r="H73" t="s">
        <v>28</v>
      </c>
      <c r="I73">
        <v>44.561186650185412</v>
      </c>
      <c r="J73">
        <v>17824.47466007416</v>
      </c>
      <c r="K73">
        <v>44.561</v>
      </c>
      <c r="L73" t="s">
        <v>856</v>
      </c>
      <c r="M73" t="s">
        <v>857</v>
      </c>
      <c r="N73" t="s">
        <v>201</v>
      </c>
      <c r="O73" t="s">
        <v>202</v>
      </c>
      <c r="P73">
        <v>400</v>
      </c>
      <c r="Q73" t="s">
        <v>28</v>
      </c>
      <c r="R73">
        <v>17328</v>
      </c>
      <c r="S73">
        <v>43.32</v>
      </c>
      <c r="T73" t="s">
        <v>286</v>
      </c>
      <c r="U73" t="s">
        <v>351</v>
      </c>
      <c r="V73">
        <v>13</v>
      </c>
      <c r="W73">
        <v>1302</v>
      </c>
      <c r="X73" t="s">
        <v>171</v>
      </c>
      <c r="Y73">
        <v>61857778</v>
      </c>
      <c r="Z73" t="s">
        <v>858</v>
      </c>
    </row>
    <row r="74" spans="1:26" x14ac:dyDescent="0.3">
      <c r="A74" t="s">
        <v>816</v>
      </c>
      <c r="B74" s="1">
        <v>44892</v>
      </c>
      <c r="C74">
        <v>12092100</v>
      </c>
      <c r="D74" t="s">
        <v>997</v>
      </c>
      <c r="E74" t="s">
        <v>998</v>
      </c>
      <c r="F74" t="s">
        <v>999</v>
      </c>
      <c r="G74">
        <v>1440</v>
      </c>
      <c r="H74" t="s">
        <v>28</v>
      </c>
      <c r="I74">
        <v>0.55795907155610491</v>
      </c>
      <c r="J74">
        <v>803.46106304079103</v>
      </c>
      <c r="K74">
        <v>0.55800000000000005</v>
      </c>
      <c r="L74" t="s">
        <v>1000</v>
      </c>
      <c r="M74" t="s">
        <v>370</v>
      </c>
      <c r="N74" t="s">
        <v>906</v>
      </c>
      <c r="O74" t="s">
        <v>202</v>
      </c>
      <c r="P74">
        <v>1440</v>
      </c>
      <c r="Q74" t="s">
        <v>28</v>
      </c>
      <c r="R74">
        <v>2001.6</v>
      </c>
      <c r="S74">
        <v>1.39</v>
      </c>
      <c r="T74" t="s">
        <v>33</v>
      </c>
      <c r="U74" t="s">
        <v>163</v>
      </c>
      <c r="V74">
        <v>12</v>
      </c>
      <c r="W74">
        <v>1209</v>
      </c>
      <c r="X74" t="s">
        <v>171</v>
      </c>
      <c r="Y74">
        <v>61713608</v>
      </c>
      <c r="Z74" t="s">
        <v>1001</v>
      </c>
    </row>
    <row r="75" spans="1:26" x14ac:dyDescent="0.3">
      <c r="A75" t="s">
        <v>816</v>
      </c>
      <c r="B75" s="1">
        <v>44893</v>
      </c>
      <c r="C75">
        <v>12099190</v>
      </c>
      <c r="D75" t="s">
        <v>1002</v>
      </c>
      <c r="E75" t="s">
        <v>830</v>
      </c>
      <c r="F75" t="s">
        <v>988</v>
      </c>
      <c r="G75">
        <v>20</v>
      </c>
      <c r="H75" t="s">
        <v>28</v>
      </c>
      <c r="I75">
        <v>11.12484548825711</v>
      </c>
      <c r="J75">
        <v>222.49690976514211</v>
      </c>
      <c r="K75">
        <v>11.125</v>
      </c>
      <c r="L75" t="s">
        <v>57</v>
      </c>
      <c r="M75" t="s">
        <v>58</v>
      </c>
      <c r="N75" t="s">
        <v>59</v>
      </c>
      <c r="O75" t="s">
        <v>60</v>
      </c>
      <c r="P75">
        <v>20</v>
      </c>
      <c r="Q75" t="s">
        <v>28</v>
      </c>
      <c r="R75">
        <v>226.2</v>
      </c>
      <c r="S75">
        <v>11.31</v>
      </c>
      <c r="T75" t="s">
        <v>33</v>
      </c>
      <c r="U75" t="s">
        <v>163</v>
      </c>
      <c r="V75">
        <v>12</v>
      </c>
      <c r="W75">
        <v>1209</v>
      </c>
      <c r="X75" t="s">
        <v>171</v>
      </c>
      <c r="Y75">
        <v>63301070</v>
      </c>
      <c r="Z75" t="s">
        <v>832</v>
      </c>
    </row>
    <row r="76" spans="1:26" x14ac:dyDescent="0.3">
      <c r="A76" t="s">
        <v>816</v>
      </c>
      <c r="B76" s="1">
        <v>44898</v>
      </c>
      <c r="C76">
        <v>12092100</v>
      </c>
      <c r="D76" t="s">
        <v>997</v>
      </c>
      <c r="E76" t="s">
        <v>998</v>
      </c>
      <c r="F76" t="s">
        <v>999</v>
      </c>
      <c r="G76">
        <v>1440</v>
      </c>
      <c r="H76" t="s">
        <v>28</v>
      </c>
      <c r="I76">
        <v>0.56212499999999999</v>
      </c>
      <c r="J76">
        <v>809.46</v>
      </c>
      <c r="K76">
        <v>0.56000000000000005</v>
      </c>
      <c r="L76" t="s">
        <v>1000</v>
      </c>
      <c r="M76" t="s">
        <v>370</v>
      </c>
      <c r="N76" t="s">
        <v>906</v>
      </c>
      <c r="O76" t="s">
        <v>202</v>
      </c>
      <c r="P76">
        <v>1440</v>
      </c>
      <c r="Q76" t="s">
        <v>28</v>
      </c>
      <c r="R76">
        <v>2001.6</v>
      </c>
      <c r="S76">
        <v>1.39</v>
      </c>
      <c r="T76" t="s">
        <v>33</v>
      </c>
      <c r="U76" t="s">
        <v>163</v>
      </c>
      <c r="V76">
        <v>12</v>
      </c>
      <c r="W76">
        <v>1209</v>
      </c>
      <c r="X76" t="s">
        <v>175</v>
      </c>
      <c r="Y76">
        <v>66974047</v>
      </c>
      <c r="Z76" t="s">
        <v>1001</v>
      </c>
    </row>
    <row r="77" spans="1:26" x14ac:dyDescent="0.3">
      <c r="A77" t="s">
        <v>852</v>
      </c>
      <c r="B77" s="1">
        <v>44924</v>
      </c>
      <c r="C77">
        <v>13021919</v>
      </c>
      <c r="D77" t="s">
        <v>1003</v>
      </c>
      <c r="E77" t="s">
        <v>904</v>
      </c>
      <c r="F77" t="s">
        <v>79</v>
      </c>
      <c r="G77">
        <v>125</v>
      </c>
      <c r="H77" t="s">
        <v>28</v>
      </c>
      <c r="I77">
        <v>14.96336</v>
      </c>
      <c r="J77">
        <v>1870.42</v>
      </c>
      <c r="K77">
        <v>14.96</v>
      </c>
      <c r="L77" t="s">
        <v>826</v>
      </c>
      <c r="M77" t="s">
        <v>827</v>
      </c>
      <c r="N77" t="s">
        <v>669</v>
      </c>
      <c r="O77" t="s">
        <v>202</v>
      </c>
      <c r="P77">
        <v>125</v>
      </c>
      <c r="Q77" t="s">
        <v>28</v>
      </c>
      <c r="R77">
        <v>1875</v>
      </c>
      <c r="S77">
        <v>15</v>
      </c>
      <c r="T77" t="s">
        <v>33</v>
      </c>
      <c r="U77" t="s">
        <v>351</v>
      </c>
      <c r="V77">
        <v>13</v>
      </c>
      <c r="W77">
        <v>1302</v>
      </c>
      <c r="X77" t="s">
        <v>175</v>
      </c>
      <c r="Y77">
        <v>68853149</v>
      </c>
      <c r="Z77" t="s">
        <v>907</v>
      </c>
    </row>
    <row r="78" spans="1:26" x14ac:dyDescent="0.3">
      <c r="A78" t="s">
        <v>816</v>
      </c>
      <c r="B78" s="1">
        <v>44928</v>
      </c>
      <c r="C78">
        <v>12099990</v>
      </c>
      <c r="D78" t="s">
        <v>172</v>
      </c>
      <c r="E78" t="s">
        <v>301</v>
      </c>
      <c r="F78" t="s">
        <v>307</v>
      </c>
      <c r="G78">
        <v>150</v>
      </c>
      <c r="H78" t="s">
        <v>28</v>
      </c>
      <c r="I78">
        <v>6.8322666666666656</v>
      </c>
      <c r="J78">
        <v>1024.8399999999999</v>
      </c>
      <c r="K78">
        <v>6.83</v>
      </c>
      <c r="L78" t="s">
        <v>103</v>
      </c>
      <c r="M78" t="s">
        <v>104</v>
      </c>
      <c r="N78" t="s">
        <v>89</v>
      </c>
      <c r="O78" t="s">
        <v>32</v>
      </c>
      <c r="P78">
        <v>150</v>
      </c>
      <c r="Q78" t="s">
        <v>28</v>
      </c>
      <c r="R78">
        <v>1027.5</v>
      </c>
      <c r="S78">
        <v>6.85</v>
      </c>
      <c r="T78" t="s">
        <v>33</v>
      </c>
      <c r="U78" t="s">
        <v>163</v>
      </c>
      <c r="V78">
        <v>12</v>
      </c>
      <c r="W78">
        <v>1209</v>
      </c>
      <c r="X78" t="s">
        <v>191</v>
      </c>
      <c r="Y78">
        <v>909575</v>
      </c>
      <c r="Z78" t="s">
        <v>304</v>
      </c>
    </row>
    <row r="79" spans="1:26" x14ac:dyDescent="0.3">
      <c r="A79" t="s">
        <v>816</v>
      </c>
      <c r="B79" s="1">
        <v>44938</v>
      </c>
      <c r="C79">
        <v>12099190</v>
      </c>
      <c r="D79" t="s">
        <v>1004</v>
      </c>
      <c r="E79" t="s">
        <v>1005</v>
      </c>
      <c r="F79" t="s">
        <v>1006</v>
      </c>
      <c r="G79">
        <v>40.049999999999997</v>
      </c>
      <c r="H79" t="s">
        <v>28</v>
      </c>
      <c r="I79">
        <v>46.827215980024967</v>
      </c>
      <c r="J79">
        <v>1875.43</v>
      </c>
      <c r="K79">
        <v>46.83</v>
      </c>
      <c r="L79" t="s">
        <v>826</v>
      </c>
      <c r="M79" t="s">
        <v>827</v>
      </c>
      <c r="N79" t="s">
        <v>401</v>
      </c>
      <c r="O79" t="s">
        <v>32</v>
      </c>
      <c r="P79">
        <v>40.049999999999997</v>
      </c>
      <c r="Q79" t="s">
        <v>28</v>
      </c>
      <c r="R79">
        <v>1882.35</v>
      </c>
      <c r="S79">
        <v>47</v>
      </c>
      <c r="T79" t="s">
        <v>33</v>
      </c>
      <c r="U79" t="s">
        <v>163</v>
      </c>
      <c r="V79">
        <v>12</v>
      </c>
      <c r="W79">
        <v>1209</v>
      </c>
      <c r="X79" t="s">
        <v>191</v>
      </c>
      <c r="Y79">
        <v>28543959</v>
      </c>
      <c r="Z79" t="s">
        <v>1007</v>
      </c>
    </row>
    <row r="80" spans="1:26" x14ac:dyDescent="0.3">
      <c r="A80" t="s">
        <v>816</v>
      </c>
      <c r="B80" s="1">
        <v>44945</v>
      </c>
      <c r="C80">
        <v>12099910</v>
      </c>
      <c r="D80" t="s">
        <v>1008</v>
      </c>
      <c r="E80" t="s">
        <v>1009</v>
      </c>
      <c r="F80" t="s">
        <v>1010</v>
      </c>
      <c r="G80">
        <v>40</v>
      </c>
      <c r="H80" t="s">
        <v>28</v>
      </c>
      <c r="I80">
        <v>39.883499999999998</v>
      </c>
      <c r="J80">
        <v>1595.34</v>
      </c>
      <c r="K80">
        <v>39.880000000000003</v>
      </c>
      <c r="L80" t="s">
        <v>29</v>
      </c>
      <c r="M80" t="s">
        <v>30</v>
      </c>
      <c r="N80" t="s">
        <v>401</v>
      </c>
      <c r="O80" t="s">
        <v>32</v>
      </c>
      <c r="P80">
        <v>40</v>
      </c>
      <c r="Q80" t="s">
        <v>28</v>
      </c>
      <c r="R80">
        <v>1600</v>
      </c>
      <c r="S80">
        <v>40</v>
      </c>
      <c r="T80" t="s">
        <v>33</v>
      </c>
      <c r="U80" t="s">
        <v>163</v>
      </c>
      <c r="V80">
        <v>12</v>
      </c>
      <c r="W80">
        <v>1209</v>
      </c>
      <c r="X80" t="s">
        <v>191</v>
      </c>
      <c r="Y80">
        <v>28947062</v>
      </c>
      <c r="Z80" t="s">
        <v>1011</v>
      </c>
    </row>
    <row r="81" spans="1:26" x14ac:dyDescent="0.3">
      <c r="A81" t="s">
        <v>816</v>
      </c>
      <c r="B81" s="1">
        <v>44951</v>
      </c>
      <c r="C81">
        <v>12099190</v>
      </c>
      <c r="D81" t="s">
        <v>1012</v>
      </c>
      <c r="E81" t="s">
        <v>848</v>
      </c>
      <c r="F81" t="s">
        <v>1013</v>
      </c>
      <c r="G81">
        <v>4.8499999999999996</v>
      </c>
      <c r="H81" t="s">
        <v>28</v>
      </c>
      <c r="I81">
        <v>87.797938144329905</v>
      </c>
      <c r="J81">
        <v>425.82</v>
      </c>
      <c r="K81">
        <v>87.8</v>
      </c>
      <c r="L81" t="s">
        <v>1014</v>
      </c>
      <c r="M81" t="s">
        <v>617</v>
      </c>
      <c r="N81" t="s">
        <v>294</v>
      </c>
      <c r="O81" t="s">
        <v>202</v>
      </c>
      <c r="P81">
        <v>4.8499999999999996</v>
      </c>
      <c r="Q81" t="s">
        <v>28</v>
      </c>
      <c r="R81">
        <v>410.36</v>
      </c>
      <c r="S81">
        <v>84.61</v>
      </c>
      <c r="T81" t="s">
        <v>33</v>
      </c>
      <c r="U81" t="s">
        <v>163</v>
      </c>
      <c r="V81">
        <v>12</v>
      </c>
      <c r="W81">
        <v>1209</v>
      </c>
      <c r="X81" t="s">
        <v>191</v>
      </c>
      <c r="Y81">
        <v>3065175</v>
      </c>
      <c r="Z81" t="s">
        <v>851</v>
      </c>
    </row>
    <row r="82" spans="1:26" x14ac:dyDescent="0.3">
      <c r="A82" t="s">
        <v>816</v>
      </c>
      <c r="B82" s="1">
        <v>44951</v>
      </c>
      <c r="C82">
        <v>12099190</v>
      </c>
      <c r="D82" t="s">
        <v>1015</v>
      </c>
      <c r="E82" t="s">
        <v>848</v>
      </c>
      <c r="F82" t="s">
        <v>1013</v>
      </c>
      <c r="G82">
        <v>10</v>
      </c>
      <c r="H82" t="s">
        <v>28</v>
      </c>
      <c r="I82">
        <v>18.25</v>
      </c>
      <c r="J82">
        <v>182.5</v>
      </c>
      <c r="K82">
        <v>18.25</v>
      </c>
      <c r="L82" t="s">
        <v>1014</v>
      </c>
      <c r="M82" t="s">
        <v>617</v>
      </c>
      <c r="N82" t="s">
        <v>294</v>
      </c>
      <c r="O82" t="s">
        <v>202</v>
      </c>
      <c r="P82">
        <v>10</v>
      </c>
      <c r="Q82" t="s">
        <v>28</v>
      </c>
      <c r="R82">
        <v>174</v>
      </c>
      <c r="S82">
        <v>17.399999999999999</v>
      </c>
      <c r="T82" t="s">
        <v>33</v>
      </c>
      <c r="U82" t="s">
        <v>163</v>
      </c>
      <c r="V82">
        <v>12</v>
      </c>
      <c r="W82">
        <v>1209</v>
      </c>
      <c r="X82" t="s">
        <v>191</v>
      </c>
      <c r="Y82">
        <v>3065173</v>
      </c>
      <c r="Z82" t="s">
        <v>851</v>
      </c>
    </row>
    <row r="83" spans="1:26" x14ac:dyDescent="0.3">
      <c r="A83" t="s">
        <v>852</v>
      </c>
      <c r="B83" s="1">
        <v>44953</v>
      </c>
      <c r="C83">
        <v>13021919</v>
      </c>
      <c r="D83" t="s">
        <v>1016</v>
      </c>
      <c r="E83" t="s">
        <v>942</v>
      </c>
      <c r="F83" t="s">
        <v>943</v>
      </c>
      <c r="G83">
        <v>20</v>
      </c>
      <c r="H83" t="s">
        <v>28</v>
      </c>
      <c r="I83">
        <v>42.582500000000003</v>
      </c>
      <c r="J83">
        <v>851.65</v>
      </c>
      <c r="K83">
        <v>42.58</v>
      </c>
      <c r="L83" t="s">
        <v>944</v>
      </c>
      <c r="M83" t="s">
        <v>945</v>
      </c>
      <c r="N83" t="s">
        <v>294</v>
      </c>
      <c r="O83" t="s">
        <v>202</v>
      </c>
      <c r="P83">
        <v>20</v>
      </c>
      <c r="Q83" t="s">
        <v>28</v>
      </c>
      <c r="R83">
        <v>940</v>
      </c>
      <c r="S83">
        <v>47</v>
      </c>
      <c r="T83" t="s">
        <v>33</v>
      </c>
      <c r="U83" t="s">
        <v>351</v>
      </c>
      <c r="V83">
        <v>13</v>
      </c>
      <c r="W83">
        <v>1302</v>
      </c>
      <c r="X83" t="s">
        <v>191</v>
      </c>
      <c r="Y83">
        <v>3203648</v>
      </c>
      <c r="Z83" t="s">
        <v>946</v>
      </c>
    </row>
    <row r="84" spans="1:26" x14ac:dyDescent="0.3">
      <c r="A84" t="s">
        <v>852</v>
      </c>
      <c r="B84" s="1">
        <v>44974</v>
      </c>
      <c r="C84">
        <v>13021990</v>
      </c>
      <c r="D84" t="s">
        <v>1017</v>
      </c>
      <c r="E84" t="s">
        <v>904</v>
      </c>
      <c r="F84" t="s">
        <v>1018</v>
      </c>
      <c r="G84">
        <v>100</v>
      </c>
      <c r="H84" t="s">
        <v>28</v>
      </c>
      <c r="I84">
        <v>15.963100000000001</v>
      </c>
      <c r="J84">
        <v>1596.31</v>
      </c>
      <c r="K84">
        <v>15.96</v>
      </c>
      <c r="L84" t="s">
        <v>826</v>
      </c>
      <c r="M84" t="s">
        <v>827</v>
      </c>
      <c r="N84" t="s">
        <v>669</v>
      </c>
      <c r="O84" t="s">
        <v>202</v>
      </c>
      <c r="P84">
        <v>100</v>
      </c>
      <c r="Q84" t="s">
        <v>28</v>
      </c>
      <c r="R84">
        <v>1600</v>
      </c>
      <c r="S84">
        <v>16</v>
      </c>
      <c r="T84" t="s">
        <v>33</v>
      </c>
      <c r="U84" t="s">
        <v>351</v>
      </c>
      <c r="V84">
        <v>13</v>
      </c>
      <c r="W84">
        <v>1302</v>
      </c>
      <c r="X84" t="s">
        <v>216</v>
      </c>
      <c r="Y84">
        <v>44288357</v>
      </c>
      <c r="Z84" t="s">
        <v>907</v>
      </c>
    </row>
    <row r="85" spans="1:26" x14ac:dyDescent="0.3">
      <c r="A85" t="s">
        <v>816</v>
      </c>
      <c r="B85" s="1">
        <v>45013</v>
      </c>
      <c r="C85">
        <v>12099190</v>
      </c>
      <c r="D85" t="s">
        <v>1019</v>
      </c>
      <c r="E85" t="s">
        <v>869</v>
      </c>
      <c r="F85" t="s">
        <v>948</v>
      </c>
      <c r="G85">
        <v>1598.3</v>
      </c>
      <c r="H85" t="s">
        <v>28</v>
      </c>
      <c r="I85">
        <v>80.232421948320095</v>
      </c>
      <c r="J85">
        <v>128235.48</v>
      </c>
      <c r="K85">
        <v>80.23</v>
      </c>
      <c r="L85" t="s">
        <v>949</v>
      </c>
      <c r="M85" t="s">
        <v>252</v>
      </c>
      <c r="N85" t="s">
        <v>201</v>
      </c>
      <c r="O85" t="s">
        <v>202</v>
      </c>
      <c r="P85">
        <v>1598.3</v>
      </c>
      <c r="Q85" t="s">
        <v>28</v>
      </c>
      <c r="R85">
        <v>127864</v>
      </c>
      <c r="S85">
        <v>80</v>
      </c>
      <c r="T85" t="s">
        <v>33</v>
      </c>
      <c r="U85" t="s">
        <v>163</v>
      </c>
      <c r="V85">
        <v>12</v>
      </c>
      <c r="W85">
        <v>1209</v>
      </c>
      <c r="X85" t="s">
        <v>222</v>
      </c>
      <c r="Y85">
        <v>52521909</v>
      </c>
      <c r="Z85" t="s">
        <v>873</v>
      </c>
    </row>
    <row r="86" spans="1:26" x14ac:dyDescent="0.3">
      <c r="A86" t="s">
        <v>852</v>
      </c>
      <c r="B86" s="1">
        <v>45015</v>
      </c>
      <c r="C86">
        <v>13021919</v>
      </c>
      <c r="D86" t="s">
        <v>1020</v>
      </c>
      <c r="E86" t="s">
        <v>942</v>
      </c>
      <c r="F86" t="s">
        <v>943</v>
      </c>
      <c r="G86">
        <v>50</v>
      </c>
      <c r="H86" t="s">
        <v>28</v>
      </c>
      <c r="I86">
        <v>44.572000000000003</v>
      </c>
      <c r="J86">
        <v>2228.6</v>
      </c>
      <c r="K86">
        <v>44.57</v>
      </c>
      <c r="L86" t="s">
        <v>944</v>
      </c>
      <c r="M86" t="s">
        <v>945</v>
      </c>
      <c r="N86" t="s">
        <v>294</v>
      </c>
      <c r="O86" t="s">
        <v>202</v>
      </c>
      <c r="P86">
        <v>50</v>
      </c>
      <c r="Q86" t="s">
        <v>28</v>
      </c>
      <c r="R86">
        <v>2350</v>
      </c>
      <c r="S86">
        <v>47</v>
      </c>
      <c r="T86" t="s">
        <v>33</v>
      </c>
      <c r="U86" t="s">
        <v>351</v>
      </c>
      <c r="V86">
        <v>13</v>
      </c>
      <c r="W86">
        <v>1302</v>
      </c>
      <c r="X86" t="s">
        <v>222</v>
      </c>
      <c r="Y86">
        <v>54046932</v>
      </c>
      <c r="Z86" t="s">
        <v>946</v>
      </c>
    </row>
    <row r="87" spans="1:26" x14ac:dyDescent="0.3">
      <c r="A87" t="s">
        <v>816</v>
      </c>
      <c r="B87" s="1">
        <v>45034</v>
      </c>
      <c r="C87">
        <v>12099190</v>
      </c>
      <c r="D87" t="s">
        <v>177</v>
      </c>
      <c r="E87" t="s">
        <v>1021</v>
      </c>
      <c r="F87" t="s">
        <v>1022</v>
      </c>
      <c r="G87">
        <v>2</v>
      </c>
      <c r="H87" t="s">
        <v>28</v>
      </c>
      <c r="I87">
        <v>6.04</v>
      </c>
      <c r="J87">
        <v>12.08</v>
      </c>
      <c r="K87">
        <v>6.04</v>
      </c>
      <c r="L87" t="s">
        <v>149</v>
      </c>
      <c r="M87" t="s">
        <v>150</v>
      </c>
      <c r="N87" t="s">
        <v>174</v>
      </c>
      <c r="O87" t="s">
        <v>32</v>
      </c>
      <c r="P87">
        <v>2</v>
      </c>
      <c r="Q87" t="s">
        <v>28</v>
      </c>
      <c r="R87">
        <v>13.18</v>
      </c>
      <c r="S87">
        <v>6.59</v>
      </c>
      <c r="T87" t="s">
        <v>33</v>
      </c>
      <c r="U87" t="s">
        <v>163</v>
      </c>
      <c r="V87">
        <v>12</v>
      </c>
      <c r="W87">
        <v>1209</v>
      </c>
      <c r="X87" t="s">
        <v>241</v>
      </c>
      <c r="Y87">
        <v>59898535</v>
      </c>
      <c r="Z87" t="s">
        <v>1023</v>
      </c>
    </row>
    <row r="88" spans="1:26" x14ac:dyDescent="0.3">
      <c r="A88" t="s">
        <v>816</v>
      </c>
      <c r="B88" s="1">
        <v>45044</v>
      </c>
      <c r="C88">
        <v>12099990</v>
      </c>
      <c r="D88" t="s">
        <v>993</v>
      </c>
      <c r="E88" t="s">
        <v>64</v>
      </c>
      <c r="F88" t="s">
        <v>486</v>
      </c>
      <c r="G88">
        <v>48</v>
      </c>
      <c r="H88" t="s">
        <v>28</v>
      </c>
      <c r="I88">
        <v>8.0262499999999992</v>
      </c>
      <c r="J88">
        <v>385.26</v>
      </c>
      <c r="K88">
        <v>8.0299999999999994</v>
      </c>
      <c r="L88" t="s">
        <v>994</v>
      </c>
      <c r="M88" t="s">
        <v>190</v>
      </c>
      <c r="N88" t="s">
        <v>89</v>
      </c>
      <c r="O88" t="s">
        <v>32</v>
      </c>
      <c r="P88">
        <v>48</v>
      </c>
      <c r="Q88" t="s">
        <v>28</v>
      </c>
      <c r="R88">
        <v>392.16</v>
      </c>
      <c r="S88">
        <v>8.17</v>
      </c>
      <c r="T88" t="s">
        <v>33</v>
      </c>
      <c r="U88" t="s">
        <v>163</v>
      </c>
      <c r="V88">
        <v>12</v>
      </c>
      <c r="W88">
        <v>1209</v>
      </c>
      <c r="X88" t="s">
        <v>241</v>
      </c>
      <c r="Y88">
        <v>61669936</v>
      </c>
      <c r="Z88" t="s">
        <v>68</v>
      </c>
    </row>
    <row r="89" spans="1:26" x14ac:dyDescent="0.3">
      <c r="A89" t="s">
        <v>816</v>
      </c>
      <c r="B89" s="1">
        <v>45048</v>
      </c>
      <c r="C89">
        <v>12099190</v>
      </c>
      <c r="D89" t="s">
        <v>1024</v>
      </c>
      <c r="E89" t="s">
        <v>1025</v>
      </c>
      <c r="F89" t="s">
        <v>1026</v>
      </c>
      <c r="G89">
        <v>100</v>
      </c>
      <c r="H89" t="s">
        <v>28</v>
      </c>
      <c r="I89">
        <v>3.0099</v>
      </c>
      <c r="J89">
        <v>300.99</v>
      </c>
      <c r="K89">
        <v>3.01</v>
      </c>
      <c r="L89" t="s">
        <v>29</v>
      </c>
      <c r="M89" t="s">
        <v>30</v>
      </c>
      <c r="N89" t="s">
        <v>51</v>
      </c>
      <c r="O89" t="s">
        <v>32</v>
      </c>
      <c r="P89">
        <v>100</v>
      </c>
      <c r="Q89" t="s">
        <v>28</v>
      </c>
      <c r="R89">
        <v>315</v>
      </c>
      <c r="S89">
        <v>3.15</v>
      </c>
      <c r="T89" t="s">
        <v>33</v>
      </c>
      <c r="U89" t="s">
        <v>163</v>
      </c>
      <c r="V89">
        <v>12</v>
      </c>
      <c r="W89">
        <v>1209</v>
      </c>
      <c r="X89" t="s">
        <v>247</v>
      </c>
      <c r="Y89">
        <v>66198682</v>
      </c>
      <c r="Z89" t="s">
        <v>1027</v>
      </c>
    </row>
    <row r="90" spans="1:26" x14ac:dyDescent="0.3">
      <c r="A90" t="s">
        <v>816</v>
      </c>
      <c r="B90" s="1">
        <v>45053</v>
      </c>
      <c r="C90">
        <v>12099190</v>
      </c>
      <c r="D90" t="s">
        <v>1028</v>
      </c>
      <c r="E90" t="s">
        <v>886</v>
      </c>
      <c r="F90" t="s">
        <v>1029</v>
      </c>
      <c r="G90">
        <v>100</v>
      </c>
      <c r="H90" t="s">
        <v>28</v>
      </c>
      <c r="I90">
        <v>101.09610000000001</v>
      </c>
      <c r="J90">
        <v>10109.61</v>
      </c>
      <c r="K90">
        <v>101.1</v>
      </c>
      <c r="L90" t="s">
        <v>358</v>
      </c>
      <c r="M90" t="s">
        <v>58</v>
      </c>
      <c r="N90" t="s">
        <v>359</v>
      </c>
      <c r="O90" t="s">
        <v>60</v>
      </c>
      <c r="P90">
        <v>100</v>
      </c>
      <c r="Q90" t="s">
        <v>28</v>
      </c>
      <c r="R90">
        <v>10000</v>
      </c>
      <c r="S90">
        <v>100</v>
      </c>
      <c r="T90" t="s">
        <v>33</v>
      </c>
      <c r="U90" t="s">
        <v>163</v>
      </c>
      <c r="V90">
        <v>12</v>
      </c>
      <c r="W90">
        <v>1209</v>
      </c>
      <c r="X90" t="s">
        <v>247</v>
      </c>
      <c r="Y90">
        <v>67040199</v>
      </c>
      <c r="Z90" t="s">
        <v>888</v>
      </c>
    </row>
    <row r="91" spans="1:26" x14ac:dyDescent="0.3">
      <c r="A91" t="s">
        <v>816</v>
      </c>
      <c r="B91" s="1">
        <v>45053</v>
      </c>
      <c r="C91">
        <v>12099190</v>
      </c>
      <c r="D91" t="s">
        <v>1030</v>
      </c>
      <c r="E91" t="s">
        <v>886</v>
      </c>
      <c r="F91" t="s">
        <v>1029</v>
      </c>
      <c r="G91">
        <v>200</v>
      </c>
      <c r="H91" t="s">
        <v>28</v>
      </c>
      <c r="I91">
        <v>85.913200000000003</v>
      </c>
      <c r="J91">
        <v>17182.64</v>
      </c>
      <c r="K91">
        <v>85.91</v>
      </c>
      <c r="L91" t="s">
        <v>358</v>
      </c>
      <c r="M91" t="s">
        <v>58</v>
      </c>
      <c r="N91" t="s">
        <v>359</v>
      </c>
      <c r="O91" t="s">
        <v>60</v>
      </c>
      <c r="P91">
        <v>200</v>
      </c>
      <c r="Q91" t="s">
        <v>28</v>
      </c>
      <c r="R91">
        <v>17000</v>
      </c>
      <c r="S91">
        <v>85</v>
      </c>
      <c r="T91" t="s">
        <v>33</v>
      </c>
      <c r="U91" t="s">
        <v>163</v>
      </c>
      <c r="V91">
        <v>12</v>
      </c>
      <c r="W91">
        <v>1209</v>
      </c>
      <c r="X91" t="s">
        <v>247</v>
      </c>
      <c r="Y91">
        <v>67040194</v>
      </c>
      <c r="Z91" t="s">
        <v>888</v>
      </c>
    </row>
    <row r="92" spans="1:26" x14ac:dyDescent="0.3">
      <c r="A92" t="s">
        <v>852</v>
      </c>
      <c r="B92" s="1">
        <v>45054</v>
      </c>
      <c r="C92">
        <v>13021919</v>
      </c>
      <c r="D92" t="s">
        <v>1031</v>
      </c>
      <c r="E92" t="s">
        <v>854</v>
      </c>
      <c r="F92" t="s">
        <v>1032</v>
      </c>
      <c r="G92">
        <v>100</v>
      </c>
      <c r="H92" t="s">
        <v>28</v>
      </c>
      <c r="I92">
        <v>47.277000000000001</v>
      </c>
      <c r="J92">
        <v>4727.7</v>
      </c>
      <c r="K92">
        <v>47.28</v>
      </c>
      <c r="L92" t="s">
        <v>1033</v>
      </c>
      <c r="M92" t="s">
        <v>857</v>
      </c>
      <c r="N92" t="s">
        <v>201</v>
      </c>
      <c r="O92" t="s">
        <v>202</v>
      </c>
      <c r="P92">
        <v>100</v>
      </c>
      <c r="Q92" t="s">
        <v>28</v>
      </c>
      <c r="R92">
        <v>4300</v>
      </c>
      <c r="S92">
        <v>43</v>
      </c>
      <c r="T92" t="s">
        <v>286</v>
      </c>
      <c r="U92" t="s">
        <v>351</v>
      </c>
      <c r="V92">
        <v>13</v>
      </c>
      <c r="W92">
        <v>1302</v>
      </c>
      <c r="X92" t="s">
        <v>247</v>
      </c>
      <c r="Y92">
        <v>66381146</v>
      </c>
      <c r="Z92" t="s">
        <v>858</v>
      </c>
    </row>
    <row r="93" spans="1:26" x14ac:dyDescent="0.3">
      <c r="A93" t="s">
        <v>816</v>
      </c>
      <c r="B93" s="1">
        <v>45054</v>
      </c>
      <c r="C93">
        <v>12099990</v>
      </c>
      <c r="D93" t="s">
        <v>993</v>
      </c>
      <c r="E93" t="s">
        <v>64</v>
      </c>
      <c r="F93" t="s">
        <v>486</v>
      </c>
      <c r="G93">
        <v>48</v>
      </c>
      <c r="H93" t="s">
        <v>28</v>
      </c>
      <c r="I93">
        <v>8.0806249999999995</v>
      </c>
      <c r="J93">
        <v>387.87</v>
      </c>
      <c r="K93">
        <v>8.08</v>
      </c>
      <c r="L93" t="s">
        <v>994</v>
      </c>
      <c r="M93" t="s">
        <v>190</v>
      </c>
      <c r="N93" t="s">
        <v>89</v>
      </c>
      <c r="O93" t="s">
        <v>32</v>
      </c>
      <c r="P93">
        <v>48</v>
      </c>
      <c r="Q93" t="s">
        <v>28</v>
      </c>
      <c r="R93">
        <v>392.16</v>
      </c>
      <c r="S93">
        <v>8.17</v>
      </c>
      <c r="T93" t="s">
        <v>33</v>
      </c>
      <c r="U93" t="s">
        <v>163</v>
      </c>
      <c r="V93">
        <v>12</v>
      </c>
      <c r="W93">
        <v>1209</v>
      </c>
      <c r="X93" t="s">
        <v>247</v>
      </c>
      <c r="Y93">
        <v>66758023</v>
      </c>
      <c r="Z93" t="s">
        <v>68</v>
      </c>
    </row>
    <row r="94" spans="1:26" x14ac:dyDescent="0.3">
      <c r="A94" t="s">
        <v>816</v>
      </c>
      <c r="B94" s="1">
        <v>45064</v>
      </c>
      <c r="C94">
        <v>12099910</v>
      </c>
      <c r="D94" t="s">
        <v>1034</v>
      </c>
      <c r="E94" t="s">
        <v>1035</v>
      </c>
      <c r="F94" t="s">
        <v>1036</v>
      </c>
      <c r="G94">
        <v>200</v>
      </c>
      <c r="H94" t="s">
        <v>28</v>
      </c>
      <c r="I94">
        <v>15.05945</v>
      </c>
      <c r="J94">
        <v>3011.89</v>
      </c>
      <c r="K94">
        <v>15.06</v>
      </c>
      <c r="L94" t="s">
        <v>122</v>
      </c>
      <c r="M94" t="s">
        <v>123</v>
      </c>
      <c r="N94" t="s">
        <v>124</v>
      </c>
      <c r="O94" t="s">
        <v>32</v>
      </c>
      <c r="P94">
        <v>200</v>
      </c>
      <c r="Q94" t="s">
        <v>28</v>
      </c>
      <c r="R94">
        <v>2968</v>
      </c>
      <c r="S94">
        <v>14.84</v>
      </c>
      <c r="T94" t="s">
        <v>33</v>
      </c>
      <c r="U94" t="s">
        <v>163</v>
      </c>
      <c r="V94">
        <v>12</v>
      </c>
      <c r="W94">
        <v>1209</v>
      </c>
      <c r="X94" t="s">
        <v>247</v>
      </c>
      <c r="Y94">
        <v>68436895</v>
      </c>
      <c r="Z94" t="s">
        <v>1037</v>
      </c>
    </row>
    <row r="95" spans="1:26" x14ac:dyDescent="0.3">
      <c r="A95" t="s">
        <v>816</v>
      </c>
      <c r="B95" s="1">
        <v>45065</v>
      </c>
      <c r="C95">
        <v>12099190</v>
      </c>
      <c r="D95" t="s">
        <v>1038</v>
      </c>
      <c r="E95" t="s">
        <v>869</v>
      </c>
      <c r="F95" t="s">
        <v>1039</v>
      </c>
      <c r="G95">
        <v>115.5</v>
      </c>
      <c r="H95" t="s">
        <v>28</v>
      </c>
      <c r="I95">
        <v>33.693939393939402</v>
      </c>
      <c r="J95">
        <v>3891.65</v>
      </c>
      <c r="K95">
        <v>33.69</v>
      </c>
      <c r="L95" t="s">
        <v>1040</v>
      </c>
      <c r="M95" t="s">
        <v>1041</v>
      </c>
      <c r="N95" t="s">
        <v>201</v>
      </c>
      <c r="O95" t="s">
        <v>202</v>
      </c>
      <c r="P95">
        <v>115.5</v>
      </c>
      <c r="Q95" t="s">
        <v>28</v>
      </c>
      <c r="R95">
        <v>3696</v>
      </c>
      <c r="S95">
        <v>32</v>
      </c>
      <c r="T95" t="s">
        <v>33</v>
      </c>
      <c r="U95" t="s">
        <v>163</v>
      </c>
      <c r="V95">
        <v>12</v>
      </c>
      <c r="W95">
        <v>1209</v>
      </c>
      <c r="X95" t="s">
        <v>247</v>
      </c>
      <c r="Y95">
        <v>67671902</v>
      </c>
      <c r="Z95" t="s">
        <v>873</v>
      </c>
    </row>
    <row r="96" spans="1:26" x14ac:dyDescent="0.3">
      <c r="A96" t="s">
        <v>816</v>
      </c>
      <c r="B96" s="1">
        <v>45065</v>
      </c>
      <c r="C96">
        <v>12099910</v>
      </c>
      <c r="D96" t="s">
        <v>1034</v>
      </c>
      <c r="E96" t="s">
        <v>1035</v>
      </c>
      <c r="F96" t="s">
        <v>1036</v>
      </c>
      <c r="G96">
        <v>200</v>
      </c>
      <c r="H96" t="s">
        <v>28</v>
      </c>
      <c r="I96">
        <v>15.0526</v>
      </c>
      <c r="J96">
        <v>3010.52</v>
      </c>
      <c r="K96">
        <v>15.05</v>
      </c>
      <c r="L96" t="s">
        <v>122</v>
      </c>
      <c r="M96" t="s">
        <v>123</v>
      </c>
      <c r="N96" t="s">
        <v>124</v>
      </c>
      <c r="O96" t="s">
        <v>32</v>
      </c>
      <c r="P96">
        <v>200</v>
      </c>
      <c r="Q96" t="s">
        <v>28</v>
      </c>
      <c r="R96">
        <v>2968</v>
      </c>
      <c r="S96">
        <v>14.84</v>
      </c>
      <c r="T96" t="s">
        <v>33</v>
      </c>
      <c r="U96" t="s">
        <v>163</v>
      </c>
      <c r="V96">
        <v>12</v>
      </c>
      <c r="W96">
        <v>1209</v>
      </c>
      <c r="X96" t="s">
        <v>247</v>
      </c>
      <c r="Y96">
        <v>68453394</v>
      </c>
      <c r="Z96" t="s">
        <v>1037</v>
      </c>
    </row>
    <row r="97" spans="1:26" x14ac:dyDescent="0.3">
      <c r="A97" t="s">
        <v>816</v>
      </c>
      <c r="B97" s="1">
        <v>45076</v>
      </c>
      <c r="C97">
        <v>12099190</v>
      </c>
      <c r="D97" t="s">
        <v>1042</v>
      </c>
      <c r="E97" t="s">
        <v>830</v>
      </c>
      <c r="F97" t="s">
        <v>831</v>
      </c>
      <c r="G97">
        <v>50</v>
      </c>
      <c r="H97" t="s">
        <v>28</v>
      </c>
      <c r="I97">
        <v>6.4894000000000007</v>
      </c>
      <c r="J97">
        <v>324.47000000000003</v>
      </c>
      <c r="K97">
        <v>6.49</v>
      </c>
      <c r="L97" t="s">
        <v>57</v>
      </c>
      <c r="M97" t="s">
        <v>58</v>
      </c>
      <c r="N97" t="s">
        <v>59</v>
      </c>
      <c r="O97" t="s">
        <v>60</v>
      </c>
      <c r="P97">
        <v>50</v>
      </c>
      <c r="Q97" t="s">
        <v>28</v>
      </c>
      <c r="R97">
        <v>325</v>
      </c>
      <c r="S97">
        <v>6.5</v>
      </c>
      <c r="T97" t="s">
        <v>33</v>
      </c>
      <c r="U97" t="s">
        <v>163</v>
      </c>
      <c r="V97">
        <v>12</v>
      </c>
      <c r="W97">
        <v>1209</v>
      </c>
      <c r="X97" t="s">
        <v>247</v>
      </c>
      <c r="Y97">
        <v>73147996</v>
      </c>
      <c r="Z97" t="s">
        <v>832</v>
      </c>
    </row>
    <row r="98" spans="1:26" x14ac:dyDescent="0.3">
      <c r="A98" t="s">
        <v>816</v>
      </c>
      <c r="B98" s="1">
        <v>45089</v>
      </c>
      <c r="C98">
        <v>12099190</v>
      </c>
      <c r="D98" t="s">
        <v>1043</v>
      </c>
      <c r="E98" t="s">
        <v>1044</v>
      </c>
      <c r="F98" t="s">
        <v>79</v>
      </c>
      <c r="G98">
        <v>25</v>
      </c>
      <c r="H98" t="s">
        <v>28</v>
      </c>
      <c r="I98">
        <v>4.798</v>
      </c>
      <c r="J98">
        <v>119.95</v>
      </c>
      <c r="K98">
        <v>4.8</v>
      </c>
      <c r="L98" t="s">
        <v>1045</v>
      </c>
      <c r="M98" t="s">
        <v>190</v>
      </c>
      <c r="N98" t="s">
        <v>51</v>
      </c>
      <c r="O98" t="s">
        <v>32</v>
      </c>
      <c r="P98">
        <v>25</v>
      </c>
      <c r="Q98" t="s">
        <v>28</v>
      </c>
      <c r="R98">
        <v>121.75</v>
      </c>
      <c r="S98">
        <v>4.87</v>
      </c>
      <c r="T98" t="s">
        <v>33</v>
      </c>
      <c r="U98" t="s">
        <v>163</v>
      </c>
      <c r="V98">
        <v>12</v>
      </c>
      <c r="W98">
        <v>1209</v>
      </c>
      <c r="X98" t="s">
        <v>258</v>
      </c>
      <c r="Y98">
        <v>76742617</v>
      </c>
      <c r="Z98" t="s">
        <v>1046</v>
      </c>
    </row>
    <row r="99" spans="1:26" x14ac:dyDescent="0.3">
      <c r="A99" t="s">
        <v>852</v>
      </c>
      <c r="B99" s="1">
        <v>45091</v>
      </c>
      <c r="C99">
        <v>13021919</v>
      </c>
      <c r="D99" t="s">
        <v>1047</v>
      </c>
      <c r="E99" t="s">
        <v>854</v>
      </c>
      <c r="F99" t="s">
        <v>1048</v>
      </c>
      <c r="G99">
        <v>500</v>
      </c>
      <c r="H99" t="s">
        <v>28</v>
      </c>
      <c r="I99">
        <v>47.54242</v>
      </c>
      <c r="J99">
        <v>23771.21</v>
      </c>
      <c r="K99">
        <v>47.54</v>
      </c>
      <c r="L99" t="s">
        <v>1049</v>
      </c>
      <c r="M99" t="s">
        <v>857</v>
      </c>
      <c r="N99" t="s">
        <v>113</v>
      </c>
      <c r="O99" t="s">
        <v>32</v>
      </c>
      <c r="P99">
        <v>500</v>
      </c>
      <c r="Q99" t="s">
        <v>28</v>
      </c>
      <c r="R99">
        <v>22750</v>
      </c>
      <c r="S99">
        <v>45.5</v>
      </c>
      <c r="T99" t="s">
        <v>286</v>
      </c>
      <c r="U99" t="s">
        <v>351</v>
      </c>
      <c r="V99">
        <v>13</v>
      </c>
      <c r="W99">
        <v>1302</v>
      </c>
      <c r="X99" t="s">
        <v>258</v>
      </c>
      <c r="Y99">
        <v>76275128</v>
      </c>
      <c r="Z99" t="s">
        <v>858</v>
      </c>
    </row>
    <row r="100" spans="1:26" x14ac:dyDescent="0.3">
      <c r="A100" t="s">
        <v>852</v>
      </c>
      <c r="B100" s="1">
        <v>45099</v>
      </c>
      <c r="C100">
        <v>13021919</v>
      </c>
      <c r="D100" t="s">
        <v>927</v>
      </c>
      <c r="E100" t="s">
        <v>928</v>
      </c>
      <c r="F100" t="s">
        <v>79</v>
      </c>
      <c r="G100">
        <v>15</v>
      </c>
      <c r="H100" t="s">
        <v>28</v>
      </c>
      <c r="I100">
        <v>269.07733333333329</v>
      </c>
      <c r="J100">
        <v>4036.16</v>
      </c>
      <c r="K100">
        <v>269.08</v>
      </c>
      <c r="L100" t="s">
        <v>929</v>
      </c>
      <c r="M100" t="s">
        <v>930</v>
      </c>
      <c r="N100" t="s">
        <v>931</v>
      </c>
      <c r="O100" t="s">
        <v>202</v>
      </c>
      <c r="P100">
        <v>15</v>
      </c>
      <c r="Q100" t="s">
        <v>28</v>
      </c>
      <c r="R100">
        <v>4050</v>
      </c>
      <c r="S100">
        <v>270</v>
      </c>
      <c r="T100" t="s">
        <v>33</v>
      </c>
      <c r="U100" t="s">
        <v>351</v>
      </c>
      <c r="V100">
        <v>13</v>
      </c>
      <c r="W100">
        <v>1302</v>
      </c>
      <c r="X100" t="s">
        <v>258</v>
      </c>
      <c r="Y100">
        <v>81760938</v>
      </c>
      <c r="Z100" t="s">
        <v>932</v>
      </c>
    </row>
    <row r="101" spans="1:26" x14ac:dyDescent="0.3">
      <c r="A101" t="s">
        <v>816</v>
      </c>
      <c r="B101" s="1">
        <v>45099</v>
      </c>
      <c r="C101">
        <v>12099190</v>
      </c>
      <c r="D101" t="s">
        <v>1050</v>
      </c>
      <c r="E101" t="s">
        <v>869</v>
      </c>
      <c r="F101" t="s">
        <v>1051</v>
      </c>
      <c r="G101">
        <v>2021.1</v>
      </c>
      <c r="H101" t="s">
        <v>28</v>
      </c>
      <c r="I101">
        <v>80.115842857849685</v>
      </c>
      <c r="J101">
        <v>161922.13</v>
      </c>
      <c r="K101">
        <v>80.12</v>
      </c>
      <c r="L101" t="s">
        <v>949</v>
      </c>
      <c r="M101" t="s">
        <v>252</v>
      </c>
      <c r="N101" t="s">
        <v>201</v>
      </c>
      <c r="O101" t="s">
        <v>202</v>
      </c>
      <c r="P101">
        <v>2021.1</v>
      </c>
      <c r="Q101" t="s">
        <v>28</v>
      </c>
      <c r="R101">
        <v>161688</v>
      </c>
      <c r="S101">
        <v>80</v>
      </c>
      <c r="T101" t="s">
        <v>33</v>
      </c>
      <c r="U101" t="s">
        <v>163</v>
      </c>
      <c r="V101">
        <v>12</v>
      </c>
      <c r="W101">
        <v>1209</v>
      </c>
      <c r="X101" t="s">
        <v>258</v>
      </c>
      <c r="Y101">
        <v>77939846</v>
      </c>
      <c r="Z101" t="s">
        <v>873</v>
      </c>
    </row>
    <row r="102" spans="1:26" x14ac:dyDescent="0.3">
      <c r="A102" t="s">
        <v>816</v>
      </c>
      <c r="B102" s="1">
        <v>45111</v>
      </c>
      <c r="C102">
        <v>12099190</v>
      </c>
      <c r="D102" t="s">
        <v>1050</v>
      </c>
      <c r="E102" t="s">
        <v>869</v>
      </c>
      <c r="F102" t="s">
        <v>1051</v>
      </c>
      <c r="G102">
        <v>2021.1</v>
      </c>
      <c r="H102" t="s">
        <v>28</v>
      </c>
      <c r="I102">
        <v>80.115842857849685</v>
      </c>
      <c r="J102">
        <v>161922.13</v>
      </c>
      <c r="K102">
        <v>80.12</v>
      </c>
      <c r="L102" t="s">
        <v>949</v>
      </c>
      <c r="M102" t="s">
        <v>252</v>
      </c>
      <c r="N102" t="s">
        <v>201</v>
      </c>
      <c r="O102" t="s">
        <v>202</v>
      </c>
      <c r="P102">
        <v>2021.1</v>
      </c>
      <c r="Q102" t="s">
        <v>28</v>
      </c>
      <c r="R102">
        <v>161688</v>
      </c>
      <c r="S102">
        <v>80</v>
      </c>
      <c r="T102" t="s">
        <v>33</v>
      </c>
      <c r="U102" t="s">
        <v>163</v>
      </c>
      <c r="V102">
        <v>12</v>
      </c>
      <c r="W102">
        <v>1209</v>
      </c>
      <c r="X102" t="s">
        <v>287</v>
      </c>
      <c r="Y102">
        <v>82469422</v>
      </c>
      <c r="Z102" t="s">
        <v>873</v>
      </c>
    </row>
    <row r="103" spans="1:26" x14ac:dyDescent="0.3">
      <c r="A103" t="s">
        <v>810</v>
      </c>
      <c r="B103" s="1">
        <v>45112</v>
      </c>
      <c r="C103">
        <v>12119029</v>
      </c>
      <c r="D103" t="s">
        <v>1052</v>
      </c>
      <c r="E103" t="s">
        <v>1053</v>
      </c>
      <c r="F103" t="s">
        <v>1018</v>
      </c>
      <c r="G103">
        <v>25</v>
      </c>
      <c r="H103" t="s">
        <v>28</v>
      </c>
      <c r="I103">
        <v>11.5648</v>
      </c>
      <c r="J103">
        <v>289.12</v>
      </c>
      <c r="K103">
        <v>11.56</v>
      </c>
      <c r="L103" t="s">
        <v>826</v>
      </c>
      <c r="M103" t="s">
        <v>827</v>
      </c>
      <c r="N103" t="s">
        <v>669</v>
      </c>
      <c r="O103" t="s">
        <v>202</v>
      </c>
      <c r="P103">
        <v>25</v>
      </c>
      <c r="Q103" t="s">
        <v>28</v>
      </c>
      <c r="R103">
        <v>312.5</v>
      </c>
      <c r="S103">
        <v>12.5</v>
      </c>
      <c r="T103" t="s">
        <v>33</v>
      </c>
      <c r="U103" t="s">
        <v>814</v>
      </c>
      <c r="V103">
        <v>12</v>
      </c>
      <c r="W103">
        <v>1211</v>
      </c>
      <c r="X103" t="s">
        <v>287</v>
      </c>
      <c r="Y103">
        <v>83269751</v>
      </c>
      <c r="Z103" t="s">
        <v>1054</v>
      </c>
    </row>
    <row r="104" spans="1:26" x14ac:dyDescent="0.3">
      <c r="A104" t="s">
        <v>816</v>
      </c>
      <c r="B104" s="1">
        <v>45112</v>
      </c>
      <c r="C104">
        <v>12099190</v>
      </c>
      <c r="D104" t="s">
        <v>1055</v>
      </c>
      <c r="E104" t="s">
        <v>869</v>
      </c>
      <c r="F104" t="s">
        <v>1051</v>
      </c>
      <c r="G104">
        <v>461.4</v>
      </c>
      <c r="H104" t="s">
        <v>28</v>
      </c>
      <c r="I104">
        <v>109.9970091027308</v>
      </c>
      <c r="J104">
        <v>50752.62</v>
      </c>
      <c r="K104">
        <v>110</v>
      </c>
      <c r="L104" t="s">
        <v>251</v>
      </c>
      <c r="M104" t="s">
        <v>252</v>
      </c>
      <c r="N104" t="s">
        <v>113</v>
      </c>
      <c r="O104" t="s">
        <v>32</v>
      </c>
      <c r="P104">
        <v>461.4</v>
      </c>
      <c r="Q104" t="s">
        <v>28</v>
      </c>
      <c r="R104">
        <v>50754</v>
      </c>
      <c r="S104">
        <v>110</v>
      </c>
      <c r="T104" t="s">
        <v>33</v>
      </c>
      <c r="U104" t="s">
        <v>163</v>
      </c>
      <c r="V104">
        <v>12</v>
      </c>
      <c r="W104">
        <v>1209</v>
      </c>
      <c r="X104" t="s">
        <v>287</v>
      </c>
      <c r="Y104">
        <v>83083017</v>
      </c>
      <c r="Z104" t="s">
        <v>873</v>
      </c>
    </row>
    <row r="105" spans="1:26" x14ac:dyDescent="0.3">
      <c r="A105" t="s">
        <v>816</v>
      </c>
      <c r="B105" s="1">
        <v>45112</v>
      </c>
      <c r="C105">
        <v>12099190</v>
      </c>
      <c r="D105" t="s">
        <v>1056</v>
      </c>
      <c r="E105" t="s">
        <v>869</v>
      </c>
      <c r="F105" t="s">
        <v>1051</v>
      </c>
      <c r="G105">
        <v>369.9</v>
      </c>
      <c r="H105" t="s">
        <v>28</v>
      </c>
      <c r="I105">
        <v>109.9773452284401</v>
      </c>
      <c r="J105">
        <v>40680.620000000003</v>
      </c>
      <c r="K105">
        <v>109.98</v>
      </c>
      <c r="L105" t="s">
        <v>251</v>
      </c>
      <c r="M105" t="s">
        <v>252</v>
      </c>
      <c r="N105" t="s">
        <v>113</v>
      </c>
      <c r="O105" t="s">
        <v>32</v>
      </c>
      <c r="P105">
        <v>369.9</v>
      </c>
      <c r="Q105" t="s">
        <v>28</v>
      </c>
      <c r="R105">
        <v>40689</v>
      </c>
      <c r="S105">
        <v>110</v>
      </c>
      <c r="T105" t="s">
        <v>33</v>
      </c>
      <c r="U105" t="s">
        <v>163</v>
      </c>
      <c r="V105">
        <v>12</v>
      </c>
      <c r="W105">
        <v>1209</v>
      </c>
      <c r="X105" t="s">
        <v>287</v>
      </c>
      <c r="Y105">
        <v>83083021</v>
      </c>
      <c r="Z105" t="s">
        <v>873</v>
      </c>
    </row>
    <row r="106" spans="1:26" x14ac:dyDescent="0.3">
      <c r="A106" t="s">
        <v>816</v>
      </c>
      <c r="B106" s="1">
        <v>45112</v>
      </c>
      <c r="C106">
        <v>12099190</v>
      </c>
      <c r="D106" t="s">
        <v>1057</v>
      </c>
      <c r="E106" t="s">
        <v>869</v>
      </c>
      <c r="F106" t="s">
        <v>1051</v>
      </c>
      <c r="G106">
        <v>101.1</v>
      </c>
      <c r="H106" t="s">
        <v>28</v>
      </c>
      <c r="I106">
        <v>90.0379821958457</v>
      </c>
      <c r="J106">
        <v>9102.84</v>
      </c>
      <c r="K106">
        <v>90.04</v>
      </c>
      <c r="L106" t="s">
        <v>251</v>
      </c>
      <c r="M106" t="s">
        <v>252</v>
      </c>
      <c r="N106" t="s">
        <v>113</v>
      </c>
      <c r="O106" t="s">
        <v>32</v>
      </c>
      <c r="P106">
        <v>101.1</v>
      </c>
      <c r="Q106" t="s">
        <v>28</v>
      </c>
      <c r="R106">
        <v>9099</v>
      </c>
      <c r="S106">
        <v>90</v>
      </c>
      <c r="T106" t="s">
        <v>33</v>
      </c>
      <c r="U106" t="s">
        <v>163</v>
      </c>
      <c r="V106">
        <v>12</v>
      </c>
      <c r="W106">
        <v>1209</v>
      </c>
      <c r="X106" t="s">
        <v>287</v>
      </c>
      <c r="Y106">
        <v>83083019</v>
      </c>
      <c r="Z106" t="s">
        <v>873</v>
      </c>
    </row>
    <row r="107" spans="1:26" x14ac:dyDescent="0.3">
      <c r="A107" t="s">
        <v>816</v>
      </c>
      <c r="B107" s="1">
        <v>45112</v>
      </c>
      <c r="C107">
        <v>12099190</v>
      </c>
      <c r="D107" t="s">
        <v>1058</v>
      </c>
      <c r="E107" t="s">
        <v>869</v>
      </c>
      <c r="F107" t="s">
        <v>1051</v>
      </c>
      <c r="G107">
        <v>342.8</v>
      </c>
      <c r="H107" t="s">
        <v>28</v>
      </c>
      <c r="I107">
        <v>109.97520420070011</v>
      </c>
      <c r="J107">
        <v>37699.5</v>
      </c>
      <c r="K107">
        <v>109.98</v>
      </c>
      <c r="L107" t="s">
        <v>251</v>
      </c>
      <c r="M107" t="s">
        <v>252</v>
      </c>
      <c r="N107" t="s">
        <v>113</v>
      </c>
      <c r="O107" t="s">
        <v>32</v>
      </c>
      <c r="P107">
        <v>342.8</v>
      </c>
      <c r="Q107" t="s">
        <v>28</v>
      </c>
      <c r="R107">
        <v>37708</v>
      </c>
      <c r="S107">
        <v>110</v>
      </c>
      <c r="T107" t="s">
        <v>33</v>
      </c>
      <c r="U107" t="s">
        <v>163</v>
      </c>
      <c r="V107">
        <v>12</v>
      </c>
      <c r="W107">
        <v>1209</v>
      </c>
      <c r="X107" t="s">
        <v>287</v>
      </c>
      <c r="Y107">
        <v>83083020</v>
      </c>
      <c r="Z107" t="s">
        <v>873</v>
      </c>
    </row>
    <row r="108" spans="1:26" x14ac:dyDescent="0.3">
      <c r="A108" t="s">
        <v>816</v>
      </c>
      <c r="B108" s="1">
        <v>45112</v>
      </c>
      <c r="C108">
        <v>12099190</v>
      </c>
      <c r="D108" t="s">
        <v>1059</v>
      </c>
      <c r="E108" t="s">
        <v>869</v>
      </c>
      <c r="F108" t="s">
        <v>1051</v>
      </c>
      <c r="G108">
        <v>713.2</v>
      </c>
      <c r="H108" t="s">
        <v>28</v>
      </c>
      <c r="I108">
        <v>79.986118900729096</v>
      </c>
      <c r="J108">
        <v>57046.1</v>
      </c>
      <c r="K108">
        <v>79.989999999999995</v>
      </c>
      <c r="L108" t="s">
        <v>251</v>
      </c>
      <c r="M108" t="s">
        <v>252</v>
      </c>
      <c r="N108" t="s">
        <v>113</v>
      </c>
      <c r="O108" t="s">
        <v>32</v>
      </c>
      <c r="P108">
        <v>713.2</v>
      </c>
      <c r="Q108" t="s">
        <v>28</v>
      </c>
      <c r="R108">
        <v>57056</v>
      </c>
      <c r="S108">
        <v>80</v>
      </c>
      <c r="T108" t="s">
        <v>33</v>
      </c>
      <c r="U108" t="s">
        <v>163</v>
      </c>
      <c r="V108">
        <v>12</v>
      </c>
      <c r="W108">
        <v>1209</v>
      </c>
      <c r="X108" t="s">
        <v>287</v>
      </c>
      <c r="Y108">
        <v>83083018</v>
      </c>
      <c r="Z108" t="s">
        <v>873</v>
      </c>
    </row>
    <row r="109" spans="1:26" x14ac:dyDescent="0.3">
      <c r="A109" t="s">
        <v>816</v>
      </c>
      <c r="B109" s="1">
        <v>45112</v>
      </c>
      <c r="C109">
        <v>12099190</v>
      </c>
      <c r="D109" t="s">
        <v>1060</v>
      </c>
      <c r="E109" t="s">
        <v>869</v>
      </c>
      <c r="F109" t="s">
        <v>1051</v>
      </c>
      <c r="G109">
        <v>208.7</v>
      </c>
      <c r="H109" t="s">
        <v>28</v>
      </c>
      <c r="I109">
        <v>80.003449928126514</v>
      </c>
      <c r="J109">
        <v>16696.72</v>
      </c>
      <c r="K109">
        <v>80</v>
      </c>
      <c r="L109" t="s">
        <v>251</v>
      </c>
      <c r="M109" t="s">
        <v>252</v>
      </c>
      <c r="N109" t="s">
        <v>113</v>
      </c>
      <c r="O109" t="s">
        <v>32</v>
      </c>
      <c r="P109">
        <v>208.7</v>
      </c>
      <c r="Q109" t="s">
        <v>28</v>
      </c>
      <c r="R109">
        <v>16696</v>
      </c>
      <c r="S109">
        <v>80</v>
      </c>
      <c r="T109" t="s">
        <v>33</v>
      </c>
      <c r="U109" t="s">
        <v>163</v>
      </c>
      <c r="V109">
        <v>12</v>
      </c>
      <c r="W109">
        <v>1209</v>
      </c>
      <c r="X109" t="s">
        <v>287</v>
      </c>
      <c r="Y109">
        <v>83083016</v>
      </c>
      <c r="Z109" t="s">
        <v>873</v>
      </c>
    </row>
    <row r="110" spans="1:26" x14ac:dyDescent="0.3">
      <c r="A110" t="s">
        <v>816</v>
      </c>
      <c r="B110" s="1">
        <v>45120</v>
      </c>
      <c r="C110">
        <v>12099190</v>
      </c>
      <c r="D110" t="s">
        <v>1061</v>
      </c>
      <c r="E110" t="s">
        <v>1062</v>
      </c>
      <c r="F110" t="s">
        <v>1063</v>
      </c>
      <c r="G110">
        <v>50</v>
      </c>
      <c r="H110" t="s">
        <v>28</v>
      </c>
      <c r="I110">
        <v>2.8841999999999999</v>
      </c>
      <c r="J110">
        <v>144.21</v>
      </c>
      <c r="K110">
        <v>2.88</v>
      </c>
      <c r="L110" t="s">
        <v>57</v>
      </c>
      <c r="M110" t="s">
        <v>58</v>
      </c>
      <c r="N110" t="s">
        <v>59</v>
      </c>
      <c r="O110" t="s">
        <v>60</v>
      </c>
      <c r="P110">
        <v>50</v>
      </c>
      <c r="Q110" t="s">
        <v>28</v>
      </c>
      <c r="R110">
        <v>150</v>
      </c>
      <c r="S110">
        <v>3</v>
      </c>
      <c r="T110" t="s">
        <v>33</v>
      </c>
      <c r="U110" t="s">
        <v>163</v>
      </c>
      <c r="V110">
        <v>12</v>
      </c>
      <c r="W110">
        <v>1209</v>
      </c>
      <c r="X110" t="s">
        <v>287</v>
      </c>
      <c r="Y110">
        <v>93968386</v>
      </c>
      <c r="Z110" t="s">
        <v>1064</v>
      </c>
    </row>
    <row r="111" spans="1:26" x14ac:dyDescent="0.3">
      <c r="A111" t="s">
        <v>892</v>
      </c>
      <c r="B111" s="1">
        <v>45120</v>
      </c>
      <c r="C111">
        <v>19041090</v>
      </c>
      <c r="D111" t="s">
        <v>1065</v>
      </c>
      <c r="E111" t="s">
        <v>1066</v>
      </c>
      <c r="F111" t="s">
        <v>1067</v>
      </c>
      <c r="G111">
        <v>1058.4000000000001</v>
      </c>
      <c r="H111" t="s">
        <v>28</v>
      </c>
      <c r="I111">
        <v>3.156594860166289</v>
      </c>
      <c r="J111">
        <v>3340.94</v>
      </c>
      <c r="K111">
        <v>3.16</v>
      </c>
      <c r="L111" t="s">
        <v>1068</v>
      </c>
      <c r="M111" t="s">
        <v>827</v>
      </c>
      <c r="N111" t="s">
        <v>1069</v>
      </c>
      <c r="O111" t="s">
        <v>32</v>
      </c>
      <c r="P111">
        <v>1058.4000000000001</v>
      </c>
      <c r="Q111" t="s">
        <v>28</v>
      </c>
      <c r="R111">
        <v>3344.54</v>
      </c>
      <c r="S111">
        <v>3.16</v>
      </c>
      <c r="T111" t="s">
        <v>33</v>
      </c>
      <c r="U111" t="s">
        <v>1070</v>
      </c>
      <c r="V111">
        <v>19</v>
      </c>
      <c r="W111">
        <v>1904</v>
      </c>
      <c r="X111" t="s">
        <v>287</v>
      </c>
      <c r="Y111">
        <v>83944558</v>
      </c>
      <c r="Z111" t="s">
        <v>1071</v>
      </c>
    </row>
    <row r="112" spans="1:26" x14ac:dyDescent="0.3">
      <c r="A112" t="s">
        <v>816</v>
      </c>
      <c r="B112" s="1">
        <v>45126</v>
      </c>
      <c r="C112">
        <v>12099190</v>
      </c>
      <c r="D112" t="s">
        <v>1072</v>
      </c>
      <c r="E112" t="s">
        <v>1073</v>
      </c>
      <c r="F112" t="s">
        <v>1074</v>
      </c>
      <c r="G112">
        <v>2</v>
      </c>
      <c r="H112" t="s">
        <v>28</v>
      </c>
      <c r="I112">
        <v>96.14</v>
      </c>
      <c r="J112">
        <v>192.28</v>
      </c>
      <c r="K112">
        <v>96.14</v>
      </c>
      <c r="L112" t="s">
        <v>1075</v>
      </c>
      <c r="M112" t="s">
        <v>1076</v>
      </c>
      <c r="N112" t="s">
        <v>669</v>
      </c>
      <c r="O112" t="s">
        <v>202</v>
      </c>
      <c r="P112">
        <v>2</v>
      </c>
      <c r="Q112" t="s">
        <v>28</v>
      </c>
      <c r="R112">
        <v>200</v>
      </c>
      <c r="S112">
        <v>100</v>
      </c>
      <c r="T112" t="s">
        <v>33</v>
      </c>
      <c r="U112" t="s">
        <v>163</v>
      </c>
      <c r="V112">
        <v>12</v>
      </c>
      <c r="W112">
        <v>1209</v>
      </c>
      <c r="X112" t="s">
        <v>287</v>
      </c>
      <c r="Y112">
        <v>83930251</v>
      </c>
      <c r="Z112" t="s">
        <v>1077</v>
      </c>
    </row>
    <row r="113" spans="1:26" x14ac:dyDescent="0.3">
      <c r="A113" t="s">
        <v>816</v>
      </c>
      <c r="B113" s="1">
        <v>45129</v>
      </c>
      <c r="C113">
        <v>12099190</v>
      </c>
      <c r="D113" t="s">
        <v>1078</v>
      </c>
      <c r="E113" t="s">
        <v>1079</v>
      </c>
      <c r="F113" t="s">
        <v>1080</v>
      </c>
      <c r="G113">
        <v>60</v>
      </c>
      <c r="H113" t="s">
        <v>28</v>
      </c>
      <c r="I113">
        <v>23.557166666666671</v>
      </c>
      <c r="J113">
        <v>1413.43</v>
      </c>
      <c r="K113">
        <v>23.56</v>
      </c>
      <c r="L113" t="s">
        <v>57</v>
      </c>
      <c r="M113" t="s">
        <v>58</v>
      </c>
      <c r="N113" t="s">
        <v>59</v>
      </c>
      <c r="O113" t="s">
        <v>60</v>
      </c>
      <c r="P113">
        <v>60</v>
      </c>
      <c r="Q113" t="s">
        <v>28</v>
      </c>
      <c r="R113">
        <v>1416</v>
      </c>
      <c r="S113">
        <v>23.6</v>
      </c>
      <c r="T113" t="s">
        <v>33</v>
      </c>
      <c r="U113" t="s">
        <v>163</v>
      </c>
      <c r="V113">
        <v>12</v>
      </c>
      <c r="W113">
        <v>1209</v>
      </c>
      <c r="X113" t="s">
        <v>287</v>
      </c>
      <c r="Y113">
        <v>93972775</v>
      </c>
      <c r="Z113" t="s">
        <v>1081</v>
      </c>
    </row>
    <row r="114" spans="1:26" x14ac:dyDescent="0.3">
      <c r="A114" t="s">
        <v>816</v>
      </c>
      <c r="B114" s="1">
        <v>45138</v>
      </c>
      <c r="C114">
        <v>12099190</v>
      </c>
      <c r="D114" t="s">
        <v>1082</v>
      </c>
      <c r="E114" t="s">
        <v>1079</v>
      </c>
      <c r="F114" t="s">
        <v>357</v>
      </c>
      <c r="G114">
        <v>1094</v>
      </c>
      <c r="H114" t="s">
        <v>28</v>
      </c>
      <c r="I114">
        <v>1.9997623400365629</v>
      </c>
      <c r="J114">
        <v>2187.7399999999998</v>
      </c>
      <c r="K114">
        <v>2</v>
      </c>
      <c r="L114" t="s">
        <v>358</v>
      </c>
      <c r="M114" t="s">
        <v>58</v>
      </c>
      <c r="N114" t="s">
        <v>359</v>
      </c>
      <c r="O114" t="s">
        <v>60</v>
      </c>
      <c r="P114">
        <v>1094</v>
      </c>
      <c r="Q114" t="s">
        <v>28</v>
      </c>
      <c r="R114">
        <v>2188</v>
      </c>
      <c r="S114">
        <v>2</v>
      </c>
      <c r="T114" t="s">
        <v>33</v>
      </c>
      <c r="U114" t="s">
        <v>163</v>
      </c>
      <c r="V114">
        <v>12</v>
      </c>
      <c r="W114">
        <v>1209</v>
      </c>
      <c r="X114" t="s">
        <v>287</v>
      </c>
      <c r="Y114">
        <v>86052639</v>
      </c>
      <c r="Z114" t="s">
        <v>1081</v>
      </c>
    </row>
    <row r="115" spans="1:26" x14ac:dyDescent="0.3">
      <c r="A115" t="s">
        <v>816</v>
      </c>
      <c r="B115" s="1">
        <v>45141</v>
      </c>
      <c r="C115">
        <v>12099190</v>
      </c>
      <c r="D115" t="s">
        <v>1083</v>
      </c>
      <c r="E115" t="s">
        <v>1084</v>
      </c>
      <c r="F115" t="s">
        <v>1085</v>
      </c>
      <c r="G115">
        <v>50</v>
      </c>
      <c r="H115" t="s">
        <v>28</v>
      </c>
      <c r="I115">
        <v>32.939</v>
      </c>
      <c r="J115">
        <v>1646.95</v>
      </c>
      <c r="K115">
        <v>32.94</v>
      </c>
      <c r="L115" t="s">
        <v>1086</v>
      </c>
      <c r="M115" t="s">
        <v>211</v>
      </c>
      <c r="N115" t="s">
        <v>201</v>
      </c>
      <c r="O115" t="s">
        <v>202</v>
      </c>
      <c r="P115">
        <v>50</v>
      </c>
      <c r="Q115" t="s">
        <v>28</v>
      </c>
      <c r="R115">
        <v>1650</v>
      </c>
      <c r="S115">
        <v>33</v>
      </c>
      <c r="T115" t="s">
        <v>33</v>
      </c>
      <c r="U115" t="s">
        <v>163</v>
      </c>
      <c r="V115">
        <v>12</v>
      </c>
      <c r="W115">
        <v>1209</v>
      </c>
      <c r="X115" t="s">
        <v>295</v>
      </c>
      <c r="Y115">
        <v>95022259</v>
      </c>
      <c r="Z115" t="s">
        <v>1087</v>
      </c>
    </row>
    <row r="116" spans="1:26" x14ac:dyDescent="0.3">
      <c r="A116" t="s">
        <v>816</v>
      </c>
      <c r="B116" s="1">
        <v>45146</v>
      </c>
      <c r="C116">
        <v>12099190</v>
      </c>
      <c r="D116" t="s">
        <v>921</v>
      </c>
      <c r="E116" t="s">
        <v>922</v>
      </c>
      <c r="F116" t="s">
        <v>923</v>
      </c>
      <c r="G116">
        <v>20</v>
      </c>
      <c r="H116" t="s">
        <v>28</v>
      </c>
      <c r="I116">
        <v>24.53</v>
      </c>
      <c r="J116">
        <v>490.6</v>
      </c>
      <c r="K116">
        <v>24.53</v>
      </c>
      <c r="L116" t="s">
        <v>358</v>
      </c>
      <c r="M116" t="s">
        <v>58</v>
      </c>
      <c r="N116" t="s">
        <v>359</v>
      </c>
      <c r="O116" t="s">
        <v>60</v>
      </c>
      <c r="P116">
        <v>20</v>
      </c>
      <c r="Q116" t="s">
        <v>28</v>
      </c>
      <c r="R116">
        <v>500</v>
      </c>
      <c r="S116">
        <v>25</v>
      </c>
      <c r="T116" t="s">
        <v>33</v>
      </c>
      <c r="U116" t="s">
        <v>163</v>
      </c>
      <c r="V116">
        <v>12</v>
      </c>
      <c r="W116">
        <v>1209</v>
      </c>
      <c r="X116" t="s">
        <v>295</v>
      </c>
      <c r="Y116">
        <v>95710498</v>
      </c>
      <c r="Z116" t="s">
        <v>924</v>
      </c>
    </row>
    <row r="117" spans="1:26" x14ac:dyDescent="0.3">
      <c r="A117" t="s">
        <v>816</v>
      </c>
      <c r="B117" s="1">
        <v>45147</v>
      </c>
      <c r="C117">
        <v>12099190</v>
      </c>
      <c r="D117" t="s">
        <v>1061</v>
      </c>
      <c r="E117" t="s">
        <v>1062</v>
      </c>
      <c r="F117" t="s">
        <v>1063</v>
      </c>
      <c r="G117">
        <v>200</v>
      </c>
      <c r="H117" t="s">
        <v>28</v>
      </c>
      <c r="I117">
        <v>2.9316</v>
      </c>
      <c r="J117">
        <v>586.32000000000005</v>
      </c>
      <c r="K117">
        <v>2.93</v>
      </c>
      <c r="L117" t="s">
        <v>57</v>
      </c>
      <c r="M117" t="s">
        <v>58</v>
      </c>
      <c r="N117" t="s">
        <v>59</v>
      </c>
      <c r="O117" t="s">
        <v>60</v>
      </c>
      <c r="P117">
        <v>200</v>
      </c>
      <c r="Q117" t="s">
        <v>28</v>
      </c>
      <c r="R117">
        <v>600</v>
      </c>
      <c r="S117">
        <v>3</v>
      </c>
      <c r="T117" t="s">
        <v>33</v>
      </c>
      <c r="U117" t="s">
        <v>163</v>
      </c>
      <c r="V117">
        <v>12</v>
      </c>
      <c r="W117">
        <v>1209</v>
      </c>
      <c r="X117" t="s">
        <v>295</v>
      </c>
      <c r="Y117">
        <v>101580975</v>
      </c>
      <c r="Z117" t="s">
        <v>1064</v>
      </c>
    </row>
    <row r="118" spans="1:26" x14ac:dyDescent="0.3">
      <c r="A118" t="s">
        <v>816</v>
      </c>
      <c r="B118" s="1">
        <v>45149</v>
      </c>
      <c r="C118">
        <v>12099990</v>
      </c>
      <c r="D118" t="s">
        <v>1088</v>
      </c>
      <c r="E118" t="s">
        <v>886</v>
      </c>
      <c r="F118" t="s">
        <v>1089</v>
      </c>
      <c r="G118">
        <v>2.5</v>
      </c>
      <c r="H118" t="s">
        <v>28</v>
      </c>
      <c r="I118">
        <v>95.727999999999994</v>
      </c>
      <c r="J118">
        <v>239.32</v>
      </c>
      <c r="K118">
        <v>95.73</v>
      </c>
      <c r="L118" t="s">
        <v>850</v>
      </c>
      <c r="M118" t="s">
        <v>157</v>
      </c>
      <c r="N118" t="s">
        <v>669</v>
      </c>
      <c r="O118" t="s">
        <v>202</v>
      </c>
      <c r="P118">
        <v>2.5</v>
      </c>
      <c r="Q118" t="s">
        <v>28</v>
      </c>
      <c r="R118">
        <v>225</v>
      </c>
      <c r="S118">
        <v>90</v>
      </c>
      <c r="T118" t="s">
        <v>33</v>
      </c>
      <c r="U118" t="s">
        <v>163</v>
      </c>
      <c r="V118">
        <v>12</v>
      </c>
      <c r="W118">
        <v>1209</v>
      </c>
      <c r="X118" t="s">
        <v>295</v>
      </c>
      <c r="Y118">
        <v>96444649</v>
      </c>
      <c r="Z118" t="s">
        <v>888</v>
      </c>
    </row>
    <row r="119" spans="1:26" x14ac:dyDescent="0.3">
      <c r="A119" t="s">
        <v>816</v>
      </c>
      <c r="B119" s="1">
        <v>45149</v>
      </c>
      <c r="C119">
        <v>12099990</v>
      </c>
      <c r="D119" t="s">
        <v>1090</v>
      </c>
      <c r="E119" t="s">
        <v>886</v>
      </c>
      <c r="F119" t="s">
        <v>1089</v>
      </c>
      <c r="G119">
        <v>1</v>
      </c>
      <c r="H119" t="s">
        <v>28</v>
      </c>
      <c r="I119">
        <v>95.73</v>
      </c>
      <c r="J119">
        <v>95.73</v>
      </c>
      <c r="K119">
        <v>95.73</v>
      </c>
      <c r="L119" t="s">
        <v>850</v>
      </c>
      <c r="M119" t="s">
        <v>157</v>
      </c>
      <c r="N119" t="s">
        <v>669</v>
      </c>
      <c r="O119" t="s">
        <v>202</v>
      </c>
      <c r="P119">
        <v>1</v>
      </c>
      <c r="Q119" t="s">
        <v>28</v>
      </c>
      <c r="R119">
        <v>90</v>
      </c>
      <c r="S119">
        <v>90</v>
      </c>
      <c r="T119" t="s">
        <v>33</v>
      </c>
      <c r="U119" t="s">
        <v>163</v>
      </c>
      <c r="V119">
        <v>12</v>
      </c>
      <c r="W119">
        <v>1209</v>
      </c>
      <c r="X119" t="s">
        <v>295</v>
      </c>
      <c r="Y119">
        <v>96444650</v>
      </c>
      <c r="Z119" t="s">
        <v>888</v>
      </c>
    </row>
    <row r="120" spans="1:26" x14ac:dyDescent="0.3">
      <c r="A120" t="s">
        <v>816</v>
      </c>
      <c r="B120" s="1">
        <v>45149</v>
      </c>
      <c r="C120">
        <v>12099190</v>
      </c>
      <c r="D120" t="s">
        <v>1091</v>
      </c>
      <c r="E120" t="s">
        <v>1092</v>
      </c>
      <c r="F120" t="s">
        <v>1093</v>
      </c>
      <c r="G120">
        <v>20</v>
      </c>
      <c r="H120" t="s">
        <v>28</v>
      </c>
      <c r="I120">
        <v>39.487000000000002</v>
      </c>
      <c r="J120">
        <v>789.74</v>
      </c>
      <c r="K120">
        <v>39.49</v>
      </c>
      <c r="L120" t="s">
        <v>57</v>
      </c>
      <c r="M120" t="s">
        <v>58</v>
      </c>
      <c r="N120" t="s">
        <v>59</v>
      </c>
      <c r="O120" t="s">
        <v>60</v>
      </c>
      <c r="P120">
        <v>20</v>
      </c>
      <c r="Q120" t="s">
        <v>28</v>
      </c>
      <c r="R120">
        <v>800</v>
      </c>
      <c r="S120">
        <v>40</v>
      </c>
      <c r="T120" t="s">
        <v>33</v>
      </c>
      <c r="U120" t="s">
        <v>163</v>
      </c>
      <c r="V120">
        <v>12</v>
      </c>
      <c r="W120">
        <v>1209</v>
      </c>
      <c r="X120" t="s">
        <v>295</v>
      </c>
      <c r="Y120">
        <v>101768119</v>
      </c>
      <c r="Z120" t="s">
        <v>1094</v>
      </c>
    </row>
    <row r="121" spans="1:26" x14ac:dyDescent="0.3">
      <c r="A121" t="s">
        <v>810</v>
      </c>
      <c r="B121" s="1">
        <v>45162</v>
      </c>
      <c r="C121">
        <v>12119029</v>
      </c>
      <c r="D121" t="s">
        <v>1052</v>
      </c>
      <c r="E121" t="s">
        <v>1053</v>
      </c>
      <c r="F121" t="s">
        <v>1018</v>
      </c>
      <c r="G121">
        <v>75</v>
      </c>
      <c r="H121" t="s">
        <v>28</v>
      </c>
      <c r="I121">
        <v>13.59813333333333</v>
      </c>
      <c r="J121">
        <v>1019.86</v>
      </c>
      <c r="K121">
        <v>13.6</v>
      </c>
      <c r="L121" t="s">
        <v>826</v>
      </c>
      <c r="M121" t="s">
        <v>827</v>
      </c>
      <c r="N121" t="s">
        <v>669</v>
      </c>
      <c r="O121" t="s">
        <v>202</v>
      </c>
      <c r="P121">
        <v>75</v>
      </c>
      <c r="Q121" t="s">
        <v>28</v>
      </c>
      <c r="R121">
        <v>1031.25</v>
      </c>
      <c r="S121">
        <v>13.75</v>
      </c>
      <c r="T121" t="s">
        <v>33</v>
      </c>
      <c r="U121" t="s">
        <v>814</v>
      </c>
      <c r="V121">
        <v>12</v>
      </c>
      <c r="W121">
        <v>1211</v>
      </c>
      <c r="X121" t="s">
        <v>295</v>
      </c>
      <c r="Y121">
        <v>97705990</v>
      </c>
      <c r="Z121" t="s">
        <v>1054</v>
      </c>
    </row>
    <row r="122" spans="1:26" x14ac:dyDescent="0.3">
      <c r="A122" t="s">
        <v>816</v>
      </c>
      <c r="B122" s="1">
        <v>45181</v>
      </c>
      <c r="C122">
        <v>12099190</v>
      </c>
      <c r="D122" t="s">
        <v>1095</v>
      </c>
      <c r="E122" t="s">
        <v>542</v>
      </c>
      <c r="F122" t="s">
        <v>79</v>
      </c>
      <c r="G122">
        <v>30</v>
      </c>
      <c r="H122" t="s">
        <v>28</v>
      </c>
      <c r="I122">
        <v>8.7430000000000003</v>
      </c>
      <c r="J122">
        <v>262.29000000000002</v>
      </c>
      <c r="K122">
        <v>8.74</v>
      </c>
      <c r="L122" t="s">
        <v>29</v>
      </c>
      <c r="M122" t="s">
        <v>30</v>
      </c>
      <c r="N122" t="s">
        <v>89</v>
      </c>
      <c r="O122" t="s">
        <v>32</v>
      </c>
      <c r="P122">
        <v>30</v>
      </c>
      <c r="Q122" t="s">
        <v>28</v>
      </c>
      <c r="R122">
        <v>262.8</v>
      </c>
      <c r="S122">
        <v>8.76</v>
      </c>
      <c r="T122" t="s">
        <v>33</v>
      </c>
      <c r="U122" t="s">
        <v>163</v>
      </c>
      <c r="V122">
        <v>12</v>
      </c>
      <c r="W122">
        <v>1209</v>
      </c>
      <c r="X122" t="s">
        <v>303</v>
      </c>
      <c r="Y122">
        <v>104945522</v>
      </c>
      <c r="Z122" t="s">
        <v>546</v>
      </c>
    </row>
    <row r="123" spans="1:26" x14ac:dyDescent="0.3">
      <c r="A123" t="s">
        <v>816</v>
      </c>
      <c r="B123" s="1">
        <v>45183</v>
      </c>
      <c r="C123">
        <v>12099190</v>
      </c>
      <c r="D123" t="s">
        <v>1096</v>
      </c>
      <c r="E123" t="s">
        <v>869</v>
      </c>
      <c r="F123" t="s">
        <v>1039</v>
      </c>
      <c r="G123">
        <v>97.8</v>
      </c>
      <c r="H123" t="s">
        <v>28</v>
      </c>
      <c r="I123">
        <v>30.414928425357871</v>
      </c>
      <c r="J123">
        <v>2974.58</v>
      </c>
      <c r="K123">
        <v>30.41</v>
      </c>
      <c r="L123" t="s">
        <v>1097</v>
      </c>
      <c r="M123" t="s">
        <v>1041</v>
      </c>
      <c r="N123" t="s">
        <v>113</v>
      </c>
      <c r="O123" t="s">
        <v>32</v>
      </c>
      <c r="P123">
        <v>97.8</v>
      </c>
      <c r="Q123" t="s">
        <v>28</v>
      </c>
      <c r="R123">
        <v>2934</v>
      </c>
      <c r="S123">
        <v>30</v>
      </c>
      <c r="T123" t="s">
        <v>33</v>
      </c>
      <c r="U123" t="s">
        <v>163</v>
      </c>
      <c r="V123">
        <v>12</v>
      </c>
      <c r="W123">
        <v>1209</v>
      </c>
      <c r="X123" t="s">
        <v>303</v>
      </c>
      <c r="Y123">
        <v>105769852</v>
      </c>
      <c r="Z123" t="s">
        <v>873</v>
      </c>
    </row>
    <row r="124" spans="1:26" x14ac:dyDescent="0.3">
      <c r="A124" t="s">
        <v>816</v>
      </c>
      <c r="B124" s="1">
        <v>45189</v>
      </c>
      <c r="C124">
        <v>12077090</v>
      </c>
      <c r="D124" t="s">
        <v>1098</v>
      </c>
      <c r="E124" t="s">
        <v>899</v>
      </c>
      <c r="F124" t="s">
        <v>900</v>
      </c>
      <c r="G124">
        <v>611.79999999999995</v>
      </c>
      <c r="H124" t="s">
        <v>28</v>
      </c>
      <c r="I124">
        <v>60.050702844066677</v>
      </c>
      <c r="J124">
        <v>36739.019999999997</v>
      </c>
      <c r="K124">
        <v>60.05</v>
      </c>
      <c r="L124" t="s">
        <v>1099</v>
      </c>
      <c r="M124" t="s">
        <v>123</v>
      </c>
      <c r="N124" t="s">
        <v>113</v>
      </c>
      <c r="O124" t="s">
        <v>32</v>
      </c>
      <c r="P124">
        <v>611.79999999999995</v>
      </c>
      <c r="Q124" t="s">
        <v>28</v>
      </c>
      <c r="R124">
        <v>36708</v>
      </c>
      <c r="S124">
        <v>60</v>
      </c>
      <c r="T124" t="s">
        <v>33</v>
      </c>
      <c r="U124" t="s">
        <v>34</v>
      </c>
      <c r="V124">
        <v>12</v>
      </c>
      <c r="W124">
        <v>1207</v>
      </c>
      <c r="X124" t="s">
        <v>303</v>
      </c>
      <c r="Y124">
        <v>105819077</v>
      </c>
      <c r="Z124" t="s">
        <v>902</v>
      </c>
    </row>
    <row r="125" spans="1:26" x14ac:dyDescent="0.3">
      <c r="A125" t="s">
        <v>816</v>
      </c>
      <c r="B125" s="1">
        <v>45190</v>
      </c>
      <c r="C125">
        <v>12099990</v>
      </c>
      <c r="D125" t="s">
        <v>536</v>
      </c>
      <c r="E125" t="s">
        <v>441</v>
      </c>
      <c r="F125" t="s">
        <v>79</v>
      </c>
      <c r="G125">
        <v>200</v>
      </c>
      <c r="H125" t="s">
        <v>28</v>
      </c>
      <c r="I125">
        <v>5.1599500000000003</v>
      </c>
      <c r="J125">
        <v>1031.99</v>
      </c>
      <c r="K125">
        <v>5159.95</v>
      </c>
      <c r="L125" t="s">
        <v>537</v>
      </c>
      <c r="M125" t="s">
        <v>443</v>
      </c>
      <c r="N125" t="s">
        <v>51</v>
      </c>
      <c r="O125" t="s">
        <v>32</v>
      </c>
      <c r="P125">
        <v>0.2</v>
      </c>
      <c r="Q125" t="s">
        <v>43</v>
      </c>
      <c r="R125">
        <v>1036</v>
      </c>
      <c r="S125">
        <v>5180</v>
      </c>
      <c r="T125" t="s">
        <v>33</v>
      </c>
      <c r="U125" t="s">
        <v>163</v>
      </c>
      <c r="V125">
        <v>12</v>
      </c>
      <c r="W125">
        <v>1209</v>
      </c>
      <c r="X125" t="s">
        <v>303</v>
      </c>
      <c r="Y125">
        <v>106778473</v>
      </c>
      <c r="Z125" t="s">
        <v>444</v>
      </c>
    </row>
    <row r="126" spans="1:26" x14ac:dyDescent="0.3">
      <c r="A126" t="s">
        <v>852</v>
      </c>
      <c r="B126" s="1">
        <v>45191</v>
      </c>
      <c r="C126">
        <v>13021919</v>
      </c>
      <c r="D126" t="s">
        <v>1100</v>
      </c>
      <c r="E126" t="s">
        <v>854</v>
      </c>
      <c r="F126" t="s">
        <v>1101</v>
      </c>
      <c r="G126">
        <v>45</v>
      </c>
      <c r="H126" t="s">
        <v>28</v>
      </c>
      <c r="I126">
        <v>47.42755555555555</v>
      </c>
      <c r="J126">
        <v>2134.2399999999998</v>
      </c>
      <c r="K126">
        <v>47.43</v>
      </c>
      <c r="L126" t="s">
        <v>1102</v>
      </c>
      <c r="M126" t="s">
        <v>1103</v>
      </c>
      <c r="N126" t="s">
        <v>113</v>
      </c>
      <c r="O126" t="s">
        <v>32</v>
      </c>
      <c r="P126">
        <v>45</v>
      </c>
      <c r="Q126" t="s">
        <v>28</v>
      </c>
      <c r="R126">
        <v>2025</v>
      </c>
      <c r="S126">
        <v>45</v>
      </c>
      <c r="T126" t="s">
        <v>286</v>
      </c>
      <c r="U126" t="s">
        <v>351</v>
      </c>
      <c r="V126">
        <v>13</v>
      </c>
      <c r="W126">
        <v>1302</v>
      </c>
      <c r="X126" t="s">
        <v>303</v>
      </c>
      <c r="Y126">
        <v>106588126</v>
      </c>
      <c r="Z126" t="s">
        <v>858</v>
      </c>
    </row>
    <row r="127" spans="1:26" x14ac:dyDescent="0.3">
      <c r="A127" t="s">
        <v>816</v>
      </c>
      <c r="B127" s="1">
        <v>45203</v>
      </c>
      <c r="C127">
        <v>12099190</v>
      </c>
      <c r="D127" t="s">
        <v>1104</v>
      </c>
      <c r="E127" t="s">
        <v>325</v>
      </c>
      <c r="F127" t="s">
        <v>326</v>
      </c>
      <c r="G127">
        <v>0.2</v>
      </c>
      <c r="H127" t="s">
        <v>28</v>
      </c>
      <c r="I127">
        <v>0</v>
      </c>
      <c r="J127">
        <v>0</v>
      </c>
      <c r="K127">
        <v>0</v>
      </c>
      <c r="L127" t="s">
        <v>80</v>
      </c>
      <c r="M127" t="s">
        <v>81</v>
      </c>
      <c r="N127" t="s">
        <v>51</v>
      </c>
      <c r="O127" t="s">
        <v>32</v>
      </c>
      <c r="P127">
        <v>0.2</v>
      </c>
      <c r="Q127" t="s">
        <v>28</v>
      </c>
      <c r="R127">
        <v>0.1</v>
      </c>
      <c r="S127">
        <v>0.5</v>
      </c>
      <c r="T127" t="s">
        <v>33</v>
      </c>
      <c r="U127" t="s">
        <v>163</v>
      </c>
      <c r="V127">
        <v>12</v>
      </c>
      <c r="W127">
        <v>1209</v>
      </c>
      <c r="X127" t="s">
        <v>327</v>
      </c>
      <c r="Y127">
        <v>113205019</v>
      </c>
      <c r="Z127" t="s">
        <v>328</v>
      </c>
    </row>
    <row r="128" spans="1:26" x14ac:dyDescent="0.3">
      <c r="A128" t="s">
        <v>816</v>
      </c>
      <c r="B128" s="1">
        <v>45212</v>
      </c>
      <c r="C128">
        <v>12099190</v>
      </c>
      <c r="D128" t="s">
        <v>1078</v>
      </c>
      <c r="E128" t="s">
        <v>1105</v>
      </c>
      <c r="F128" t="s">
        <v>1106</v>
      </c>
      <c r="G128">
        <v>2000</v>
      </c>
      <c r="H128" t="s">
        <v>28</v>
      </c>
      <c r="I128">
        <v>1.98631</v>
      </c>
      <c r="J128">
        <v>3972.62</v>
      </c>
      <c r="K128">
        <v>1.99</v>
      </c>
      <c r="L128" t="s">
        <v>57</v>
      </c>
      <c r="M128" t="s">
        <v>58</v>
      </c>
      <c r="N128" t="s">
        <v>59</v>
      </c>
      <c r="O128" t="s">
        <v>60</v>
      </c>
      <c r="P128">
        <v>2000</v>
      </c>
      <c r="Q128" t="s">
        <v>28</v>
      </c>
      <c r="R128">
        <v>4040</v>
      </c>
      <c r="S128">
        <v>2.02</v>
      </c>
      <c r="T128" t="s">
        <v>33</v>
      </c>
      <c r="U128" t="s">
        <v>163</v>
      </c>
      <c r="V128">
        <v>12</v>
      </c>
      <c r="W128">
        <v>1209</v>
      </c>
      <c r="X128" t="s">
        <v>327</v>
      </c>
      <c r="Y128">
        <v>118824600</v>
      </c>
      <c r="Z128" t="s">
        <v>1107</v>
      </c>
    </row>
    <row r="129" spans="1:26" x14ac:dyDescent="0.3">
      <c r="A129" t="s">
        <v>852</v>
      </c>
      <c r="B129" s="1">
        <v>45215</v>
      </c>
      <c r="C129">
        <v>13021919</v>
      </c>
      <c r="D129" t="s">
        <v>1052</v>
      </c>
      <c r="E129" t="s">
        <v>1053</v>
      </c>
      <c r="F129" t="s">
        <v>1018</v>
      </c>
      <c r="G129">
        <v>50</v>
      </c>
      <c r="H129" t="s">
        <v>28</v>
      </c>
      <c r="I129">
        <v>10.941800000000001</v>
      </c>
      <c r="J129">
        <v>547.09</v>
      </c>
      <c r="K129">
        <v>10.94</v>
      </c>
      <c r="L129" t="s">
        <v>826</v>
      </c>
      <c r="M129" t="s">
        <v>827</v>
      </c>
      <c r="N129" t="s">
        <v>669</v>
      </c>
      <c r="O129" t="s">
        <v>202</v>
      </c>
      <c r="P129">
        <v>50</v>
      </c>
      <c r="Q129" t="s">
        <v>28</v>
      </c>
      <c r="R129">
        <v>687.5</v>
      </c>
      <c r="S129">
        <v>13.75</v>
      </c>
      <c r="T129" t="s">
        <v>33</v>
      </c>
      <c r="U129" t="s">
        <v>351</v>
      </c>
      <c r="V129">
        <v>13</v>
      </c>
      <c r="W129">
        <v>1302</v>
      </c>
      <c r="X129" t="s">
        <v>327</v>
      </c>
      <c r="Y129">
        <v>114242251</v>
      </c>
      <c r="Z129" t="s">
        <v>1054</v>
      </c>
    </row>
    <row r="130" spans="1:26" x14ac:dyDescent="0.3">
      <c r="A130" t="s">
        <v>852</v>
      </c>
      <c r="B130" s="1">
        <v>45222</v>
      </c>
      <c r="C130">
        <v>13021919</v>
      </c>
      <c r="D130" t="s">
        <v>1108</v>
      </c>
      <c r="E130" t="s">
        <v>942</v>
      </c>
      <c r="F130" t="s">
        <v>943</v>
      </c>
      <c r="G130">
        <v>40</v>
      </c>
      <c r="H130" t="s">
        <v>28</v>
      </c>
      <c r="I130">
        <v>41.457250000000002</v>
      </c>
      <c r="J130">
        <v>1658.29</v>
      </c>
      <c r="K130">
        <v>41.46</v>
      </c>
      <c r="L130" t="s">
        <v>944</v>
      </c>
      <c r="M130" t="s">
        <v>945</v>
      </c>
      <c r="N130" t="s">
        <v>294</v>
      </c>
      <c r="O130" t="s">
        <v>202</v>
      </c>
      <c r="P130">
        <v>40</v>
      </c>
      <c r="Q130" t="s">
        <v>28</v>
      </c>
      <c r="R130">
        <v>1880</v>
      </c>
      <c r="S130">
        <v>47</v>
      </c>
      <c r="T130" t="s">
        <v>33</v>
      </c>
      <c r="U130" t="s">
        <v>351</v>
      </c>
      <c r="V130">
        <v>13</v>
      </c>
      <c r="W130">
        <v>1302</v>
      </c>
      <c r="X130" t="s">
        <v>327</v>
      </c>
      <c r="Y130">
        <v>115030661</v>
      </c>
      <c r="Z130" t="s">
        <v>946</v>
      </c>
    </row>
    <row r="131" spans="1:26" x14ac:dyDescent="0.3">
      <c r="A131" t="s">
        <v>816</v>
      </c>
      <c r="B131" s="1">
        <v>45233</v>
      </c>
      <c r="C131">
        <v>12099910</v>
      </c>
      <c r="D131" t="s">
        <v>1109</v>
      </c>
      <c r="E131" t="s">
        <v>367</v>
      </c>
      <c r="F131" t="s">
        <v>368</v>
      </c>
      <c r="G131">
        <v>50</v>
      </c>
      <c r="H131" t="s">
        <v>28</v>
      </c>
      <c r="I131">
        <v>7.1360000000000001</v>
      </c>
      <c r="J131">
        <v>356.8</v>
      </c>
      <c r="K131">
        <v>7.14</v>
      </c>
      <c r="L131" t="s">
        <v>369</v>
      </c>
      <c r="M131" t="s">
        <v>370</v>
      </c>
      <c r="N131" t="s">
        <v>51</v>
      </c>
      <c r="O131" t="s">
        <v>32</v>
      </c>
      <c r="P131">
        <v>50</v>
      </c>
      <c r="Q131" t="s">
        <v>28</v>
      </c>
      <c r="R131">
        <v>367</v>
      </c>
      <c r="S131">
        <v>7.34</v>
      </c>
      <c r="T131" t="s">
        <v>33</v>
      </c>
      <c r="U131" t="s">
        <v>163</v>
      </c>
      <c r="V131">
        <v>12</v>
      </c>
      <c r="W131">
        <v>1209</v>
      </c>
      <c r="X131" t="s">
        <v>344</v>
      </c>
      <c r="Y131">
        <v>121150404</v>
      </c>
      <c r="Z131" t="s">
        <v>372</v>
      </c>
    </row>
    <row r="132" spans="1:26" x14ac:dyDescent="0.3">
      <c r="A132" t="s">
        <v>816</v>
      </c>
      <c r="B132" s="1">
        <v>45244</v>
      </c>
      <c r="C132">
        <v>12099190</v>
      </c>
      <c r="D132" t="s">
        <v>1078</v>
      </c>
      <c r="E132" t="s">
        <v>830</v>
      </c>
      <c r="F132" t="s">
        <v>1110</v>
      </c>
      <c r="G132">
        <v>200</v>
      </c>
      <c r="H132" t="s">
        <v>28</v>
      </c>
      <c r="I132">
        <v>6.1769000000000007</v>
      </c>
      <c r="J132">
        <v>1235.3800000000001</v>
      </c>
      <c r="K132">
        <v>6.18</v>
      </c>
      <c r="L132" t="s">
        <v>57</v>
      </c>
      <c r="M132" t="s">
        <v>58</v>
      </c>
      <c r="N132" t="s">
        <v>59</v>
      </c>
      <c r="O132" t="s">
        <v>60</v>
      </c>
      <c r="P132">
        <v>200</v>
      </c>
      <c r="Q132" t="s">
        <v>28</v>
      </c>
      <c r="R132">
        <v>1300</v>
      </c>
      <c r="S132">
        <v>6.5</v>
      </c>
      <c r="T132" t="s">
        <v>33</v>
      </c>
      <c r="U132" t="s">
        <v>163</v>
      </c>
      <c r="V132">
        <v>12</v>
      </c>
      <c r="W132">
        <v>1209</v>
      </c>
      <c r="X132" t="s">
        <v>344</v>
      </c>
      <c r="Y132">
        <v>126616115</v>
      </c>
      <c r="Z132" t="s">
        <v>832</v>
      </c>
    </row>
    <row r="133" spans="1:26" x14ac:dyDescent="0.3">
      <c r="A133" t="s">
        <v>816</v>
      </c>
      <c r="B133" s="1">
        <v>45250</v>
      </c>
      <c r="C133">
        <v>12099190</v>
      </c>
      <c r="D133" t="s">
        <v>355</v>
      </c>
      <c r="E133" t="s">
        <v>356</v>
      </c>
      <c r="F133" t="s">
        <v>357</v>
      </c>
      <c r="G133">
        <v>50</v>
      </c>
      <c r="H133" t="s">
        <v>28</v>
      </c>
      <c r="I133">
        <v>7.1402000000000001</v>
      </c>
      <c r="J133">
        <v>357.01</v>
      </c>
      <c r="K133">
        <v>7.14</v>
      </c>
      <c r="L133" t="s">
        <v>358</v>
      </c>
      <c r="M133" t="s">
        <v>58</v>
      </c>
      <c r="N133" t="s">
        <v>359</v>
      </c>
      <c r="O133" t="s">
        <v>60</v>
      </c>
      <c r="P133">
        <v>50</v>
      </c>
      <c r="Q133" t="s">
        <v>28</v>
      </c>
      <c r="R133">
        <v>365</v>
      </c>
      <c r="S133">
        <v>7.3</v>
      </c>
      <c r="T133" t="s">
        <v>33</v>
      </c>
      <c r="U133" t="s">
        <v>163</v>
      </c>
      <c r="V133">
        <v>12</v>
      </c>
      <c r="W133">
        <v>1209</v>
      </c>
      <c r="X133" t="s">
        <v>344</v>
      </c>
      <c r="Y133">
        <v>122833693</v>
      </c>
      <c r="Z133" t="s">
        <v>361</v>
      </c>
    </row>
    <row r="134" spans="1:26" x14ac:dyDescent="0.3">
      <c r="A134" t="s">
        <v>852</v>
      </c>
      <c r="B134" s="1">
        <v>45255</v>
      </c>
      <c r="C134">
        <v>13021919</v>
      </c>
      <c r="D134" t="s">
        <v>927</v>
      </c>
      <c r="E134" t="s">
        <v>1053</v>
      </c>
      <c r="F134" t="s">
        <v>79</v>
      </c>
      <c r="G134">
        <v>75</v>
      </c>
      <c r="H134" t="s">
        <v>28</v>
      </c>
      <c r="I134">
        <v>13.573333333333331</v>
      </c>
      <c r="J134">
        <v>1018</v>
      </c>
      <c r="K134">
        <v>13.57</v>
      </c>
      <c r="L134" t="s">
        <v>826</v>
      </c>
      <c r="M134" t="s">
        <v>827</v>
      </c>
      <c r="N134" t="s">
        <v>669</v>
      </c>
      <c r="O134" t="s">
        <v>202</v>
      </c>
      <c r="P134">
        <v>75</v>
      </c>
      <c r="Q134" t="s">
        <v>28</v>
      </c>
      <c r="R134">
        <v>1031.25</v>
      </c>
      <c r="S134">
        <v>13.75</v>
      </c>
      <c r="T134" t="s">
        <v>33</v>
      </c>
      <c r="U134" t="s">
        <v>351</v>
      </c>
      <c r="V134">
        <v>13</v>
      </c>
      <c r="W134">
        <v>1302</v>
      </c>
      <c r="X134" t="s">
        <v>344</v>
      </c>
      <c r="Y134">
        <v>123321933</v>
      </c>
      <c r="Z134" t="s">
        <v>1054</v>
      </c>
    </row>
    <row r="135" spans="1:26" x14ac:dyDescent="0.3">
      <c r="A135" t="s">
        <v>852</v>
      </c>
      <c r="B135" s="1">
        <v>45255</v>
      </c>
      <c r="C135">
        <v>13021919</v>
      </c>
      <c r="D135" t="s">
        <v>927</v>
      </c>
      <c r="E135" t="s">
        <v>1053</v>
      </c>
      <c r="F135" t="s">
        <v>79</v>
      </c>
      <c r="G135">
        <v>75</v>
      </c>
      <c r="H135" t="s">
        <v>28</v>
      </c>
      <c r="I135">
        <v>13.734933333333331</v>
      </c>
      <c r="J135">
        <v>1030.1199999999999</v>
      </c>
      <c r="K135">
        <v>13.73</v>
      </c>
      <c r="L135" t="s">
        <v>826</v>
      </c>
      <c r="M135" t="s">
        <v>827</v>
      </c>
      <c r="N135" t="s">
        <v>669</v>
      </c>
      <c r="O135" t="s">
        <v>202</v>
      </c>
      <c r="P135">
        <v>75</v>
      </c>
      <c r="Q135" t="s">
        <v>28</v>
      </c>
      <c r="R135">
        <v>1031.25</v>
      </c>
      <c r="S135">
        <v>13.75</v>
      </c>
      <c r="T135" t="s">
        <v>33</v>
      </c>
      <c r="U135" t="s">
        <v>351</v>
      </c>
      <c r="V135">
        <v>13</v>
      </c>
      <c r="W135">
        <v>1302</v>
      </c>
      <c r="X135" t="s">
        <v>344</v>
      </c>
      <c r="Y135">
        <v>123306168</v>
      </c>
      <c r="Z135" t="s">
        <v>1054</v>
      </c>
    </row>
    <row r="136" spans="1:26" x14ac:dyDescent="0.3">
      <c r="A136" t="s">
        <v>816</v>
      </c>
      <c r="B136" s="1">
        <v>45262</v>
      </c>
      <c r="C136">
        <v>12099990</v>
      </c>
      <c r="D136" t="s">
        <v>1111</v>
      </c>
      <c r="E136" t="s">
        <v>64</v>
      </c>
      <c r="F136" t="s">
        <v>486</v>
      </c>
      <c r="G136">
        <v>48</v>
      </c>
      <c r="H136" t="s">
        <v>28</v>
      </c>
      <c r="I136">
        <v>7.9337499999999999</v>
      </c>
      <c r="J136">
        <v>380.82</v>
      </c>
      <c r="K136">
        <v>7.93</v>
      </c>
      <c r="L136" t="s">
        <v>189</v>
      </c>
      <c r="M136" t="s">
        <v>190</v>
      </c>
      <c r="N136" t="s">
        <v>89</v>
      </c>
      <c r="O136" t="s">
        <v>32</v>
      </c>
      <c r="P136">
        <v>48</v>
      </c>
      <c r="Q136" t="s">
        <v>28</v>
      </c>
      <c r="R136">
        <v>406.08</v>
      </c>
      <c r="S136">
        <v>8.4600000000000009</v>
      </c>
      <c r="T136" t="s">
        <v>33</v>
      </c>
      <c r="U136" t="s">
        <v>163</v>
      </c>
      <c r="V136">
        <v>12</v>
      </c>
      <c r="W136">
        <v>1209</v>
      </c>
      <c r="X136" t="s">
        <v>371</v>
      </c>
      <c r="Y136">
        <v>129133571</v>
      </c>
      <c r="Z136" t="s">
        <v>68</v>
      </c>
    </row>
    <row r="137" spans="1:26" x14ac:dyDescent="0.3">
      <c r="A137" t="s">
        <v>852</v>
      </c>
      <c r="B137" s="1">
        <v>45268</v>
      </c>
      <c r="C137">
        <v>13021919</v>
      </c>
      <c r="D137" t="s">
        <v>1112</v>
      </c>
      <c r="E137" t="s">
        <v>1113</v>
      </c>
      <c r="F137" t="s">
        <v>79</v>
      </c>
      <c r="G137">
        <v>440</v>
      </c>
      <c r="H137" t="s">
        <v>28</v>
      </c>
      <c r="I137">
        <v>22.338363636363631</v>
      </c>
      <c r="J137">
        <v>9828.8799999999992</v>
      </c>
      <c r="K137">
        <v>22.34</v>
      </c>
      <c r="L137" t="s">
        <v>856</v>
      </c>
      <c r="M137" t="s">
        <v>857</v>
      </c>
      <c r="N137" t="s">
        <v>669</v>
      </c>
      <c r="O137" t="s">
        <v>202</v>
      </c>
      <c r="P137">
        <v>440</v>
      </c>
      <c r="Q137" t="s">
        <v>28</v>
      </c>
      <c r="R137">
        <v>10001.200000000001</v>
      </c>
      <c r="S137">
        <v>22.73</v>
      </c>
      <c r="T137" t="s">
        <v>286</v>
      </c>
      <c r="U137" t="s">
        <v>351</v>
      </c>
      <c r="V137">
        <v>13</v>
      </c>
      <c r="W137">
        <v>1302</v>
      </c>
      <c r="X137" t="s">
        <v>371</v>
      </c>
      <c r="Y137">
        <v>129175311</v>
      </c>
      <c r="Z137" t="s">
        <v>1114</v>
      </c>
    </row>
    <row r="138" spans="1:26" x14ac:dyDescent="0.3">
      <c r="A138" t="s">
        <v>852</v>
      </c>
      <c r="B138" s="1">
        <v>45275</v>
      </c>
      <c r="C138">
        <v>13021919</v>
      </c>
      <c r="D138" t="s">
        <v>1115</v>
      </c>
      <c r="E138" t="s">
        <v>1116</v>
      </c>
      <c r="F138" t="s">
        <v>1117</v>
      </c>
      <c r="G138">
        <v>25</v>
      </c>
      <c r="H138" t="s">
        <v>28</v>
      </c>
      <c r="I138">
        <v>40.621200000000002</v>
      </c>
      <c r="J138">
        <v>1015.53</v>
      </c>
      <c r="K138">
        <v>40.619999999999997</v>
      </c>
      <c r="L138" t="s">
        <v>1118</v>
      </c>
      <c r="M138" t="s">
        <v>1103</v>
      </c>
      <c r="N138" t="s">
        <v>669</v>
      </c>
      <c r="O138" t="s">
        <v>202</v>
      </c>
      <c r="P138">
        <v>25</v>
      </c>
      <c r="Q138" t="s">
        <v>28</v>
      </c>
      <c r="R138">
        <v>960</v>
      </c>
      <c r="S138">
        <v>38.4</v>
      </c>
      <c r="T138" t="s">
        <v>286</v>
      </c>
      <c r="U138" t="s">
        <v>351</v>
      </c>
      <c r="V138">
        <v>13</v>
      </c>
      <c r="W138">
        <v>1302</v>
      </c>
      <c r="X138" t="s">
        <v>371</v>
      </c>
      <c r="Y138">
        <v>130139357</v>
      </c>
      <c r="Z138" t="s">
        <v>1119</v>
      </c>
    </row>
    <row r="139" spans="1:26" x14ac:dyDescent="0.3">
      <c r="A139" t="s">
        <v>816</v>
      </c>
      <c r="B139" s="1">
        <v>45276</v>
      </c>
      <c r="C139">
        <v>12099190</v>
      </c>
      <c r="D139" t="s">
        <v>1120</v>
      </c>
      <c r="E139" t="s">
        <v>1121</v>
      </c>
      <c r="F139" t="s">
        <v>1122</v>
      </c>
      <c r="G139">
        <v>2220</v>
      </c>
      <c r="H139" t="s">
        <v>28</v>
      </c>
      <c r="I139">
        <v>2.782797297297297</v>
      </c>
      <c r="J139">
        <v>6177.81</v>
      </c>
      <c r="K139">
        <v>2.78</v>
      </c>
      <c r="L139" t="s">
        <v>29</v>
      </c>
      <c r="M139" t="s">
        <v>30</v>
      </c>
      <c r="N139" t="s">
        <v>89</v>
      </c>
      <c r="O139" t="s">
        <v>32</v>
      </c>
      <c r="P139">
        <v>2220</v>
      </c>
      <c r="Q139" t="s">
        <v>28</v>
      </c>
      <c r="R139">
        <v>6216</v>
      </c>
      <c r="S139">
        <v>2.8</v>
      </c>
      <c r="T139" t="s">
        <v>33</v>
      </c>
      <c r="U139" t="s">
        <v>163</v>
      </c>
      <c r="V139">
        <v>12</v>
      </c>
      <c r="W139">
        <v>1209</v>
      </c>
      <c r="X139" t="s">
        <v>371</v>
      </c>
      <c r="Y139">
        <v>129929264</v>
      </c>
      <c r="Z139" t="s">
        <v>1123</v>
      </c>
    </row>
    <row r="140" spans="1:26" x14ac:dyDescent="0.3">
      <c r="A140" t="s">
        <v>816</v>
      </c>
      <c r="B140" s="1">
        <v>45276</v>
      </c>
      <c r="C140">
        <v>12099190</v>
      </c>
      <c r="D140" t="s">
        <v>1120</v>
      </c>
      <c r="E140" t="s">
        <v>1121</v>
      </c>
      <c r="F140" t="s">
        <v>1122</v>
      </c>
      <c r="G140">
        <v>25</v>
      </c>
      <c r="H140" t="s">
        <v>28</v>
      </c>
      <c r="I140">
        <v>2.8492000000000002</v>
      </c>
      <c r="J140">
        <v>71.23</v>
      </c>
      <c r="K140">
        <v>2.85</v>
      </c>
      <c r="L140" t="s">
        <v>29</v>
      </c>
      <c r="M140" t="s">
        <v>30</v>
      </c>
      <c r="N140" t="s">
        <v>89</v>
      </c>
      <c r="O140" t="s">
        <v>32</v>
      </c>
      <c r="P140">
        <v>25</v>
      </c>
      <c r="Q140" t="s">
        <v>28</v>
      </c>
      <c r="R140">
        <v>70</v>
      </c>
      <c r="S140">
        <v>2.8</v>
      </c>
      <c r="T140" t="s">
        <v>33</v>
      </c>
      <c r="U140" t="s">
        <v>163</v>
      </c>
      <c r="V140">
        <v>12</v>
      </c>
      <c r="W140">
        <v>1209</v>
      </c>
      <c r="X140" t="s">
        <v>371</v>
      </c>
      <c r="Y140">
        <v>129929265</v>
      </c>
      <c r="Z140" t="s">
        <v>1123</v>
      </c>
    </row>
    <row r="141" spans="1:26" x14ac:dyDescent="0.3">
      <c r="A141" t="s">
        <v>816</v>
      </c>
      <c r="B141" s="1">
        <v>45288</v>
      </c>
      <c r="C141">
        <v>12099910</v>
      </c>
      <c r="D141" t="s">
        <v>1124</v>
      </c>
      <c r="E141" t="s">
        <v>1125</v>
      </c>
      <c r="F141" t="s">
        <v>1126</v>
      </c>
      <c r="G141">
        <v>35</v>
      </c>
      <c r="H141" t="s">
        <v>28</v>
      </c>
      <c r="I141">
        <v>3.3857142857142861</v>
      </c>
      <c r="J141">
        <v>118.5</v>
      </c>
      <c r="K141">
        <v>3.39</v>
      </c>
      <c r="L141" t="s">
        <v>278</v>
      </c>
      <c r="M141" t="s">
        <v>67</v>
      </c>
      <c r="N141" t="s">
        <v>1127</v>
      </c>
      <c r="O141" t="s">
        <v>32</v>
      </c>
      <c r="P141">
        <v>35</v>
      </c>
      <c r="Q141" t="s">
        <v>28</v>
      </c>
      <c r="R141">
        <v>158.19999999999999</v>
      </c>
      <c r="S141">
        <v>4.5199999999999996</v>
      </c>
      <c r="T141" t="s">
        <v>448</v>
      </c>
      <c r="U141" t="s">
        <v>163</v>
      </c>
      <c r="V141">
        <v>12</v>
      </c>
      <c r="W141">
        <v>1209</v>
      </c>
      <c r="X141" t="s">
        <v>371</v>
      </c>
      <c r="Y141">
        <v>136042457</v>
      </c>
      <c r="Z141" t="s">
        <v>1128</v>
      </c>
    </row>
    <row r="142" spans="1:26" x14ac:dyDescent="0.3">
      <c r="A142" t="s">
        <v>816</v>
      </c>
      <c r="B142" s="1">
        <v>45294</v>
      </c>
      <c r="C142">
        <v>12099910</v>
      </c>
      <c r="D142" t="s">
        <v>1124</v>
      </c>
      <c r="E142" t="s">
        <v>1125</v>
      </c>
      <c r="F142" t="s">
        <v>1126</v>
      </c>
      <c r="G142">
        <v>35</v>
      </c>
      <c r="H142" t="s">
        <v>28</v>
      </c>
      <c r="I142">
        <v>3.31</v>
      </c>
      <c r="J142">
        <v>115.85</v>
      </c>
      <c r="K142">
        <v>3.31</v>
      </c>
      <c r="L142" t="s">
        <v>278</v>
      </c>
      <c r="M142" t="s">
        <v>67</v>
      </c>
      <c r="N142" t="s">
        <v>1127</v>
      </c>
      <c r="O142" t="s">
        <v>32</v>
      </c>
      <c r="P142">
        <v>35</v>
      </c>
      <c r="Q142" t="s">
        <v>28</v>
      </c>
      <c r="R142">
        <v>158.19999999999999</v>
      </c>
      <c r="S142">
        <v>4.5199999999999996</v>
      </c>
      <c r="T142" t="s">
        <v>448</v>
      </c>
      <c r="U142" t="s">
        <v>163</v>
      </c>
      <c r="V142">
        <v>12</v>
      </c>
      <c r="W142">
        <v>1209</v>
      </c>
      <c r="X142" t="s">
        <v>381</v>
      </c>
      <c r="Y142">
        <v>48670501</v>
      </c>
      <c r="Z142" t="s">
        <v>1128</v>
      </c>
    </row>
    <row r="143" spans="1:26" x14ac:dyDescent="0.3">
      <c r="A143" t="s">
        <v>816</v>
      </c>
      <c r="B143" s="1">
        <v>45295</v>
      </c>
      <c r="C143">
        <v>12099910</v>
      </c>
      <c r="D143" t="s">
        <v>1124</v>
      </c>
      <c r="E143" t="s">
        <v>1125</v>
      </c>
      <c r="F143" t="s">
        <v>1126</v>
      </c>
      <c r="G143">
        <v>35</v>
      </c>
      <c r="H143" t="s">
        <v>28</v>
      </c>
      <c r="I143">
        <v>3.31</v>
      </c>
      <c r="J143">
        <v>115.85</v>
      </c>
      <c r="K143">
        <v>3.31</v>
      </c>
      <c r="L143" t="s">
        <v>278</v>
      </c>
      <c r="M143" t="s">
        <v>67</v>
      </c>
      <c r="N143" t="s">
        <v>1127</v>
      </c>
      <c r="O143" t="s">
        <v>32</v>
      </c>
      <c r="P143">
        <v>35</v>
      </c>
      <c r="Q143" t="s">
        <v>28</v>
      </c>
      <c r="R143">
        <v>158.19999999999999</v>
      </c>
      <c r="S143">
        <v>4.5199999999999996</v>
      </c>
      <c r="T143" t="s">
        <v>448</v>
      </c>
      <c r="U143" t="s">
        <v>163</v>
      </c>
      <c r="V143">
        <v>12</v>
      </c>
      <c r="W143">
        <v>1209</v>
      </c>
      <c r="X143" t="s">
        <v>381</v>
      </c>
      <c r="Y143">
        <v>48670247</v>
      </c>
      <c r="Z143" t="s">
        <v>1128</v>
      </c>
    </row>
    <row r="144" spans="1:26" x14ac:dyDescent="0.3">
      <c r="A144" t="s">
        <v>816</v>
      </c>
      <c r="B144" s="1">
        <v>45296</v>
      </c>
      <c r="C144">
        <v>12099190</v>
      </c>
      <c r="D144" t="s">
        <v>1129</v>
      </c>
      <c r="E144" t="s">
        <v>886</v>
      </c>
      <c r="F144" t="s">
        <v>1089</v>
      </c>
      <c r="G144">
        <v>10</v>
      </c>
      <c r="H144" t="s">
        <v>28</v>
      </c>
      <c r="I144">
        <v>73.671999999999997</v>
      </c>
      <c r="J144">
        <v>736.72</v>
      </c>
      <c r="K144">
        <v>73.67</v>
      </c>
      <c r="L144" t="s">
        <v>850</v>
      </c>
      <c r="M144" t="s">
        <v>157</v>
      </c>
      <c r="N144" t="s">
        <v>669</v>
      </c>
      <c r="O144" t="s">
        <v>202</v>
      </c>
      <c r="P144">
        <v>10</v>
      </c>
      <c r="Q144" t="s">
        <v>28</v>
      </c>
      <c r="R144">
        <v>700</v>
      </c>
      <c r="S144">
        <v>70</v>
      </c>
      <c r="T144" t="s">
        <v>33</v>
      </c>
      <c r="U144" t="s">
        <v>163</v>
      </c>
      <c r="V144">
        <v>12</v>
      </c>
      <c r="W144">
        <v>1209</v>
      </c>
      <c r="X144" t="s">
        <v>381</v>
      </c>
      <c r="Y144">
        <v>3614</v>
      </c>
      <c r="Z144" t="s">
        <v>888</v>
      </c>
    </row>
    <row r="145" spans="1:26" x14ac:dyDescent="0.3">
      <c r="A145" t="s">
        <v>816</v>
      </c>
      <c r="B145" s="1">
        <v>45296</v>
      </c>
      <c r="C145">
        <v>12099190</v>
      </c>
      <c r="D145" t="s">
        <v>1130</v>
      </c>
      <c r="E145" t="s">
        <v>886</v>
      </c>
      <c r="F145" t="s">
        <v>1089</v>
      </c>
      <c r="G145">
        <v>10</v>
      </c>
      <c r="H145" t="s">
        <v>28</v>
      </c>
      <c r="I145">
        <v>73.671999999999997</v>
      </c>
      <c r="J145">
        <v>736.72</v>
      </c>
      <c r="K145">
        <v>73.67</v>
      </c>
      <c r="L145" t="s">
        <v>850</v>
      </c>
      <c r="M145" t="s">
        <v>157</v>
      </c>
      <c r="N145" t="s">
        <v>669</v>
      </c>
      <c r="O145" t="s">
        <v>202</v>
      </c>
      <c r="P145">
        <v>10</v>
      </c>
      <c r="Q145" t="s">
        <v>28</v>
      </c>
      <c r="R145">
        <v>700</v>
      </c>
      <c r="S145">
        <v>70</v>
      </c>
      <c r="T145" t="s">
        <v>33</v>
      </c>
      <c r="U145" t="s">
        <v>163</v>
      </c>
      <c r="V145">
        <v>12</v>
      </c>
      <c r="W145">
        <v>1209</v>
      </c>
      <c r="X145" t="s">
        <v>381</v>
      </c>
      <c r="Y145">
        <v>3613</v>
      </c>
      <c r="Z145" t="s">
        <v>888</v>
      </c>
    </row>
    <row r="146" spans="1:26" x14ac:dyDescent="0.3">
      <c r="A146" t="s">
        <v>807</v>
      </c>
      <c r="B146" s="1">
        <v>45302</v>
      </c>
      <c r="C146">
        <v>20081920</v>
      </c>
      <c r="D146" t="s">
        <v>1131</v>
      </c>
      <c r="E146" t="s">
        <v>838</v>
      </c>
      <c r="F146" t="s">
        <v>1132</v>
      </c>
      <c r="G146">
        <v>5000</v>
      </c>
      <c r="H146" t="s">
        <v>28</v>
      </c>
      <c r="I146">
        <v>1.3963239999999999</v>
      </c>
      <c r="J146">
        <v>6981.62</v>
      </c>
      <c r="K146">
        <v>1396.32</v>
      </c>
      <c r="L146" t="s">
        <v>57</v>
      </c>
      <c r="M146" t="s">
        <v>58</v>
      </c>
      <c r="N146" t="s">
        <v>59</v>
      </c>
      <c r="O146" t="s">
        <v>60</v>
      </c>
      <c r="P146">
        <v>5</v>
      </c>
      <c r="Q146" t="s">
        <v>43</v>
      </c>
      <c r="R146">
        <v>7025</v>
      </c>
      <c r="S146">
        <v>1405</v>
      </c>
      <c r="T146" t="s">
        <v>33</v>
      </c>
      <c r="U146" t="s">
        <v>44</v>
      </c>
      <c r="V146">
        <v>20</v>
      </c>
      <c r="W146">
        <v>2008</v>
      </c>
      <c r="X146" t="s">
        <v>381</v>
      </c>
      <c r="Y146">
        <v>5521876</v>
      </c>
      <c r="Z146" t="s">
        <v>840</v>
      </c>
    </row>
    <row r="147" spans="1:26" x14ac:dyDescent="0.3">
      <c r="A147" t="s">
        <v>852</v>
      </c>
      <c r="B147" s="1">
        <v>45302</v>
      </c>
      <c r="C147">
        <v>13021919</v>
      </c>
      <c r="D147" t="s">
        <v>1133</v>
      </c>
      <c r="E147" t="s">
        <v>942</v>
      </c>
      <c r="F147" t="s">
        <v>943</v>
      </c>
      <c r="G147">
        <v>40</v>
      </c>
      <c r="H147" t="s">
        <v>28</v>
      </c>
      <c r="I147">
        <v>44.352499999999999</v>
      </c>
      <c r="J147">
        <v>1774.1</v>
      </c>
      <c r="K147">
        <v>44.35</v>
      </c>
      <c r="L147" t="s">
        <v>944</v>
      </c>
      <c r="M147" t="s">
        <v>945</v>
      </c>
      <c r="N147" t="s">
        <v>294</v>
      </c>
      <c r="O147" t="s">
        <v>202</v>
      </c>
      <c r="P147">
        <v>40</v>
      </c>
      <c r="Q147" t="s">
        <v>28</v>
      </c>
      <c r="R147">
        <v>1880</v>
      </c>
      <c r="S147">
        <v>47</v>
      </c>
      <c r="T147" t="s">
        <v>33</v>
      </c>
      <c r="U147" t="s">
        <v>351</v>
      </c>
      <c r="V147">
        <v>13</v>
      </c>
      <c r="W147">
        <v>1302</v>
      </c>
      <c r="X147" t="s">
        <v>381</v>
      </c>
      <c r="Y147">
        <v>1696403</v>
      </c>
      <c r="Z147" t="s">
        <v>946</v>
      </c>
    </row>
    <row r="148" spans="1:26" x14ac:dyDescent="0.3">
      <c r="A148" t="s">
        <v>816</v>
      </c>
      <c r="B148" s="1">
        <v>45303</v>
      </c>
      <c r="C148">
        <v>12099990</v>
      </c>
      <c r="D148" t="s">
        <v>1134</v>
      </c>
      <c r="E148" t="s">
        <v>256</v>
      </c>
      <c r="F148" t="s">
        <v>1135</v>
      </c>
      <c r="G148">
        <v>40</v>
      </c>
      <c r="H148" t="s">
        <v>28</v>
      </c>
      <c r="I148">
        <v>6.9325000000000001</v>
      </c>
      <c r="J148">
        <v>277.3</v>
      </c>
      <c r="K148">
        <v>6.93</v>
      </c>
      <c r="L148" t="s">
        <v>1136</v>
      </c>
      <c r="M148" t="s">
        <v>265</v>
      </c>
      <c r="N148" t="s">
        <v>51</v>
      </c>
      <c r="O148" t="s">
        <v>32</v>
      </c>
      <c r="P148">
        <v>40</v>
      </c>
      <c r="Q148" t="s">
        <v>28</v>
      </c>
      <c r="R148">
        <v>294</v>
      </c>
      <c r="S148">
        <v>7.35</v>
      </c>
      <c r="T148" t="s">
        <v>33</v>
      </c>
      <c r="U148" t="s">
        <v>163</v>
      </c>
      <c r="V148">
        <v>12</v>
      </c>
      <c r="W148">
        <v>1209</v>
      </c>
      <c r="X148" t="s">
        <v>381</v>
      </c>
      <c r="Y148">
        <v>1750749</v>
      </c>
      <c r="Z148" t="s">
        <v>259</v>
      </c>
    </row>
    <row r="149" spans="1:26" x14ac:dyDescent="0.3">
      <c r="A149" t="s">
        <v>816</v>
      </c>
      <c r="B149" s="1">
        <v>45321</v>
      </c>
      <c r="C149">
        <v>12099190</v>
      </c>
      <c r="D149" t="s">
        <v>1137</v>
      </c>
      <c r="E149" t="s">
        <v>1138</v>
      </c>
      <c r="F149" t="s">
        <v>1139</v>
      </c>
      <c r="G149">
        <v>3.915</v>
      </c>
      <c r="H149" t="s">
        <v>28</v>
      </c>
      <c r="I149">
        <v>35.17752234993614</v>
      </c>
      <c r="J149">
        <v>137.72</v>
      </c>
      <c r="K149">
        <v>35.18</v>
      </c>
      <c r="L149" t="s">
        <v>949</v>
      </c>
      <c r="M149" t="s">
        <v>252</v>
      </c>
      <c r="N149" t="s">
        <v>294</v>
      </c>
      <c r="O149" t="s">
        <v>202</v>
      </c>
      <c r="P149">
        <v>3.915</v>
      </c>
      <c r="Q149" t="s">
        <v>28</v>
      </c>
      <c r="R149">
        <v>279.33999999999997</v>
      </c>
      <c r="S149">
        <v>71.349999999999994</v>
      </c>
      <c r="T149" t="s">
        <v>33</v>
      </c>
      <c r="U149" t="s">
        <v>163</v>
      </c>
      <c r="V149">
        <v>12</v>
      </c>
      <c r="W149">
        <v>1209</v>
      </c>
      <c r="X149" t="s">
        <v>381</v>
      </c>
      <c r="Y149">
        <v>3204296</v>
      </c>
      <c r="Z149" t="s">
        <v>1140</v>
      </c>
    </row>
    <row r="150" spans="1:26" x14ac:dyDescent="0.3">
      <c r="A150" t="s">
        <v>816</v>
      </c>
      <c r="B150" s="1">
        <v>45324</v>
      </c>
      <c r="C150">
        <v>12099190</v>
      </c>
      <c r="D150" t="s">
        <v>1141</v>
      </c>
      <c r="E150" t="s">
        <v>848</v>
      </c>
      <c r="F150" t="s">
        <v>950</v>
      </c>
      <c r="G150">
        <v>50</v>
      </c>
      <c r="H150" t="s">
        <v>28</v>
      </c>
      <c r="I150">
        <v>22.324000000000002</v>
      </c>
      <c r="J150">
        <v>1116.2</v>
      </c>
      <c r="K150">
        <v>22.32</v>
      </c>
      <c r="L150" t="s">
        <v>850</v>
      </c>
      <c r="M150" t="s">
        <v>157</v>
      </c>
      <c r="N150" t="s">
        <v>294</v>
      </c>
      <c r="O150" t="s">
        <v>202</v>
      </c>
      <c r="P150">
        <v>50</v>
      </c>
      <c r="Q150" t="s">
        <v>28</v>
      </c>
      <c r="R150">
        <v>1096</v>
      </c>
      <c r="S150">
        <v>21.92</v>
      </c>
      <c r="T150" t="s">
        <v>33</v>
      </c>
      <c r="U150" t="s">
        <v>163</v>
      </c>
      <c r="V150">
        <v>12</v>
      </c>
      <c r="W150">
        <v>1209</v>
      </c>
      <c r="X150" t="s">
        <v>406</v>
      </c>
      <c r="Y150">
        <v>75979002</v>
      </c>
      <c r="Z150" t="s">
        <v>851</v>
      </c>
    </row>
    <row r="151" spans="1:26" x14ac:dyDescent="0.3">
      <c r="A151" t="s">
        <v>816</v>
      </c>
      <c r="B151" s="1">
        <v>45324</v>
      </c>
      <c r="C151">
        <v>12099190</v>
      </c>
      <c r="D151" t="s">
        <v>1142</v>
      </c>
      <c r="E151" t="s">
        <v>848</v>
      </c>
      <c r="F151" t="s">
        <v>950</v>
      </c>
      <c r="G151">
        <v>50</v>
      </c>
      <c r="H151" t="s">
        <v>28</v>
      </c>
      <c r="I151">
        <v>28.322600000000001</v>
      </c>
      <c r="J151">
        <v>1416.13</v>
      </c>
      <c r="K151">
        <v>28.32</v>
      </c>
      <c r="L151" t="s">
        <v>850</v>
      </c>
      <c r="M151" t="s">
        <v>157</v>
      </c>
      <c r="N151" t="s">
        <v>294</v>
      </c>
      <c r="O151" t="s">
        <v>202</v>
      </c>
      <c r="P151">
        <v>50</v>
      </c>
      <c r="Q151" t="s">
        <v>28</v>
      </c>
      <c r="R151">
        <v>1390.5</v>
      </c>
      <c r="S151">
        <v>27.81</v>
      </c>
      <c r="T151" t="s">
        <v>33</v>
      </c>
      <c r="U151" t="s">
        <v>163</v>
      </c>
      <c r="V151">
        <v>12</v>
      </c>
      <c r="W151">
        <v>1209</v>
      </c>
      <c r="X151" t="s">
        <v>406</v>
      </c>
      <c r="Y151">
        <v>75979003</v>
      </c>
      <c r="Z151" t="s">
        <v>851</v>
      </c>
    </row>
    <row r="152" spans="1:26" x14ac:dyDescent="0.3">
      <c r="A152" t="s">
        <v>816</v>
      </c>
      <c r="B152" s="1">
        <v>45324</v>
      </c>
      <c r="C152">
        <v>12099190</v>
      </c>
      <c r="D152" t="s">
        <v>1143</v>
      </c>
      <c r="E152" t="s">
        <v>848</v>
      </c>
      <c r="F152" t="s">
        <v>950</v>
      </c>
      <c r="G152">
        <v>100</v>
      </c>
      <c r="H152" t="s">
        <v>28</v>
      </c>
      <c r="I152">
        <v>18.331900000000001</v>
      </c>
      <c r="J152">
        <v>1833.19</v>
      </c>
      <c r="K152">
        <v>18.329999999999998</v>
      </c>
      <c r="L152" t="s">
        <v>850</v>
      </c>
      <c r="M152" t="s">
        <v>157</v>
      </c>
      <c r="N152" t="s">
        <v>294</v>
      </c>
      <c r="O152" t="s">
        <v>202</v>
      </c>
      <c r="P152">
        <v>100</v>
      </c>
      <c r="Q152" t="s">
        <v>28</v>
      </c>
      <c r="R152">
        <v>1800</v>
      </c>
      <c r="S152">
        <v>18</v>
      </c>
      <c r="T152" t="s">
        <v>33</v>
      </c>
      <c r="U152" t="s">
        <v>163</v>
      </c>
      <c r="V152">
        <v>12</v>
      </c>
      <c r="W152">
        <v>1209</v>
      </c>
      <c r="X152" t="s">
        <v>406</v>
      </c>
      <c r="Y152">
        <v>75979004</v>
      </c>
      <c r="Z152" t="s">
        <v>851</v>
      </c>
    </row>
    <row r="153" spans="1:26" x14ac:dyDescent="0.3">
      <c r="A153" t="s">
        <v>816</v>
      </c>
      <c r="B153" s="1">
        <v>45338</v>
      </c>
      <c r="C153">
        <v>12099160</v>
      </c>
      <c r="D153" t="s">
        <v>1144</v>
      </c>
      <c r="E153" t="s">
        <v>1145</v>
      </c>
      <c r="F153" t="s">
        <v>1146</v>
      </c>
      <c r="G153">
        <v>195.66</v>
      </c>
      <c r="H153" t="s">
        <v>28</v>
      </c>
      <c r="I153">
        <v>19.257231932944901</v>
      </c>
      <c r="J153">
        <v>3767.87</v>
      </c>
      <c r="K153">
        <v>19.260000000000002</v>
      </c>
      <c r="L153" t="s">
        <v>878</v>
      </c>
      <c r="M153" t="s">
        <v>872</v>
      </c>
      <c r="N153" t="s">
        <v>401</v>
      </c>
      <c r="O153" t="s">
        <v>32</v>
      </c>
      <c r="P153">
        <v>195.66</v>
      </c>
      <c r="Q153" t="s">
        <v>28</v>
      </c>
      <c r="R153">
        <v>3521.88</v>
      </c>
      <c r="S153">
        <v>18</v>
      </c>
      <c r="T153" t="s">
        <v>33</v>
      </c>
      <c r="U153" t="s">
        <v>163</v>
      </c>
      <c r="V153">
        <v>12</v>
      </c>
      <c r="W153">
        <v>1209</v>
      </c>
      <c r="X153" t="s">
        <v>406</v>
      </c>
      <c r="Y153">
        <v>90940452</v>
      </c>
      <c r="Z153" t="s">
        <v>1147</v>
      </c>
    </row>
    <row r="154" spans="1:26" x14ac:dyDescent="0.3">
      <c r="A154" t="s">
        <v>816</v>
      </c>
      <c r="B154" s="1">
        <v>45341</v>
      </c>
      <c r="C154">
        <v>12099190</v>
      </c>
      <c r="D154" t="s">
        <v>1148</v>
      </c>
      <c r="E154" t="s">
        <v>834</v>
      </c>
      <c r="F154" t="s">
        <v>1149</v>
      </c>
      <c r="G154">
        <v>15</v>
      </c>
      <c r="H154" t="s">
        <v>28</v>
      </c>
      <c r="I154">
        <v>34.488000000000007</v>
      </c>
      <c r="J154">
        <v>517.32000000000005</v>
      </c>
      <c r="K154">
        <v>34.49</v>
      </c>
      <c r="L154" t="s">
        <v>358</v>
      </c>
      <c r="M154" t="s">
        <v>58</v>
      </c>
      <c r="N154" t="s">
        <v>359</v>
      </c>
      <c r="O154" t="s">
        <v>60</v>
      </c>
      <c r="P154">
        <v>15</v>
      </c>
      <c r="Q154" t="s">
        <v>28</v>
      </c>
      <c r="R154">
        <v>491.85</v>
      </c>
      <c r="S154">
        <v>32.79</v>
      </c>
      <c r="T154" t="s">
        <v>33</v>
      </c>
      <c r="U154" t="s">
        <v>163</v>
      </c>
      <c r="V154">
        <v>12</v>
      </c>
      <c r="W154">
        <v>1209</v>
      </c>
      <c r="X154" t="s">
        <v>406</v>
      </c>
      <c r="Y154">
        <v>77072396</v>
      </c>
      <c r="Z154" t="s">
        <v>836</v>
      </c>
    </row>
    <row r="155" spans="1:26" x14ac:dyDescent="0.3">
      <c r="A155" t="s">
        <v>816</v>
      </c>
      <c r="B155" s="1">
        <v>45343</v>
      </c>
      <c r="C155">
        <v>12099190</v>
      </c>
      <c r="D155" t="s">
        <v>1150</v>
      </c>
      <c r="E155" t="s">
        <v>834</v>
      </c>
      <c r="F155" t="s">
        <v>1151</v>
      </c>
      <c r="G155">
        <v>100</v>
      </c>
      <c r="H155" t="s">
        <v>28</v>
      </c>
      <c r="I155">
        <v>107.19370000000001</v>
      </c>
      <c r="J155">
        <v>10719.37</v>
      </c>
      <c r="K155">
        <v>107.19</v>
      </c>
      <c r="L155" t="s">
        <v>1152</v>
      </c>
      <c r="M155" t="s">
        <v>316</v>
      </c>
      <c r="N155" t="s">
        <v>1153</v>
      </c>
      <c r="O155" t="s">
        <v>60</v>
      </c>
      <c r="P155">
        <v>100</v>
      </c>
      <c r="Q155" t="s">
        <v>28</v>
      </c>
      <c r="R155">
        <v>882898</v>
      </c>
      <c r="S155">
        <v>8828.98</v>
      </c>
      <c r="T155" t="s">
        <v>114</v>
      </c>
      <c r="U155" t="s">
        <v>163</v>
      </c>
      <c r="V155">
        <v>12</v>
      </c>
      <c r="W155">
        <v>1209</v>
      </c>
      <c r="X155" t="s">
        <v>406</v>
      </c>
      <c r="Y155">
        <v>90397380</v>
      </c>
      <c r="Z155" t="s">
        <v>836</v>
      </c>
    </row>
    <row r="156" spans="1:26" x14ac:dyDescent="0.3">
      <c r="A156" t="s">
        <v>816</v>
      </c>
      <c r="B156" s="1">
        <v>45345</v>
      </c>
      <c r="C156">
        <v>12099190</v>
      </c>
      <c r="D156" t="s">
        <v>1154</v>
      </c>
      <c r="E156" t="s">
        <v>1155</v>
      </c>
      <c r="F156" t="s">
        <v>1156</v>
      </c>
      <c r="G156">
        <v>108.5</v>
      </c>
      <c r="H156" t="s">
        <v>28</v>
      </c>
      <c r="I156">
        <v>22.860184331797239</v>
      </c>
      <c r="J156">
        <v>2480.33</v>
      </c>
      <c r="K156">
        <v>22.86</v>
      </c>
      <c r="L156" t="s">
        <v>1157</v>
      </c>
      <c r="M156" t="s">
        <v>821</v>
      </c>
      <c r="N156" t="s">
        <v>113</v>
      </c>
      <c r="O156" t="s">
        <v>32</v>
      </c>
      <c r="P156">
        <v>108.5</v>
      </c>
      <c r="Q156" t="s">
        <v>28</v>
      </c>
      <c r="R156">
        <v>2441.25</v>
      </c>
      <c r="S156">
        <v>22.5</v>
      </c>
      <c r="T156" t="s">
        <v>33</v>
      </c>
      <c r="U156" t="s">
        <v>163</v>
      </c>
      <c r="V156">
        <v>12</v>
      </c>
      <c r="W156">
        <v>1209</v>
      </c>
      <c r="X156" t="s">
        <v>406</v>
      </c>
      <c r="Y156">
        <v>79670799</v>
      </c>
      <c r="Z156" t="s">
        <v>1158</v>
      </c>
    </row>
    <row r="157" spans="1:26" x14ac:dyDescent="0.3">
      <c r="A157" t="s">
        <v>816</v>
      </c>
      <c r="B157" s="1">
        <v>45345</v>
      </c>
      <c r="C157">
        <v>12099190</v>
      </c>
      <c r="D157" t="s">
        <v>1154</v>
      </c>
      <c r="E157" t="s">
        <v>1155</v>
      </c>
      <c r="F157" t="s">
        <v>1156</v>
      </c>
      <c r="G157">
        <v>15</v>
      </c>
      <c r="H157" t="s">
        <v>28</v>
      </c>
      <c r="I157">
        <v>35.917333333333332</v>
      </c>
      <c r="J157">
        <v>538.76</v>
      </c>
      <c r="K157">
        <v>35.92</v>
      </c>
      <c r="L157" t="s">
        <v>1157</v>
      </c>
      <c r="M157" t="s">
        <v>821</v>
      </c>
      <c r="N157" t="s">
        <v>113</v>
      </c>
      <c r="O157" t="s">
        <v>32</v>
      </c>
      <c r="P157">
        <v>15</v>
      </c>
      <c r="Q157" t="s">
        <v>28</v>
      </c>
      <c r="R157">
        <v>540</v>
      </c>
      <c r="S157">
        <v>36</v>
      </c>
      <c r="T157" t="s">
        <v>33</v>
      </c>
      <c r="U157" t="s">
        <v>163</v>
      </c>
      <c r="V157">
        <v>12</v>
      </c>
      <c r="W157">
        <v>1209</v>
      </c>
      <c r="X157" t="s">
        <v>406</v>
      </c>
      <c r="Y157">
        <v>79670798</v>
      </c>
      <c r="Z157" t="s">
        <v>1158</v>
      </c>
    </row>
    <row r="158" spans="1:26" x14ac:dyDescent="0.3">
      <c r="A158" t="s">
        <v>816</v>
      </c>
      <c r="B158" s="1">
        <v>45345</v>
      </c>
      <c r="C158">
        <v>12099190</v>
      </c>
      <c r="D158" t="s">
        <v>1154</v>
      </c>
      <c r="E158" t="s">
        <v>1155</v>
      </c>
      <c r="F158" t="s">
        <v>1156</v>
      </c>
      <c r="G158">
        <v>77.8</v>
      </c>
      <c r="H158" t="s">
        <v>28</v>
      </c>
      <c r="I158">
        <v>45.720437017994861</v>
      </c>
      <c r="J158">
        <v>3557.05</v>
      </c>
      <c r="K158">
        <v>45.72</v>
      </c>
      <c r="L158" t="s">
        <v>1157</v>
      </c>
      <c r="M158" t="s">
        <v>821</v>
      </c>
      <c r="N158" t="s">
        <v>113</v>
      </c>
      <c r="O158" t="s">
        <v>32</v>
      </c>
      <c r="P158">
        <v>77.8</v>
      </c>
      <c r="Q158" t="s">
        <v>28</v>
      </c>
      <c r="R158">
        <v>3501</v>
      </c>
      <c r="S158">
        <v>45</v>
      </c>
      <c r="T158" t="s">
        <v>33</v>
      </c>
      <c r="U158" t="s">
        <v>163</v>
      </c>
      <c r="V158">
        <v>12</v>
      </c>
      <c r="W158">
        <v>1209</v>
      </c>
      <c r="X158" t="s">
        <v>406</v>
      </c>
      <c r="Y158">
        <v>79670797</v>
      </c>
      <c r="Z158" t="s">
        <v>1158</v>
      </c>
    </row>
    <row r="159" spans="1:26" x14ac:dyDescent="0.3">
      <c r="A159" t="s">
        <v>816</v>
      </c>
      <c r="B159" s="1">
        <v>45348</v>
      </c>
      <c r="C159">
        <v>12099190</v>
      </c>
      <c r="D159" t="s">
        <v>1159</v>
      </c>
      <c r="E159" t="s">
        <v>848</v>
      </c>
      <c r="F159" t="s">
        <v>1013</v>
      </c>
      <c r="G159">
        <v>50</v>
      </c>
      <c r="H159" t="s">
        <v>28</v>
      </c>
      <c r="I159">
        <v>20.392399999999999</v>
      </c>
      <c r="J159">
        <v>1019.62</v>
      </c>
      <c r="K159">
        <v>20.39</v>
      </c>
      <c r="L159" t="s">
        <v>1014</v>
      </c>
      <c r="M159" t="s">
        <v>617</v>
      </c>
      <c r="N159" t="s">
        <v>294</v>
      </c>
      <c r="O159" t="s">
        <v>202</v>
      </c>
      <c r="P159">
        <v>50</v>
      </c>
      <c r="Q159" t="s">
        <v>28</v>
      </c>
      <c r="R159">
        <v>904</v>
      </c>
      <c r="S159">
        <v>18.079999999999998</v>
      </c>
      <c r="T159" t="s">
        <v>33</v>
      </c>
      <c r="U159" t="s">
        <v>163</v>
      </c>
      <c r="V159">
        <v>12</v>
      </c>
      <c r="W159">
        <v>1209</v>
      </c>
      <c r="X159" t="s">
        <v>406</v>
      </c>
      <c r="Y159">
        <v>80026036</v>
      </c>
      <c r="Z159" t="s">
        <v>851</v>
      </c>
    </row>
    <row r="160" spans="1:26" x14ac:dyDescent="0.3">
      <c r="A160" t="s">
        <v>816</v>
      </c>
      <c r="B160" s="1">
        <v>45349</v>
      </c>
      <c r="C160">
        <v>12099190</v>
      </c>
      <c r="D160" t="s">
        <v>1160</v>
      </c>
      <c r="E160" t="s">
        <v>869</v>
      </c>
      <c r="F160" t="s">
        <v>1161</v>
      </c>
      <c r="G160">
        <v>975.1</v>
      </c>
      <c r="H160" t="s">
        <v>28</v>
      </c>
      <c r="I160">
        <v>90.200840939390829</v>
      </c>
      <c r="J160">
        <v>87954.84</v>
      </c>
      <c r="K160">
        <v>90.2</v>
      </c>
      <c r="L160" t="s">
        <v>949</v>
      </c>
      <c r="M160" t="s">
        <v>252</v>
      </c>
      <c r="N160" t="s">
        <v>201</v>
      </c>
      <c r="O160" t="s">
        <v>202</v>
      </c>
      <c r="P160">
        <v>975.1</v>
      </c>
      <c r="Q160" t="s">
        <v>28</v>
      </c>
      <c r="R160">
        <v>87759</v>
      </c>
      <c r="S160">
        <v>90</v>
      </c>
      <c r="T160" t="s">
        <v>33</v>
      </c>
      <c r="U160" t="s">
        <v>163</v>
      </c>
      <c r="V160">
        <v>12</v>
      </c>
      <c r="W160">
        <v>1209</v>
      </c>
      <c r="X160" t="s">
        <v>406</v>
      </c>
      <c r="Y160">
        <v>80244113</v>
      </c>
      <c r="Z160" t="s">
        <v>873</v>
      </c>
    </row>
    <row r="161" spans="1:26" x14ac:dyDescent="0.3">
      <c r="A161" t="s">
        <v>816</v>
      </c>
      <c r="B161" s="1">
        <v>45349</v>
      </c>
      <c r="C161">
        <v>12099190</v>
      </c>
      <c r="D161" t="s">
        <v>1162</v>
      </c>
      <c r="E161" t="s">
        <v>869</v>
      </c>
      <c r="F161" t="s">
        <v>1051</v>
      </c>
      <c r="G161">
        <v>1272.8</v>
      </c>
      <c r="H161" t="s">
        <v>28</v>
      </c>
      <c r="I161">
        <v>79.984003771213082</v>
      </c>
      <c r="J161">
        <v>101803.64</v>
      </c>
      <c r="K161">
        <v>79.98</v>
      </c>
      <c r="L161" t="s">
        <v>949</v>
      </c>
      <c r="M161" t="s">
        <v>252</v>
      </c>
      <c r="N161" t="s">
        <v>201</v>
      </c>
      <c r="O161" t="s">
        <v>202</v>
      </c>
      <c r="P161">
        <v>1272.8</v>
      </c>
      <c r="Q161" t="s">
        <v>28</v>
      </c>
      <c r="R161">
        <v>101824</v>
      </c>
      <c r="S161">
        <v>80</v>
      </c>
      <c r="T161" t="s">
        <v>33</v>
      </c>
      <c r="U161" t="s">
        <v>163</v>
      </c>
      <c r="V161">
        <v>12</v>
      </c>
      <c r="W161">
        <v>1209</v>
      </c>
      <c r="X161" t="s">
        <v>406</v>
      </c>
      <c r="Y161">
        <v>80245495</v>
      </c>
      <c r="Z161" t="s">
        <v>873</v>
      </c>
    </row>
    <row r="162" spans="1:26" x14ac:dyDescent="0.3">
      <c r="A162" t="s">
        <v>816</v>
      </c>
      <c r="B162" s="1">
        <v>45349</v>
      </c>
      <c r="C162">
        <v>12099190</v>
      </c>
      <c r="D162" t="s">
        <v>1163</v>
      </c>
      <c r="E162" t="s">
        <v>869</v>
      </c>
      <c r="F162" t="s">
        <v>1051</v>
      </c>
      <c r="G162">
        <v>218.8</v>
      </c>
      <c r="H162" t="s">
        <v>28</v>
      </c>
      <c r="I162">
        <v>79.839945155393053</v>
      </c>
      <c r="J162">
        <v>17468.98</v>
      </c>
      <c r="K162">
        <v>79.84</v>
      </c>
      <c r="L162" t="s">
        <v>949</v>
      </c>
      <c r="M162" t="s">
        <v>252</v>
      </c>
      <c r="N162" t="s">
        <v>201</v>
      </c>
      <c r="O162" t="s">
        <v>202</v>
      </c>
      <c r="P162">
        <v>218.8</v>
      </c>
      <c r="Q162" t="s">
        <v>28</v>
      </c>
      <c r="R162">
        <v>17504</v>
      </c>
      <c r="S162">
        <v>80</v>
      </c>
      <c r="T162" t="s">
        <v>33</v>
      </c>
      <c r="U162" t="s">
        <v>163</v>
      </c>
      <c r="V162">
        <v>12</v>
      </c>
      <c r="W162">
        <v>1209</v>
      </c>
      <c r="X162" t="s">
        <v>406</v>
      </c>
      <c r="Y162">
        <v>80245496</v>
      </c>
      <c r="Z162" t="s">
        <v>873</v>
      </c>
    </row>
    <row r="163" spans="1:26" x14ac:dyDescent="0.3">
      <c r="A163" t="s">
        <v>816</v>
      </c>
      <c r="B163" s="1">
        <v>45349</v>
      </c>
      <c r="C163">
        <v>12099190</v>
      </c>
      <c r="D163" t="s">
        <v>1164</v>
      </c>
      <c r="E163" t="s">
        <v>869</v>
      </c>
      <c r="F163" t="s">
        <v>1161</v>
      </c>
      <c r="G163">
        <v>467.9</v>
      </c>
      <c r="H163" t="s">
        <v>28</v>
      </c>
      <c r="I163">
        <v>100.2231459713614</v>
      </c>
      <c r="J163">
        <v>46894.41</v>
      </c>
      <c r="K163">
        <v>100.22</v>
      </c>
      <c r="L163" t="s">
        <v>949</v>
      </c>
      <c r="M163" t="s">
        <v>252</v>
      </c>
      <c r="N163" t="s">
        <v>201</v>
      </c>
      <c r="O163" t="s">
        <v>202</v>
      </c>
      <c r="P163">
        <v>467.9</v>
      </c>
      <c r="Q163" t="s">
        <v>28</v>
      </c>
      <c r="R163">
        <v>46790</v>
      </c>
      <c r="S163">
        <v>100</v>
      </c>
      <c r="T163" t="s">
        <v>33</v>
      </c>
      <c r="U163" t="s">
        <v>163</v>
      </c>
      <c r="V163">
        <v>12</v>
      </c>
      <c r="W163">
        <v>1209</v>
      </c>
      <c r="X163" t="s">
        <v>406</v>
      </c>
      <c r="Y163">
        <v>80244115</v>
      </c>
      <c r="Z163" t="s">
        <v>873</v>
      </c>
    </row>
    <row r="164" spans="1:26" x14ac:dyDescent="0.3">
      <c r="A164" t="s">
        <v>816</v>
      </c>
      <c r="B164" s="1">
        <v>45349</v>
      </c>
      <c r="C164">
        <v>12099190</v>
      </c>
      <c r="D164" t="s">
        <v>1165</v>
      </c>
      <c r="E164" t="s">
        <v>869</v>
      </c>
      <c r="F164" t="s">
        <v>1051</v>
      </c>
      <c r="G164">
        <v>730.4</v>
      </c>
      <c r="H164" t="s">
        <v>28</v>
      </c>
      <c r="I164">
        <v>79.840019167579413</v>
      </c>
      <c r="J164">
        <v>58315.15</v>
      </c>
      <c r="K164">
        <v>79.84</v>
      </c>
      <c r="L164" t="s">
        <v>949</v>
      </c>
      <c r="M164" t="s">
        <v>252</v>
      </c>
      <c r="N164" t="s">
        <v>201</v>
      </c>
      <c r="O164" t="s">
        <v>202</v>
      </c>
      <c r="P164">
        <v>730.4</v>
      </c>
      <c r="Q164" t="s">
        <v>28</v>
      </c>
      <c r="R164">
        <v>58432</v>
      </c>
      <c r="S164">
        <v>80</v>
      </c>
      <c r="T164" t="s">
        <v>33</v>
      </c>
      <c r="U164" t="s">
        <v>163</v>
      </c>
      <c r="V164">
        <v>12</v>
      </c>
      <c r="W164">
        <v>1209</v>
      </c>
      <c r="X164" t="s">
        <v>406</v>
      </c>
      <c r="Y164">
        <v>80245494</v>
      </c>
      <c r="Z164" t="s">
        <v>873</v>
      </c>
    </row>
    <row r="165" spans="1:26" x14ac:dyDescent="0.3">
      <c r="A165" t="s">
        <v>816</v>
      </c>
      <c r="B165" s="1">
        <v>45357</v>
      </c>
      <c r="C165">
        <v>12099190</v>
      </c>
      <c r="D165" t="s">
        <v>132</v>
      </c>
      <c r="E165" t="s">
        <v>1166</v>
      </c>
      <c r="F165" t="s">
        <v>404</v>
      </c>
      <c r="G165">
        <v>2000</v>
      </c>
      <c r="H165" t="s">
        <v>28</v>
      </c>
      <c r="I165">
        <v>1.20804</v>
      </c>
      <c r="J165">
        <v>2416.08</v>
      </c>
      <c r="K165">
        <v>1.21</v>
      </c>
      <c r="L165" t="s">
        <v>315</v>
      </c>
      <c r="M165" t="s">
        <v>316</v>
      </c>
      <c r="N165" t="s">
        <v>317</v>
      </c>
      <c r="O165" t="s">
        <v>60</v>
      </c>
      <c r="P165">
        <v>2000</v>
      </c>
      <c r="Q165" t="s">
        <v>28</v>
      </c>
      <c r="R165">
        <v>199000</v>
      </c>
      <c r="S165">
        <v>99.5</v>
      </c>
      <c r="T165" t="s">
        <v>114</v>
      </c>
      <c r="U165" t="s">
        <v>163</v>
      </c>
      <c r="V165">
        <v>12</v>
      </c>
      <c r="W165">
        <v>1209</v>
      </c>
      <c r="X165" t="s">
        <v>407</v>
      </c>
      <c r="Y165">
        <v>103188284</v>
      </c>
      <c r="Z165" t="s">
        <v>1167</v>
      </c>
    </row>
    <row r="166" spans="1:26" x14ac:dyDescent="0.3">
      <c r="A166" t="s">
        <v>816</v>
      </c>
      <c r="B166" s="1">
        <v>45363</v>
      </c>
      <c r="C166">
        <v>12099190</v>
      </c>
      <c r="D166" t="s">
        <v>132</v>
      </c>
      <c r="E166" t="s">
        <v>272</v>
      </c>
      <c r="F166" t="s">
        <v>273</v>
      </c>
      <c r="G166">
        <v>25</v>
      </c>
      <c r="H166" t="s">
        <v>28</v>
      </c>
      <c r="I166">
        <v>7.8144000000000009</v>
      </c>
      <c r="J166">
        <v>195.36</v>
      </c>
      <c r="K166">
        <v>7.81</v>
      </c>
      <c r="L166" t="s">
        <v>156</v>
      </c>
      <c r="M166" t="s">
        <v>157</v>
      </c>
      <c r="N166" t="s">
        <v>174</v>
      </c>
      <c r="O166" t="s">
        <v>32</v>
      </c>
      <c r="P166">
        <v>25</v>
      </c>
      <c r="Q166" t="s">
        <v>28</v>
      </c>
      <c r="R166">
        <v>205.25</v>
      </c>
      <c r="S166">
        <v>8.2100000000000009</v>
      </c>
      <c r="T166" t="s">
        <v>33</v>
      </c>
      <c r="U166" t="s">
        <v>163</v>
      </c>
      <c r="V166">
        <v>12</v>
      </c>
      <c r="W166">
        <v>1209</v>
      </c>
      <c r="X166" t="s">
        <v>407</v>
      </c>
      <c r="Y166">
        <v>105438626</v>
      </c>
      <c r="Z166" t="s">
        <v>274</v>
      </c>
    </row>
    <row r="167" spans="1:26" x14ac:dyDescent="0.3">
      <c r="A167" t="s">
        <v>816</v>
      </c>
      <c r="B167" s="1">
        <v>45366</v>
      </c>
      <c r="C167">
        <v>12099190</v>
      </c>
      <c r="D167" t="s">
        <v>1168</v>
      </c>
      <c r="E167" t="s">
        <v>834</v>
      </c>
      <c r="F167" t="s">
        <v>1149</v>
      </c>
      <c r="G167">
        <v>50</v>
      </c>
      <c r="H167" t="s">
        <v>28</v>
      </c>
      <c r="I167">
        <v>32.724400000000003</v>
      </c>
      <c r="J167">
        <v>1636.22</v>
      </c>
      <c r="K167">
        <v>32.72</v>
      </c>
      <c r="L167" t="s">
        <v>358</v>
      </c>
      <c r="M167" t="s">
        <v>58</v>
      </c>
      <c r="N167" t="s">
        <v>359</v>
      </c>
      <c r="O167" t="s">
        <v>60</v>
      </c>
      <c r="P167">
        <v>50</v>
      </c>
      <c r="Q167" t="s">
        <v>28</v>
      </c>
      <c r="R167">
        <v>1639.5</v>
      </c>
      <c r="S167">
        <v>32.79</v>
      </c>
      <c r="T167" t="s">
        <v>33</v>
      </c>
      <c r="U167" t="s">
        <v>163</v>
      </c>
      <c r="V167">
        <v>12</v>
      </c>
      <c r="W167">
        <v>1209</v>
      </c>
      <c r="X167" t="s">
        <v>407</v>
      </c>
      <c r="Y167">
        <v>104533993</v>
      </c>
      <c r="Z167" t="s">
        <v>836</v>
      </c>
    </row>
    <row r="168" spans="1:26" x14ac:dyDescent="0.3">
      <c r="A168" t="s">
        <v>810</v>
      </c>
      <c r="B168" s="1">
        <v>45369</v>
      </c>
      <c r="C168">
        <v>12119056</v>
      </c>
      <c r="D168" t="s">
        <v>132</v>
      </c>
      <c r="E168" t="s">
        <v>420</v>
      </c>
      <c r="F168" t="s">
        <v>244</v>
      </c>
      <c r="G168">
        <v>250</v>
      </c>
      <c r="H168" t="s">
        <v>28</v>
      </c>
      <c r="I168">
        <v>1.76708</v>
      </c>
      <c r="J168">
        <v>441.77</v>
      </c>
      <c r="K168">
        <v>1.77</v>
      </c>
      <c r="L168" t="s">
        <v>40</v>
      </c>
      <c r="M168" t="s">
        <v>41</v>
      </c>
      <c r="N168" t="s">
        <v>266</v>
      </c>
      <c r="O168" t="s">
        <v>32</v>
      </c>
      <c r="P168">
        <v>250</v>
      </c>
      <c r="Q168" t="s">
        <v>28</v>
      </c>
      <c r="R168">
        <v>457.5</v>
      </c>
      <c r="S168">
        <v>1.83</v>
      </c>
      <c r="T168" t="s">
        <v>33</v>
      </c>
      <c r="U168" t="s">
        <v>814</v>
      </c>
      <c r="V168">
        <v>12</v>
      </c>
      <c r="W168">
        <v>1211</v>
      </c>
      <c r="X168" t="s">
        <v>407</v>
      </c>
      <c r="Y168">
        <v>106270822</v>
      </c>
      <c r="Z168" t="s">
        <v>421</v>
      </c>
    </row>
    <row r="169" spans="1:26" x14ac:dyDescent="0.3">
      <c r="A169" t="s">
        <v>816</v>
      </c>
      <c r="B169" s="1">
        <v>45369</v>
      </c>
      <c r="C169">
        <v>12099190</v>
      </c>
      <c r="D169" t="s">
        <v>1169</v>
      </c>
      <c r="E169" t="s">
        <v>848</v>
      </c>
      <c r="F169" t="s">
        <v>849</v>
      </c>
      <c r="G169">
        <v>36</v>
      </c>
      <c r="H169" t="s">
        <v>28</v>
      </c>
      <c r="I169">
        <v>28.813333333333329</v>
      </c>
      <c r="J169">
        <v>1037.28</v>
      </c>
      <c r="K169">
        <v>28.81</v>
      </c>
      <c r="L169" t="s">
        <v>850</v>
      </c>
      <c r="M169" t="s">
        <v>157</v>
      </c>
      <c r="N169" t="s">
        <v>294</v>
      </c>
      <c r="O169" t="s">
        <v>202</v>
      </c>
      <c r="P169">
        <v>36</v>
      </c>
      <c r="Q169" t="s">
        <v>28</v>
      </c>
      <c r="R169">
        <v>990.36</v>
      </c>
      <c r="S169">
        <v>27.51</v>
      </c>
      <c r="T169" t="s">
        <v>33</v>
      </c>
      <c r="U169" t="s">
        <v>163</v>
      </c>
      <c r="V169">
        <v>12</v>
      </c>
      <c r="W169">
        <v>1209</v>
      </c>
      <c r="X169" t="s">
        <v>407</v>
      </c>
      <c r="Y169">
        <v>105441380</v>
      </c>
      <c r="Z169" t="s">
        <v>851</v>
      </c>
    </row>
    <row r="170" spans="1:26" x14ac:dyDescent="0.3">
      <c r="A170" t="s">
        <v>852</v>
      </c>
      <c r="B170" s="1">
        <v>45373</v>
      </c>
      <c r="C170">
        <v>13021919</v>
      </c>
      <c r="D170" t="s">
        <v>1170</v>
      </c>
      <c r="E170" t="s">
        <v>942</v>
      </c>
      <c r="F170" t="s">
        <v>943</v>
      </c>
      <c r="G170">
        <v>50</v>
      </c>
      <c r="H170" t="s">
        <v>28</v>
      </c>
      <c r="I170">
        <v>41.300600000000003</v>
      </c>
      <c r="J170">
        <v>2065.0300000000002</v>
      </c>
      <c r="K170">
        <v>41.3</v>
      </c>
      <c r="L170" t="s">
        <v>944</v>
      </c>
      <c r="M170" t="s">
        <v>945</v>
      </c>
      <c r="N170" t="s">
        <v>294</v>
      </c>
      <c r="O170" t="s">
        <v>202</v>
      </c>
      <c r="P170">
        <v>50</v>
      </c>
      <c r="Q170" t="s">
        <v>28</v>
      </c>
      <c r="R170">
        <v>2350</v>
      </c>
      <c r="S170">
        <v>47</v>
      </c>
      <c r="T170" t="s">
        <v>33</v>
      </c>
      <c r="U170" t="s">
        <v>351</v>
      </c>
      <c r="V170">
        <v>13</v>
      </c>
      <c r="W170">
        <v>1302</v>
      </c>
      <c r="X170" t="s">
        <v>407</v>
      </c>
      <c r="Y170">
        <v>107826433</v>
      </c>
      <c r="Z170" t="s">
        <v>946</v>
      </c>
    </row>
    <row r="171" spans="1:26" x14ac:dyDescent="0.3">
      <c r="A171" t="s">
        <v>816</v>
      </c>
      <c r="B171" s="1">
        <v>45381</v>
      </c>
      <c r="C171">
        <v>12099190</v>
      </c>
      <c r="D171" t="s">
        <v>1078</v>
      </c>
      <c r="E171" t="s">
        <v>356</v>
      </c>
      <c r="F171" t="s">
        <v>357</v>
      </c>
      <c r="G171">
        <v>500</v>
      </c>
      <c r="H171" t="s">
        <v>28</v>
      </c>
      <c r="I171">
        <v>0.96286000000000005</v>
      </c>
      <c r="J171">
        <v>481.43</v>
      </c>
      <c r="K171">
        <v>0.96</v>
      </c>
      <c r="L171" t="s">
        <v>358</v>
      </c>
      <c r="M171" t="s">
        <v>58</v>
      </c>
      <c r="N171" t="s">
        <v>359</v>
      </c>
      <c r="O171" t="s">
        <v>60</v>
      </c>
      <c r="P171">
        <v>500</v>
      </c>
      <c r="Q171" t="s">
        <v>28</v>
      </c>
      <c r="R171">
        <v>500</v>
      </c>
      <c r="S171">
        <v>1</v>
      </c>
      <c r="T171" t="s">
        <v>33</v>
      </c>
      <c r="U171" t="s">
        <v>163</v>
      </c>
      <c r="V171">
        <v>12</v>
      </c>
      <c r="W171">
        <v>1209</v>
      </c>
      <c r="X171" t="s">
        <v>407</v>
      </c>
      <c r="Y171">
        <v>107021337</v>
      </c>
      <c r="Z171" t="s">
        <v>361</v>
      </c>
    </row>
    <row r="172" spans="1:26" x14ac:dyDescent="0.3">
      <c r="A172" t="s">
        <v>852</v>
      </c>
      <c r="B172" s="1">
        <v>45386</v>
      </c>
      <c r="C172">
        <v>13021919</v>
      </c>
      <c r="D172" t="s">
        <v>1170</v>
      </c>
      <c r="E172" t="s">
        <v>942</v>
      </c>
      <c r="F172" t="s">
        <v>943</v>
      </c>
      <c r="G172">
        <v>50</v>
      </c>
      <c r="H172" t="s">
        <v>28</v>
      </c>
      <c r="I172">
        <v>41.300600000000003</v>
      </c>
      <c r="J172">
        <v>2065.0300000000002</v>
      </c>
      <c r="K172">
        <v>41.3</v>
      </c>
      <c r="L172" t="s">
        <v>1171</v>
      </c>
      <c r="M172" t="s">
        <v>945</v>
      </c>
      <c r="N172" t="s">
        <v>294</v>
      </c>
      <c r="O172" t="s">
        <v>202</v>
      </c>
      <c r="P172">
        <v>50</v>
      </c>
      <c r="Q172" t="s">
        <v>28</v>
      </c>
      <c r="R172">
        <v>2350</v>
      </c>
      <c r="S172">
        <v>47</v>
      </c>
      <c r="T172" t="s">
        <v>33</v>
      </c>
      <c r="U172" t="s">
        <v>351</v>
      </c>
      <c r="V172">
        <v>13</v>
      </c>
      <c r="W172">
        <v>1302</v>
      </c>
      <c r="X172" t="s">
        <v>424</v>
      </c>
      <c r="Y172">
        <v>305585473</v>
      </c>
      <c r="Z172" t="s">
        <v>946</v>
      </c>
    </row>
    <row r="173" spans="1:26" x14ac:dyDescent="0.3">
      <c r="A173" t="s">
        <v>852</v>
      </c>
      <c r="B173" s="1">
        <v>45394</v>
      </c>
      <c r="C173">
        <v>13021919</v>
      </c>
      <c r="D173" t="s">
        <v>927</v>
      </c>
      <c r="E173" t="s">
        <v>1053</v>
      </c>
      <c r="F173" t="s">
        <v>79</v>
      </c>
      <c r="G173">
        <v>50</v>
      </c>
      <c r="H173" t="s">
        <v>28</v>
      </c>
      <c r="I173">
        <v>12.8278</v>
      </c>
      <c r="J173">
        <v>641.39</v>
      </c>
      <c r="K173">
        <v>12.83</v>
      </c>
      <c r="L173" t="s">
        <v>826</v>
      </c>
      <c r="M173" t="s">
        <v>827</v>
      </c>
      <c r="N173" t="s">
        <v>669</v>
      </c>
      <c r="O173" t="s">
        <v>202</v>
      </c>
      <c r="P173">
        <v>50</v>
      </c>
      <c r="Q173" t="s">
        <v>28</v>
      </c>
      <c r="R173">
        <v>675</v>
      </c>
      <c r="S173">
        <v>13.5</v>
      </c>
      <c r="T173" t="s">
        <v>33</v>
      </c>
      <c r="U173" t="s">
        <v>351</v>
      </c>
      <c r="V173">
        <v>13</v>
      </c>
      <c r="W173">
        <v>1302</v>
      </c>
      <c r="X173" t="s">
        <v>424</v>
      </c>
      <c r="Y173">
        <v>308412837</v>
      </c>
      <c r="Z173" t="s">
        <v>1054</v>
      </c>
    </row>
    <row r="174" spans="1:26" x14ac:dyDescent="0.3">
      <c r="A174" t="s">
        <v>852</v>
      </c>
      <c r="B174" s="1">
        <v>45400</v>
      </c>
      <c r="C174">
        <v>13021919</v>
      </c>
      <c r="D174" t="s">
        <v>1172</v>
      </c>
      <c r="E174" t="s">
        <v>1113</v>
      </c>
      <c r="F174" t="s">
        <v>1048</v>
      </c>
      <c r="G174">
        <v>400</v>
      </c>
      <c r="H174" t="s">
        <v>28</v>
      </c>
      <c r="I174">
        <v>21.52685</v>
      </c>
      <c r="J174">
        <v>8610.74</v>
      </c>
      <c r="K174">
        <v>21.53</v>
      </c>
      <c r="L174" t="s">
        <v>1049</v>
      </c>
      <c r="M174" t="s">
        <v>857</v>
      </c>
      <c r="N174" t="s">
        <v>31</v>
      </c>
      <c r="O174" t="s">
        <v>32</v>
      </c>
      <c r="P174">
        <v>400</v>
      </c>
      <c r="Q174" t="s">
        <v>28</v>
      </c>
      <c r="R174">
        <v>9128</v>
      </c>
      <c r="S174">
        <v>22.82</v>
      </c>
      <c r="T174" t="s">
        <v>33</v>
      </c>
      <c r="U174" t="s">
        <v>351</v>
      </c>
      <c r="V174">
        <v>13</v>
      </c>
      <c r="W174">
        <v>1302</v>
      </c>
      <c r="X174" t="s">
        <v>424</v>
      </c>
      <c r="Y174">
        <v>307744342</v>
      </c>
      <c r="Z174" t="s">
        <v>1114</v>
      </c>
    </row>
    <row r="175" spans="1:26" x14ac:dyDescent="0.3">
      <c r="A175" t="s">
        <v>816</v>
      </c>
      <c r="B175" s="1">
        <v>45405</v>
      </c>
      <c r="C175">
        <v>12099190</v>
      </c>
      <c r="D175" t="s">
        <v>1173</v>
      </c>
      <c r="E175" t="s">
        <v>1005</v>
      </c>
      <c r="F175" t="s">
        <v>1174</v>
      </c>
      <c r="G175">
        <v>53.6</v>
      </c>
      <c r="H175" t="s">
        <v>28</v>
      </c>
      <c r="I175">
        <v>25.182276119402989</v>
      </c>
      <c r="J175">
        <v>1349.77</v>
      </c>
      <c r="K175">
        <v>25.18</v>
      </c>
      <c r="L175" t="s">
        <v>1175</v>
      </c>
      <c r="M175" t="s">
        <v>1176</v>
      </c>
      <c r="N175" t="s">
        <v>931</v>
      </c>
      <c r="O175" t="s">
        <v>202</v>
      </c>
      <c r="P175">
        <v>53.6</v>
      </c>
      <c r="Q175" t="s">
        <v>28</v>
      </c>
      <c r="R175">
        <v>1237.0899999999999</v>
      </c>
      <c r="S175">
        <v>23.08</v>
      </c>
      <c r="T175" t="s">
        <v>286</v>
      </c>
      <c r="U175" t="s">
        <v>163</v>
      </c>
      <c r="V175">
        <v>12</v>
      </c>
      <c r="W175">
        <v>1209</v>
      </c>
      <c r="X175" t="s">
        <v>424</v>
      </c>
      <c r="Y175">
        <v>310987923</v>
      </c>
      <c r="Z175" t="s">
        <v>1007</v>
      </c>
    </row>
    <row r="176" spans="1:26" x14ac:dyDescent="0.3">
      <c r="A176" t="s">
        <v>816</v>
      </c>
      <c r="B176" s="1">
        <v>45409</v>
      </c>
      <c r="C176">
        <v>12099990</v>
      </c>
      <c r="D176" t="s">
        <v>177</v>
      </c>
      <c r="E176" t="s">
        <v>154</v>
      </c>
      <c r="F176" t="s">
        <v>380</v>
      </c>
      <c r="G176">
        <v>4.8</v>
      </c>
      <c r="H176" t="s">
        <v>28</v>
      </c>
      <c r="I176">
        <v>8.2604166666666661</v>
      </c>
      <c r="J176">
        <v>39.65</v>
      </c>
      <c r="K176">
        <v>8.26</v>
      </c>
      <c r="L176" t="s">
        <v>850</v>
      </c>
      <c r="M176" t="s">
        <v>157</v>
      </c>
      <c r="N176" t="s">
        <v>1177</v>
      </c>
      <c r="O176" t="s">
        <v>32</v>
      </c>
      <c r="P176">
        <v>4.8</v>
      </c>
      <c r="Q176" t="s">
        <v>28</v>
      </c>
      <c r="R176">
        <v>41.18</v>
      </c>
      <c r="S176">
        <v>8.58</v>
      </c>
      <c r="T176" t="s">
        <v>33</v>
      </c>
      <c r="U176" t="s">
        <v>163</v>
      </c>
      <c r="V176">
        <v>12</v>
      </c>
      <c r="W176">
        <v>1209</v>
      </c>
      <c r="X176" t="s">
        <v>424</v>
      </c>
      <c r="Y176">
        <v>310592014</v>
      </c>
      <c r="Z176" t="s">
        <v>158</v>
      </c>
    </row>
    <row r="177" spans="1:26" x14ac:dyDescent="0.3">
      <c r="A177" t="s">
        <v>816</v>
      </c>
      <c r="B177" s="1">
        <v>45415</v>
      </c>
      <c r="C177">
        <v>12099190</v>
      </c>
      <c r="D177" t="s">
        <v>1168</v>
      </c>
      <c r="E177" t="s">
        <v>834</v>
      </c>
      <c r="F177" t="s">
        <v>1149</v>
      </c>
      <c r="G177">
        <v>39.380000000000003</v>
      </c>
      <c r="H177" t="s">
        <v>28</v>
      </c>
      <c r="I177">
        <v>36.884713052310808</v>
      </c>
      <c r="J177">
        <v>1452.52</v>
      </c>
      <c r="K177">
        <v>36.880000000000003</v>
      </c>
      <c r="L177" t="s">
        <v>358</v>
      </c>
      <c r="M177" t="s">
        <v>58</v>
      </c>
      <c r="N177" t="s">
        <v>359</v>
      </c>
      <c r="O177" t="s">
        <v>60</v>
      </c>
      <c r="P177">
        <v>39.380000000000003</v>
      </c>
      <c r="Q177" t="s">
        <v>28</v>
      </c>
      <c r="R177">
        <v>1291.27</v>
      </c>
      <c r="S177">
        <v>32.79</v>
      </c>
      <c r="T177" t="s">
        <v>33</v>
      </c>
      <c r="U177" t="s">
        <v>163</v>
      </c>
      <c r="V177">
        <v>12</v>
      </c>
      <c r="W177">
        <v>1209</v>
      </c>
      <c r="X177" t="s">
        <v>438</v>
      </c>
      <c r="Y177">
        <v>311049605</v>
      </c>
      <c r="Z177" t="s">
        <v>836</v>
      </c>
    </row>
    <row r="178" spans="1:26" x14ac:dyDescent="0.3">
      <c r="A178" t="s">
        <v>892</v>
      </c>
      <c r="B178" s="1">
        <v>45421</v>
      </c>
      <c r="C178">
        <v>11029090</v>
      </c>
      <c r="D178" t="s">
        <v>1178</v>
      </c>
      <c r="E178" t="s">
        <v>1179</v>
      </c>
      <c r="F178" t="s">
        <v>1180</v>
      </c>
      <c r="G178">
        <v>5</v>
      </c>
      <c r="H178" t="s">
        <v>28</v>
      </c>
      <c r="I178">
        <v>6.82</v>
      </c>
      <c r="J178">
        <v>34.1</v>
      </c>
      <c r="K178">
        <v>6.82</v>
      </c>
      <c r="L178" t="s">
        <v>235</v>
      </c>
      <c r="M178" t="s">
        <v>236</v>
      </c>
      <c r="N178" t="s">
        <v>669</v>
      </c>
      <c r="O178" t="s">
        <v>202</v>
      </c>
      <c r="P178">
        <v>5</v>
      </c>
      <c r="Q178" t="s">
        <v>28</v>
      </c>
      <c r="R178">
        <v>34.799999999999997</v>
      </c>
      <c r="S178">
        <v>6.96</v>
      </c>
      <c r="T178" t="s">
        <v>33</v>
      </c>
      <c r="U178" t="s">
        <v>1181</v>
      </c>
      <c r="V178">
        <v>11</v>
      </c>
      <c r="W178">
        <v>1102</v>
      </c>
      <c r="X178" t="s">
        <v>438</v>
      </c>
      <c r="Y178">
        <v>311637695</v>
      </c>
      <c r="Z178" t="s">
        <v>1182</v>
      </c>
    </row>
    <row r="179" spans="1:26" x14ac:dyDescent="0.3">
      <c r="A179" t="s">
        <v>816</v>
      </c>
      <c r="B179" s="1">
        <v>45428</v>
      </c>
      <c r="C179">
        <v>12099190</v>
      </c>
      <c r="D179" t="s">
        <v>1173</v>
      </c>
      <c r="E179" t="s">
        <v>1005</v>
      </c>
      <c r="F179" t="s">
        <v>1174</v>
      </c>
      <c r="G179">
        <v>60.53</v>
      </c>
      <c r="H179" t="s">
        <v>28</v>
      </c>
      <c r="I179">
        <v>25.195935899553941</v>
      </c>
      <c r="J179">
        <v>1525.11</v>
      </c>
      <c r="K179">
        <v>25.2</v>
      </c>
      <c r="L179" t="s">
        <v>1175</v>
      </c>
      <c r="M179" t="s">
        <v>1176</v>
      </c>
      <c r="N179" t="s">
        <v>931</v>
      </c>
      <c r="O179" t="s">
        <v>202</v>
      </c>
      <c r="P179">
        <v>60.53</v>
      </c>
      <c r="Q179" t="s">
        <v>28</v>
      </c>
      <c r="R179">
        <v>1397.03</v>
      </c>
      <c r="S179">
        <v>23.08</v>
      </c>
      <c r="T179" t="s">
        <v>286</v>
      </c>
      <c r="U179" t="s">
        <v>163</v>
      </c>
      <c r="V179">
        <v>12</v>
      </c>
      <c r="W179">
        <v>1209</v>
      </c>
      <c r="X179" t="s">
        <v>438</v>
      </c>
      <c r="Y179">
        <v>315965100</v>
      </c>
      <c r="Z179" t="s">
        <v>1007</v>
      </c>
    </row>
    <row r="180" spans="1:26" x14ac:dyDescent="0.3">
      <c r="A180" t="s">
        <v>852</v>
      </c>
      <c r="B180" s="1">
        <v>45430</v>
      </c>
      <c r="C180">
        <v>13021919</v>
      </c>
      <c r="D180" t="s">
        <v>927</v>
      </c>
      <c r="E180" t="s">
        <v>1053</v>
      </c>
      <c r="F180" t="s">
        <v>79</v>
      </c>
      <c r="G180">
        <v>100</v>
      </c>
      <c r="H180" t="s">
        <v>28</v>
      </c>
      <c r="I180">
        <v>13.340199999999999</v>
      </c>
      <c r="J180">
        <v>1334.02</v>
      </c>
      <c r="K180">
        <v>13.34</v>
      </c>
      <c r="L180" t="s">
        <v>66</v>
      </c>
      <c r="M180" t="s">
        <v>827</v>
      </c>
      <c r="N180" t="s">
        <v>669</v>
      </c>
      <c r="O180" t="s">
        <v>202</v>
      </c>
      <c r="P180">
        <v>100</v>
      </c>
      <c r="Q180" t="s">
        <v>28</v>
      </c>
      <c r="R180">
        <v>1333</v>
      </c>
      <c r="S180">
        <v>13.33</v>
      </c>
      <c r="T180" t="s">
        <v>33</v>
      </c>
      <c r="U180" t="s">
        <v>351</v>
      </c>
      <c r="V180">
        <v>13</v>
      </c>
      <c r="W180">
        <v>1302</v>
      </c>
      <c r="X180" t="s">
        <v>438</v>
      </c>
      <c r="Y180">
        <v>315689288</v>
      </c>
      <c r="Z180" t="s">
        <v>1054</v>
      </c>
    </row>
    <row r="181" spans="1:26" x14ac:dyDescent="0.3">
      <c r="A181" t="s">
        <v>816</v>
      </c>
      <c r="B181" s="1">
        <v>45443</v>
      </c>
      <c r="C181">
        <v>12099190</v>
      </c>
      <c r="D181" t="s">
        <v>1173</v>
      </c>
      <c r="E181" t="s">
        <v>1005</v>
      </c>
      <c r="F181" t="s">
        <v>1174</v>
      </c>
      <c r="G181">
        <v>20.5</v>
      </c>
      <c r="H181" t="s">
        <v>28</v>
      </c>
      <c r="I181">
        <v>26.467804878048781</v>
      </c>
      <c r="J181">
        <v>542.59</v>
      </c>
      <c r="K181">
        <v>26.47</v>
      </c>
      <c r="L181" t="s">
        <v>1175</v>
      </c>
      <c r="M181" t="s">
        <v>1176</v>
      </c>
      <c r="N181" t="s">
        <v>931</v>
      </c>
      <c r="O181" t="s">
        <v>202</v>
      </c>
      <c r="P181">
        <v>20.5</v>
      </c>
      <c r="Q181" t="s">
        <v>28</v>
      </c>
      <c r="R181">
        <v>473.14</v>
      </c>
      <c r="S181">
        <v>23.08</v>
      </c>
      <c r="T181" t="s">
        <v>286</v>
      </c>
      <c r="U181" t="s">
        <v>163</v>
      </c>
      <c r="V181">
        <v>12</v>
      </c>
      <c r="W181">
        <v>1209</v>
      </c>
      <c r="X181" t="s">
        <v>438</v>
      </c>
      <c r="Y181">
        <v>315965101</v>
      </c>
      <c r="Z181" t="s">
        <v>1007</v>
      </c>
    </row>
    <row r="182" spans="1:26" x14ac:dyDescent="0.3">
      <c r="A182" t="s">
        <v>816</v>
      </c>
      <c r="B182" s="1">
        <v>45464</v>
      </c>
      <c r="C182">
        <v>12099190</v>
      </c>
      <c r="D182" t="s">
        <v>132</v>
      </c>
      <c r="E182" t="s">
        <v>1183</v>
      </c>
      <c r="F182" t="s">
        <v>1184</v>
      </c>
      <c r="G182">
        <v>300</v>
      </c>
      <c r="H182" t="s">
        <v>28</v>
      </c>
      <c r="I182">
        <v>1.779633333333333</v>
      </c>
      <c r="J182">
        <v>533.89</v>
      </c>
      <c r="K182">
        <v>1.78</v>
      </c>
      <c r="L182" t="s">
        <v>315</v>
      </c>
      <c r="M182" t="s">
        <v>316</v>
      </c>
      <c r="N182" t="s">
        <v>317</v>
      </c>
      <c r="O182" t="s">
        <v>60</v>
      </c>
      <c r="P182">
        <v>300</v>
      </c>
      <c r="Q182" t="s">
        <v>28</v>
      </c>
      <c r="R182">
        <v>45000</v>
      </c>
      <c r="S182">
        <v>150</v>
      </c>
      <c r="T182" t="s">
        <v>114</v>
      </c>
      <c r="U182" t="s">
        <v>163</v>
      </c>
      <c r="V182">
        <v>12</v>
      </c>
      <c r="W182">
        <v>1209</v>
      </c>
      <c r="X182" t="s">
        <v>454</v>
      </c>
      <c r="Y182">
        <v>319546323</v>
      </c>
      <c r="Z182" t="s">
        <v>1185</v>
      </c>
    </row>
    <row r="183" spans="1:26" x14ac:dyDescent="0.3">
      <c r="A183" t="s">
        <v>852</v>
      </c>
      <c r="B183" s="1">
        <v>45468</v>
      </c>
      <c r="C183">
        <v>13021919</v>
      </c>
      <c r="D183" t="s">
        <v>927</v>
      </c>
      <c r="E183" t="s">
        <v>1053</v>
      </c>
      <c r="F183" t="s">
        <v>79</v>
      </c>
      <c r="G183">
        <v>125</v>
      </c>
      <c r="H183" t="s">
        <v>28</v>
      </c>
      <c r="I183">
        <v>12.156079999999999</v>
      </c>
      <c r="J183">
        <v>1519.51</v>
      </c>
      <c r="K183">
        <v>12.16</v>
      </c>
      <c r="L183" t="s">
        <v>826</v>
      </c>
      <c r="M183" t="s">
        <v>827</v>
      </c>
      <c r="N183" t="s">
        <v>669</v>
      </c>
      <c r="O183" t="s">
        <v>202</v>
      </c>
      <c r="P183">
        <v>125</v>
      </c>
      <c r="Q183" t="s">
        <v>28</v>
      </c>
      <c r="R183">
        <v>1687.5</v>
      </c>
      <c r="S183">
        <v>13.5</v>
      </c>
      <c r="T183" t="s">
        <v>33</v>
      </c>
      <c r="U183" t="s">
        <v>351</v>
      </c>
      <c r="V183">
        <v>13</v>
      </c>
      <c r="W183">
        <v>1302</v>
      </c>
      <c r="X183" t="s">
        <v>454</v>
      </c>
      <c r="Y183">
        <v>319191827</v>
      </c>
      <c r="Z183" t="s">
        <v>1054</v>
      </c>
    </row>
    <row r="184" spans="1:26" x14ac:dyDescent="0.3">
      <c r="A184" t="s">
        <v>816</v>
      </c>
      <c r="B184" s="1">
        <v>45469</v>
      </c>
      <c r="C184">
        <v>12099990</v>
      </c>
      <c r="D184" t="s">
        <v>177</v>
      </c>
      <c r="E184" t="s">
        <v>154</v>
      </c>
      <c r="F184" t="s">
        <v>79</v>
      </c>
      <c r="G184">
        <v>28.8</v>
      </c>
      <c r="H184" t="s">
        <v>28</v>
      </c>
      <c r="I184">
        <v>8.0840277777777771</v>
      </c>
      <c r="J184">
        <v>232.82</v>
      </c>
      <c r="K184">
        <v>8.08</v>
      </c>
      <c r="L184" t="s">
        <v>278</v>
      </c>
      <c r="M184" t="s">
        <v>67</v>
      </c>
      <c r="N184" t="s">
        <v>51</v>
      </c>
      <c r="O184" t="s">
        <v>32</v>
      </c>
      <c r="P184">
        <v>28.8</v>
      </c>
      <c r="Q184" t="s">
        <v>28</v>
      </c>
      <c r="R184">
        <v>238.46</v>
      </c>
      <c r="S184">
        <v>8.2799999999999994</v>
      </c>
      <c r="T184" t="s">
        <v>33</v>
      </c>
      <c r="U184" t="s">
        <v>163</v>
      </c>
      <c r="V184">
        <v>12</v>
      </c>
      <c r="W184">
        <v>1209</v>
      </c>
      <c r="X184" t="s">
        <v>454</v>
      </c>
      <c r="Y184">
        <v>318862084</v>
      </c>
      <c r="Z184" t="s">
        <v>158</v>
      </c>
    </row>
    <row r="185" spans="1:26" x14ac:dyDescent="0.3">
      <c r="A185" t="s">
        <v>816</v>
      </c>
      <c r="B185" s="1">
        <v>45472</v>
      </c>
      <c r="C185">
        <v>12099190</v>
      </c>
      <c r="D185" t="s">
        <v>1186</v>
      </c>
      <c r="E185" t="s">
        <v>1187</v>
      </c>
      <c r="F185" t="s">
        <v>1188</v>
      </c>
      <c r="G185">
        <v>1</v>
      </c>
      <c r="H185" t="s">
        <v>28</v>
      </c>
      <c r="I185">
        <v>0.77</v>
      </c>
      <c r="J185">
        <v>0.77</v>
      </c>
      <c r="K185">
        <v>0.77</v>
      </c>
      <c r="L185" t="s">
        <v>1014</v>
      </c>
      <c r="M185" t="s">
        <v>617</v>
      </c>
      <c r="N185" t="s">
        <v>906</v>
      </c>
      <c r="O185" t="s">
        <v>202</v>
      </c>
      <c r="P185">
        <v>1</v>
      </c>
      <c r="Q185" t="s">
        <v>28</v>
      </c>
      <c r="R185">
        <v>1</v>
      </c>
      <c r="S185">
        <v>1</v>
      </c>
      <c r="T185" t="s">
        <v>33</v>
      </c>
      <c r="U185" t="s">
        <v>163</v>
      </c>
      <c r="V185">
        <v>12</v>
      </c>
      <c r="W185">
        <v>1209</v>
      </c>
      <c r="X185" t="s">
        <v>454</v>
      </c>
      <c r="Y185">
        <v>319425594</v>
      </c>
      <c r="Z185" t="s">
        <v>1189</v>
      </c>
    </row>
    <row r="186" spans="1:26" x14ac:dyDescent="0.3">
      <c r="A186" t="s">
        <v>852</v>
      </c>
      <c r="B186" s="1">
        <v>45476</v>
      </c>
      <c r="C186">
        <v>13021919</v>
      </c>
      <c r="D186" t="s">
        <v>1190</v>
      </c>
      <c r="E186" t="s">
        <v>942</v>
      </c>
      <c r="F186" t="s">
        <v>943</v>
      </c>
      <c r="G186">
        <v>50</v>
      </c>
      <c r="H186" t="s">
        <v>28</v>
      </c>
      <c r="I186">
        <v>37.306399999999996</v>
      </c>
      <c r="J186">
        <v>1865.32</v>
      </c>
      <c r="K186">
        <v>37.31</v>
      </c>
      <c r="L186" t="s">
        <v>944</v>
      </c>
      <c r="M186" t="s">
        <v>945</v>
      </c>
      <c r="N186" t="s">
        <v>294</v>
      </c>
      <c r="O186" t="s">
        <v>202</v>
      </c>
      <c r="P186">
        <v>50</v>
      </c>
      <c r="Q186" t="s">
        <v>28</v>
      </c>
      <c r="R186">
        <v>2350</v>
      </c>
      <c r="S186">
        <v>47</v>
      </c>
      <c r="T186" t="s">
        <v>33</v>
      </c>
      <c r="U186" t="s">
        <v>351</v>
      </c>
      <c r="V186">
        <v>13</v>
      </c>
      <c r="W186">
        <v>1302</v>
      </c>
      <c r="X186" t="s">
        <v>468</v>
      </c>
      <c r="Y186">
        <v>325969178</v>
      </c>
      <c r="Z186" t="s">
        <v>946</v>
      </c>
    </row>
    <row r="187" spans="1:26" x14ac:dyDescent="0.3">
      <c r="A187" t="s">
        <v>816</v>
      </c>
      <c r="B187" s="1">
        <v>45477</v>
      </c>
      <c r="C187">
        <v>12099190</v>
      </c>
      <c r="D187" t="s">
        <v>1191</v>
      </c>
      <c r="E187" t="s">
        <v>1192</v>
      </c>
      <c r="F187" t="s">
        <v>1193</v>
      </c>
      <c r="G187">
        <v>1350</v>
      </c>
      <c r="H187" t="s">
        <v>28</v>
      </c>
      <c r="I187">
        <v>0.28322222222222232</v>
      </c>
      <c r="J187">
        <v>382.35</v>
      </c>
      <c r="K187">
        <v>0.28000000000000003</v>
      </c>
      <c r="L187" t="s">
        <v>1194</v>
      </c>
      <c r="M187" t="s">
        <v>370</v>
      </c>
      <c r="N187" t="s">
        <v>89</v>
      </c>
      <c r="O187" t="s">
        <v>32</v>
      </c>
      <c r="P187">
        <v>1350</v>
      </c>
      <c r="Q187" t="s">
        <v>28</v>
      </c>
      <c r="R187">
        <v>405</v>
      </c>
      <c r="S187">
        <v>0.3</v>
      </c>
      <c r="T187" t="s">
        <v>33</v>
      </c>
      <c r="U187" t="s">
        <v>163</v>
      </c>
      <c r="V187">
        <v>12</v>
      </c>
      <c r="W187">
        <v>1209</v>
      </c>
      <c r="X187" t="s">
        <v>468</v>
      </c>
      <c r="Y187">
        <v>325025285</v>
      </c>
      <c r="Z187" t="s">
        <v>1195</v>
      </c>
    </row>
    <row r="188" spans="1:26" x14ac:dyDescent="0.3">
      <c r="A188" t="s">
        <v>816</v>
      </c>
      <c r="B188" s="1">
        <v>45486</v>
      </c>
      <c r="C188">
        <v>12099190</v>
      </c>
      <c r="D188" t="s">
        <v>921</v>
      </c>
      <c r="E188" t="s">
        <v>922</v>
      </c>
      <c r="F188" t="s">
        <v>781</v>
      </c>
      <c r="G188">
        <v>25</v>
      </c>
      <c r="H188" t="s">
        <v>28</v>
      </c>
      <c r="I188">
        <v>4.9060000000000006</v>
      </c>
      <c r="J188">
        <v>122.65</v>
      </c>
      <c r="K188">
        <v>4.91</v>
      </c>
      <c r="L188" t="s">
        <v>358</v>
      </c>
      <c r="M188" t="s">
        <v>58</v>
      </c>
      <c r="N188" t="s">
        <v>359</v>
      </c>
      <c r="O188" t="s">
        <v>60</v>
      </c>
      <c r="P188">
        <v>25</v>
      </c>
      <c r="Q188" t="s">
        <v>28</v>
      </c>
      <c r="R188">
        <v>125</v>
      </c>
      <c r="S188">
        <v>5</v>
      </c>
      <c r="T188" t="s">
        <v>33</v>
      </c>
      <c r="U188" t="s">
        <v>163</v>
      </c>
      <c r="V188">
        <v>12</v>
      </c>
      <c r="W188">
        <v>1209</v>
      </c>
      <c r="X188" t="s">
        <v>468</v>
      </c>
      <c r="Y188">
        <v>327605234</v>
      </c>
      <c r="Z188" t="s">
        <v>924</v>
      </c>
    </row>
    <row r="189" spans="1:26" x14ac:dyDescent="0.3">
      <c r="A189" t="s">
        <v>816</v>
      </c>
      <c r="B189" s="1">
        <v>45486</v>
      </c>
      <c r="C189">
        <v>12099190</v>
      </c>
      <c r="D189" t="s">
        <v>1196</v>
      </c>
      <c r="E189" t="s">
        <v>1187</v>
      </c>
      <c r="F189" t="s">
        <v>1197</v>
      </c>
      <c r="G189">
        <v>0.8</v>
      </c>
      <c r="H189" t="s">
        <v>28</v>
      </c>
      <c r="I189">
        <v>0.96250000000000002</v>
      </c>
      <c r="J189">
        <v>0.77</v>
      </c>
      <c r="K189">
        <v>0.96</v>
      </c>
      <c r="L189" t="s">
        <v>1014</v>
      </c>
      <c r="M189" t="s">
        <v>617</v>
      </c>
      <c r="N189" t="s">
        <v>906</v>
      </c>
      <c r="O189" t="s">
        <v>202</v>
      </c>
      <c r="P189">
        <v>0.8</v>
      </c>
      <c r="Q189" t="s">
        <v>28</v>
      </c>
      <c r="R189">
        <v>1</v>
      </c>
      <c r="S189">
        <v>1.25</v>
      </c>
      <c r="T189" t="s">
        <v>33</v>
      </c>
      <c r="U189" t="s">
        <v>163</v>
      </c>
      <c r="V189">
        <v>12</v>
      </c>
      <c r="W189">
        <v>1209</v>
      </c>
      <c r="X189" t="s">
        <v>468</v>
      </c>
      <c r="Y189">
        <v>326474547</v>
      </c>
      <c r="Z189" t="s">
        <v>1189</v>
      </c>
    </row>
    <row r="190" spans="1:26" x14ac:dyDescent="0.3">
      <c r="A190" t="s">
        <v>816</v>
      </c>
      <c r="B190" s="1">
        <v>45503</v>
      </c>
      <c r="C190">
        <v>12099990</v>
      </c>
      <c r="D190" t="s">
        <v>1198</v>
      </c>
      <c r="E190" t="s">
        <v>1199</v>
      </c>
      <c r="F190" t="s">
        <v>1200</v>
      </c>
      <c r="G190">
        <v>0.2</v>
      </c>
      <c r="H190" t="s">
        <v>28</v>
      </c>
      <c r="I190">
        <v>174.35</v>
      </c>
      <c r="J190">
        <v>34.869999999999997</v>
      </c>
      <c r="K190">
        <v>174.35</v>
      </c>
      <c r="L190" t="s">
        <v>1201</v>
      </c>
      <c r="M190" t="s">
        <v>1202</v>
      </c>
      <c r="N190" t="s">
        <v>906</v>
      </c>
      <c r="O190" t="s">
        <v>202</v>
      </c>
      <c r="P190">
        <v>0.2</v>
      </c>
      <c r="Q190" t="s">
        <v>28</v>
      </c>
      <c r="R190">
        <v>46.2</v>
      </c>
      <c r="S190">
        <v>231</v>
      </c>
      <c r="T190" t="s">
        <v>33</v>
      </c>
      <c r="U190" t="s">
        <v>163</v>
      </c>
      <c r="V190">
        <v>12</v>
      </c>
      <c r="W190">
        <v>1209</v>
      </c>
      <c r="X190" t="s">
        <v>468</v>
      </c>
      <c r="Y190">
        <v>328708730</v>
      </c>
      <c r="Z190" t="s">
        <v>1203</v>
      </c>
    </row>
    <row r="191" spans="1:26" x14ac:dyDescent="0.3">
      <c r="A191" t="s">
        <v>816</v>
      </c>
      <c r="B191" s="1">
        <v>45510</v>
      </c>
      <c r="C191">
        <v>12099190</v>
      </c>
      <c r="D191" t="s">
        <v>1204</v>
      </c>
      <c r="E191" t="s">
        <v>869</v>
      </c>
      <c r="F191" t="s">
        <v>1051</v>
      </c>
      <c r="G191">
        <v>57.1</v>
      </c>
      <c r="H191" t="s">
        <v>28</v>
      </c>
      <c r="I191">
        <v>111.7760070052539</v>
      </c>
      <c r="J191">
        <v>6382.41</v>
      </c>
      <c r="K191">
        <v>111.78</v>
      </c>
      <c r="L191" t="s">
        <v>949</v>
      </c>
      <c r="M191" t="s">
        <v>252</v>
      </c>
      <c r="N191" t="s">
        <v>201</v>
      </c>
      <c r="O191" t="s">
        <v>202</v>
      </c>
      <c r="P191">
        <v>57.1</v>
      </c>
      <c r="Q191" t="s">
        <v>28</v>
      </c>
      <c r="R191">
        <v>6395.2</v>
      </c>
      <c r="S191">
        <v>112</v>
      </c>
      <c r="T191" t="s">
        <v>33</v>
      </c>
      <c r="U191" t="s">
        <v>163</v>
      </c>
      <c r="V191">
        <v>12</v>
      </c>
      <c r="W191">
        <v>1209</v>
      </c>
      <c r="X191" t="s">
        <v>487</v>
      </c>
      <c r="Y191">
        <v>335625194</v>
      </c>
      <c r="Z191" t="s">
        <v>873</v>
      </c>
    </row>
    <row r="192" spans="1:26" x14ac:dyDescent="0.3">
      <c r="A192" t="s">
        <v>816</v>
      </c>
      <c r="B192" s="1">
        <v>45517</v>
      </c>
      <c r="C192">
        <v>12099190</v>
      </c>
      <c r="D192" t="s">
        <v>921</v>
      </c>
      <c r="E192" t="s">
        <v>922</v>
      </c>
      <c r="F192" t="s">
        <v>923</v>
      </c>
      <c r="G192">
        <v>20</v>
      </c>
      <c r="H192" t="s">
        <v>28</v>
      </c>
      <c r="I192">
        <v>4.9000000000000004</v>
      </c>
      <c r="J192">
        <v>98</v>
      </c>
      <c r="K192">
        <v>4.9000000000000004</v>
      </c>
      <c r="L192" t="s">
        <v>358</v>
      </c>
      <c r="M192" t="s">
        <v>58</v>
      </c>
      <c r="N192" t="s">
        <v>359</v>
      </c>
      <c r="O192" t="s">
        <v>60</v>
      </c>
      <c r="P192">
        <v>20</v>
      </c>
      <c r="Q192" t="s">
        <v>28</v>
      </c>
      <c r="R192">
        <v>100</v>
      </c>
      <c r="S192">
        <v>5</v>
      </c>
      <c r="T192" t="s">
        <v>33</v>
      </c>
      <c r="U192" t="s">
        <v>163</v>
      </c>
      <c r="V192">
        <v>12</v>
      </c>
      <c r="W192">
        <v>1209</v>
      </c>
      <c r="X192" t="s">
        <v>487</v>
      </c>
      <c r="Y192">
        <v>336415810</v>
      </c>
      <c r="Z192" t="s">
        <v>924</v>
      </c>
    </row>
    <row r="193" spans="1:26" x14ac:dyDescent="0.3">
      <c r="A193" t="s">
        <v>807</v>
      </c>
      <c r="B193" s="1">
        <v>45518</v>
      </c>
      <c r="C193">
        <v>20081990</v>
      </c>
      <c r="D193" t="s">
        <v>1131</v>
      </c>
      <c r="E193" t="s">
        <v>838</v>
      </c>
      <c r="F193" t="s">
        <v>1132</v>
      </c>
      <c r="G193">
        <v>1000</v>
      </c>
      <c r="H193" t="s">
        <v>28</v>
      </c>
      <c r="I193">
        <v>1.3918999999999999</v>
      </c>
      <c r="J193">
        <v>1391.9</v>
      </c>
      <c r="K193">
        <v>1391.9</v>
      </c>
      <c r="L193" t="s">
        <v>57</v>
      </c>
      <c r="M193" t="s">
        <v>58</v>
      </c>
      <c r="N193" t="s">
        <v>59</v>
      </c>
      <c r="O193" t="s">
        <v>60</v>
      </c>
      <c r="P193">
        <v>1</v>
      </c>
      <c r="Q193" t="s">
        <v>43</v>
      </c>
      <c r="R193">
        <v>1400</v>
      </c>
      <c r="S193">
        <v>1400</v>
      </c>
      <c r="T193" t="s">
        <v>33</v>
      </c>
      <c r="U193" t="s">
        <v>44</v>
      </c>
      <c r="V193">
        <v>20</v>
      </c>
      <c r="W193">
        <v>2008</v>
      </c>
      <c r="X193" t="s">
        <v>487</v>
      </c>
      <c r="Y193">
        <v>339015559</v>
      </c>
      <c r="Z193" t="s">
        <v>840</v>
      </c>
    </row>
    <row r="194" spans="1:26" x14ac:dyDescent="0.3">
      <c r="A194" t="s">
        <v>816</v>
      </c>
      <c r="B194" s="1">
        <v>45522</v>
      </c>
      <c r="C194">
        <v>12099190</v>
      </c>
      <c r="D194" t="s">
        <v>1061</v>
      </c>
      <c r="E194" t="s">
        <v>1062</v>
      </c>
      <c r="F194" t="s">
        <v>1205</v>
      </c>
      <c r="G194">
        <v>200</v>
      </c>
      <c r="H194" t="s">
        <v>28</v>
      </c>
      <c r="I194">
        <v>1.94675</v>
      </c>
      <c r="J194">
        <v>389.35</v>
      </c>
      <c r="K194">
        <v>1.95</v>
      </c>
      <c r="L194" t="s">
        <v>57</v>
      </c>
      <c r="M194" t="s">
        <v>58</v>
      </c>
      <c r="N194" t="s">
        <v>59</v>
      </c>
      <c r="O194" t="s">
        <v>60</v>
      </c>
      <c r="P194">
        <v>200</v>
      </c>
      <c r="Q194" t="s">
        <v>28</v>
      </c>
      <c r="R194">
        <v>400</v>
      </c>
      <c r="S194">
        <v>2</v>
      </c>
      <c r="T194" t="s">
        <v>33</v>
      </c>
      <c r="U194" t="s">
        <v>163</v>
      </c>
      <c r="V194">
        <v>12</v>
      </c>
      <c r="W194">
        <v>1209</v>
      </c>
      <c r="X194" t="s">
        <v>487</v>
      </c>
      <c r="Y194">
        <v>339050877</v>
      </c>
      <c r="Z194" t="s">
        <v>1064</v>
      </c>
    </row>
    <row r="195" spans="1:26" x14ac:dyDescent="0.3">
      <c r="A195" t="s">
        <v>816</v>
      </c>
      <c r="B195" s="1">
        <v>45522</v>
      </c>
      <c r="C195">
        <v>12099190</v>
      </c>
      <c r="D195" t="s">
        <v>1061</v>
      </c>
      <c r="E195" t="s">
        <v>1062</v>
      </c>
      <c r="F195" t="s">
        <v>1205</v>
      </c>
      <c r="G195">
        <v>500</v>
      </c>
      <c r="H195" t="s">
        <v>28</v>
      </c>
      <c r="I195">
        <v>1.94678</v>
      </c>
      <c r="J195">
        <v>973.39</v>
      </c>
      <c r="K195">
        <v>1.95</v>
      </c>
      <c r="L195" t="s">
        <v>57</v>
      </c>
      <c r="M195" t="s">
        <v>58</v>
      </c>
      <c r="N195" t="s">
        <v>59</v>
      </c>
      <c r="O195" t="s">
        <v>60</v>
      </c>
      <c r="P195">
        <v>500</v>
      </c>
      <c r="Q195" t="s">
        <v>28</v>
      </c>
      <c r="R195">
        <v>1000</v>
      </c>
      <c r="S195">
        <v>2</v>
      </c>
      <c r="T195" t="s">
        <v>33</v>
      </c>
      <c r="U195" t="s">
        <v>163</v>
      </c>
      <c r="V195">
        <v>12</v>
      </c>
      <c r="W195">
        <v>1209</v>
      </c>
      <c r="X195" t="s">
        <v>487</v>
      </c>
      <c r="Y195">
        <v>339050876</v>
      </c>
      <c r="Z195" t="s">
        <v>1064</v>
      </c>
    </row>
    <row r="196" spans="1:26" x14ac:dyDescent="0.3">
      <c r="A196" t="s">
        <v>816</v>
      </c>
      <c r="B196" s="1">
        <v>45537</v>
      </c>
      <c r="C196">
        <v>12099190</v>
      </c>
      <c r="D196" t="s">
        <v>177</v>
      </c>
      <c r="E196" t="s">
        <v>272</v>
      </c>
      <c r="F196" t="s">
        <v>273</v>
      </c>
      <c r="G196">
        <v>25</v>
      </c>
      <c r="H196" t="s">
        <v>28</v>
      </c>
      <c r="I196">
        <v>9.4179999999999993</v>
      </c>
      <c r="J196">
        <v>235.45</v>
      </c>
      <c r="K196">
        <v>9.42</v>
      </c>
      <c r="L196" t="s">
        <v>156</v>
      </c>
      <c r="M196" t="s">
        <v>157</v>
      </c>
      <c r="N196" t="s">
        <v>174</v>
      </c>
      <c r="O196" t="s">
        <v>32</v>
      </c>
      <c r="P196">
        <v>25</v>
      </c>
      <c r="Q196" t="s">
        <v>28</v>
      </c>
      <c r="R196">
        <v>240.25</v>
      </c>
      <c r="S196">
        <v>9.61</v>
      </c>
      <c r="T196" t="s">
        <v>33</v>
      </c>
      <c r="U196" t="s">
        <v>163</v>
      </c>
      <c r="V196">
        <v>12</v>
      </c>
      <c r="W196">
        <v>1209</v>
      </c>
      <c r="X196" t="s">
        <v>504</v>
      </c>
      <c r="Y196">
        <v>340413658</v>
      </c>
      <c r="Z196" t="s">
        <v>274</v>
      </c>
    </row>
    <row r="197" spans="1:26" x14ac:dyDescent="0.3">
      <c r="A197" t="s">
        <v>852</v>
      </c>
      <c r="B197" s="1">
        <v>45537</v>
      </c>
      <c r="C197">
        <v>13021919</v>
      </c>
      <c r="D197" t="s">
        <v>927</v>
      </c>
      <c r="E197" t="s">
        <v>1053</v>
      </c>
      <c r="F197" t="s">
        <v>79</v>
      </c>
      <c r="G197">
        <v>75</v>
      </c>
      <c r="H197" t="s">
        <v>28</v>
      </c>
      <c r="I197">
        <v>12.846399999999999</v>
      </c>
      <c r="J197">
        <v>963.48</v>
      </c>
      <c r="K197">
        <v>12.85</v>
      </c>
      <c r="L197" t="s">
        <v>826</v>
      </c>
      <c r="M197" t="s">
        <v>827</v>
      </c>
      <c r="N197" t="s">
        <v>669</v>
      </c>
      <c r="O197" t="s">
        <v>202</v>
      </c>
      <c r="P197">
        <v>75</v>
      </c>
      <c r="Q197" t="s">
        <v>28</v>
      </c>
      <c r="R197">
        <v>1012.5</v>
      </c>
      <c r="S197">
        <v>13.5</v>
      </c>
      <c r="T197" t="s">
        <v>33</v>
      </c>
      <c r="U197" t="s">
        <v>351</v>
      </c>
      <c r="V197">
        <v>13</v>
      </c>
      <c r="W197">
        <v>1302</v>
      </c>
      <c r="X197" t="s">
        <v>504</v>
      </c>
      <c r="Y197">
        <v>340492951</v>
      </c>
      <c r="Z197" t="s">
        <v>1054</v>
      </c>
    </row>
    <row r="198" spans="1:26" x14ac:dyDescent="0.3">
      <c r="A198" t="s">
        <v>816</v>
      </c>
      <c r="B198" s="1">
        <v>45538</v>
      </c>
      <c r="C198">
        <v>12099190</v>
      </c>
      <c r="D198" t="s">
        <v>177</v>
      </c>
      <c r="E198" t="s">
        <v>272</v>
      </c>
      <c r="F198" t="s">
        <v>273</v>
      </c>
      <c r="G198">
        <v>25</v>
      </c>
      <c r="H198" t="s">
        <v>28</v>
      </c>
      <c r="I198">
        <v>8.6364000000000001</v>
      </c>
      <c r="J198">
        <v>215.91</v>
      </c>
      <c r="K198">
        <v>8.64</v>
      </c>
      <c r="L198" t="s">
        <v>156</v>
      </c>
      <c r="M198" t="s">
        <v>157</v>
      </c>
      <c r="N198" t="s">
        <v>174</v>
      </c>
      <c r="O198" t="s">
        <v>32</v>
      </c>
      <c r="P198">
        <v>25</v>
      </c>
      <c r="Q198" t="s">
        <v>28</v>
      </c>
      <c r="R198">
        <v>240.25</v>
      </c>
      <c r="S198">
        <v>9.61</v>
      </c>
      <c r="T198" t="s">
        <v>33</v>
      </c>
      <c r="U198" t="s">
        <v>163</v>
      </c>
      <c r="V198">
        <v>12</v>
      </c>
      <c r="W198">
        <v>1209</v>
      </c>
      <c r="X198" t="s">
        <v>504</v>
      </c>
      <c r="Y198">
        <v>340413685</v>
      </c>
      <c r="Z198" t="s">
        <v>274</v>
      </c>
    </row>
    <row r="199" spans="1:26" x14ac:dyDescent="0.3">
      <c r="A199" t="s">
        <v>816</v>
      </c>
      <c r="B199" s="1">
        <v>45538</v>
      </c>
      <c r="C199">
        <v>12099190</v>
      </c>
      <c r="D199" t="s">
        <v>177</v>
      </c>
      <c r="E199" t="s">
        <v>272</v>
      </c>
      <c r="F199" t="s">
        <v>273</v>
      </c>
      <c r="G199">
        <v>25</v>
      </c>
      <c r="H199" t="s">
        <v>28</v>
      </c>
      <c r="I199">
        <v>9.4179999999999993</v>
      </c>
      <c r="J199">
        <v>235.45</v>
      </c>
      <c r="K199">
        <v>9.42</v>
      </c>
      <c r="L199" t="s">
        <v>156</v>
      </c>
      <c r="M199" t="s">
        <v>157</v>
      </c>
      <c r="N199" t="s">
        <v>174</v>
      </c>
      <c r="O199" t="s">
        <v>32</v>
      </c>
      <c r="P199">
        <v>25</v>
      </c>
      <c r="Q199" t="s">
        <v>28</v>
      </c>
      <c r="R199">
        <v>240.25</v>
      </c>
      <c r="S199">
        <v>9.61</v>
      </c>
      <c r="T199" t="s">
        <v>33</v>
      </c>
      <c r="U199" t="s">
        <v>163</v>
      </c>
      <c r="V199">
        <v>12</v>
      </c>
      <c r="W199">
        <v>1209</v>
      </c>
      <c r="X199" t="s">
        <v>504</v>
      </c>
      <c r="Y199">
        <v>340413613</v>
      </c>
      <c r="Z199" t="s">
        <v>274</v>
      </c>
    </row>
    <row r="200" spans="1:26" x14ac:dyDescent="0.3">
      <c r="A200" t="s">
        <v>816</v>
      </c>
      <c r="B200" s="1">
        <v>45550</v>
      </c>
      <c r="C200">
        <v>12099190</v>
      </c>
      <c r="D200" t="s">
        <v>1078</v>
      </c>
      <c r="E200" t="s">
        <v>830</v>
      </c>
      <c r="F200" t="s">
        <v>1206</v>
      </c>
      <c r="G200">
        <v>25</v>
      </c>
      <c r="H200" t="s">
        <v>28</v>
      </c>
      <c r="I200">
        <v>9.5551999999999992</v>
      </c>
      <c r="J200">
        <v>238.88</v>
      </c>
      <c r="K200">
        <v>9.56</v>
      </c>
      <c r="L200" t="s">
        <v>57</v>
      </c>
      <c r="M200" t="s">
        <v>58</v>
      </c>
      <c r="N200" t="s">
        <v>59</v>
      </c>
      <c r="O200" t="s">
        <v>60</v>
      </c>
      <c r="P200">
        <v>25</v>
      </c>
      <c r="Q200" t="s">
        <v>28</v>
      </c>
      <c r="R200">
        <v>250</v>
      </c>
      <c r="S200">
        <v>10</v>
      </c>
      <c r="T200" t="s">
        <v>33</v>
      </c>
      <c r="U200" t="s">
        <v>163</v>
      </c>
      <c r="V200">
        <v>12</v>
      </c>
      <c r="W200">
        <v>1209</v>
      </c>
      <c r="X200" t="s">
        <v>504</v>
      </c>
      <c r="Y200">
        <v>341996772</v>
      </c>
      <c r="Z200" t="s">
        <v>832</v>
      </c>
    </row>
    <row r="201" spans="1:26" x14ac:dyDescent="0.3">
      <c r="A201" t="s">
        <v>852</v>
      </c>
      <c r="B201" s="1">
        <v>45552</v>
      </c>
      <c r="C201">
        <v>13021919</v>
      </c>
      <c r="D201" t="s">
        <v>1207</v>
      </c>
      <c r="E201" t="s">
        <v>1113</v>
      </c>
      <c r="F201" t="s">
        <v>79</v>
      </c>
      <c r="G201">
        <v>700</v>
      </c>
      <c r="H201" t="s">
        <v>28</v>
      </c>
      <c r="I201">
        <v>21.281471428571429</v>
      </c>
      <c r="J201">
        <v>14897.03</v>
      </c>
      <c r="K201">
        <v>21.28</v>
      </c>
      <c r="L201" t="s">
        <v>856</v>
      </c>
      <c r="M201" t="s">
        <v>857</v>
      </c>
      <c r="N201" t="s">
        <v>669</v>
      </c>
      <c r="O201" t="s">
        <v>202</v>
      </c>
      <c r="P201">
        <v>700</v>
      </c>
      <c r="Q201" t="s">
        <v>28</v>
      </c>
      <c r="R201">
        <v>18200</v>
      </c>
      <c r="S201">
        <v>26</v>
      </c>
      <c r="T201" t="s">
        <v>33</v>
      </c>
      <c r="U201" t="s">
        <v>351</v>
      </c>
      <c r="V201">
        <v>13</v>
      </c>
      <c r="W201">
        <v>1302</v>
      </c>
      <c r="X201" t="s">
        <v>504</v>
      </c>
      <c r="Y201">
        <v>342082682</v>
      </c>
      <c r="Z201" t="s">
        <v>1114</v>
      </c>
    </row>
    <row r="202" spans="1:26" x14ac:dyDescent="0.3">
      <c r="A202" t="s">
        <v>892</v>
      </c>
      <c r="B202" s="1">
        <v>45563</v>
      </c>
      <c r="C202">
        <v>11063090</v>
      </c>
      <c r="D202" t="s">
        <v>1208</v>
      </c>
      <c r="E202" t="s">
        <v>1179</v>
      </c>
      <c r="F202" t="s">
        <v>1209</v>
      </c>
      <c r="G202">
        <v>150</v>
      </c>
      <c r="H202" t="s">
        <v>28</v>
      </c>
      <c r="I202">
        <v>0.79746666666666666</v>
      </c>
      <c r="J202">
        <v>119.62</v>
      </c>
      <c r="K202">
        <v>0.8</v>
      </c>
      <c r="L202" t="s">
        <v>29</v>
      </c>
      <c r="M202" t="s">
        <v>30</v>
      </c>
      <c r="N202" t="s">
        <v>31</v>
      </c>
      <c r="O202" t="s">
        <v>32</v>
      </c>
      <c r="P202">
        <v>150</v>
      </c>
      <c r="Q202" t="s">
        <v>28</v>
      </c>
      <c r="R202">
        <v>133.5</v>
      </c>
      <c r="S202">
        <v>0.89</v>
      </c>
      <c r="T202" t="s">
        <v>33</v>
      </c>
      <c r="U202" t="s">
        <v>1210</v>
      </c>
      <c r="V202">
        <v>11</v>
      </c>
      <c r="W202">
        <v>1106</v>
      </c>
      <c r="X202" t="s">
        <v>504</v>
      </c>
      <c r="Y202">
        <v>343247815</v>
      </c>
      <c r="Z202" t="s">
        <v>1182</v>
      </c>
    </row>
    <row r="203" spans="1:26" x14ac:dyDescent="0.3">
      <c r="A203" t="s">
        <v>852</v>
      </c>
      <c r="B203" s="1">
        <v>45570</v>
      </c>
      <c r="C203">
        <v>12099190</v>
      </c>
      <c r="D203" t="s">
        <v>1211</v>
      </c>
      <c r="E203" t="s">
        <v>886</v>
      </c>
      <c r="F203" t="s">
        <v>1212</v>
      </c>
      <c r="G203">
        <v>10</v>
      </c>
      <c r="H203" t="s">
        <v>28</v>
      </c>
      <c r="I203">
        <v>78.400000000000006</v>
      </c>
      <c r="J203">
        <v>784</v>
      </c>
      <c r="K203">
        <v>78.400000000000006</v>
      </c>
      <c r="L203" t="s">
        <v>358</v>
      </c>
      <c r="M203" t="s">
        <v>58</v>
      </c>
      <c r="N203" t="s">
        <v>359</v>
      </c>
      <c r="O203" t="s">
        <v>60</v>
      </c>
      <c r="P203">
        <v>10</v>
      </c>
      <c r="Q203" t="s">
        <v>28</v>
      </c>
      <c r="R203">
        <v>800</v>
      </c>
      <c r="S203">
        <v>80</v>
      </c>
      <c r="T203" t="s">
        <v>33</v>
      </c>
      <c r="U203" t="s">
        <v>163</v>
      </c>
      <c r="V203">
        <v>12</v>
      </c>
      <c r="W203">
        <v>1209</v>
      </c>
      <c r="X203" t="s">
        <v>532</v>
      </c>
      <c r="Y203">
        <v>345797227</v>
      </c>
      <c r="Z203" t="s">
        <v>888</v>
      </c>
    </row>
    <row r="204" spans="1:26" x14ac:dyDescent="0.3">
      <c r="A204" t="s">
        <v>852</v>
      </c>
      <c r="B204" s="1">
        <v>45570</v>
      </c>
      <c r="C204">
        <v>12099190</v>
      </c>
      <c r="D204" t="s">
        <v>1211</v>
      </c>
      <c r="E204" t="s">
        <v>886</v>
      </c>
      <c r="F204" t="s">
        <v>1212</v>
      </c>
      <c r="G204">
        <v>10</v>
      </c>
      <c r="H204" t="s">
        <v>28</v>
      </c>
      <c r="I204">
        <v>88.2</v>
      </c>
      <c r="J204">
        <v>882</v>
      </c>
      <c r="K204">
        <v>88.2</v>
      </c>
      <c r="L204" t="s">
        <v>358</v>
      </c>
      <c r="M204" t="s">
        <v>58</v>
      </c>
      <c r="N204" t="s">
        <v>359</v>
      </c>
      <c r="O204" t="s">
        <v>60</v>
      </c>
      <c r="P204">
        <v>10</v>
      </c>
      <c r="Q204" t="s">
        <v>28</v>
      </c>
      <c r="R204">
        <v>900</v>
      </c>
      <c r="S204">
        <v>90</v>
      </c>
      <c r="T204" t="s">
        <v>33</v>
      </c>
      <c r="U204" t="s">
        <v>163</v>
      </c>
      <c r="V204">
        <v>12</v>
      </c>
      <c r="W204">
        <v>1209</v>
      </c>
      <c r="X204" t="s">
        <v>532</v>
      </c>
      <c r="Y204">
        <v>345797228</v>
      </c>
      <c r="Z204" t="s">
        <v>888</v>
      </c>
    </row>
    <row r="205" spans="1:26" x14ac:dyDescent="0.3">
      <c r="A205" t="s">
        <v>852</v>
      </c>
      <c r="B205" s="1">
        <v>45570</v>
      </c>
      <c r="C205">
        <v>12099190</v>
      </c>
      <c r="D205" t="s">
        <v>1211</v>
      </c>
      <c r="E205" t="s">
        <v>886</v>
      </c>
      <c r="F205" t="s">
        <v>1212</v>
      </c>
      <c r="G205">
        <v>20</v>
      </c>
      <c r="H205" t="s">
        <v>28</v>
      </c>
      <c r="I205">
        <v>79.84</v>
      </c>
      <c r="J205">
        <v>1596.8</v>
      </c>
      <c r="K205">
        <v>79.84</v>
      </c>
      <c r="L205" t="s">
        <v>358</v>
      </c>
      <c r="M205" t="s">
        <v>58</v>
      </c>
      <c r="N205" t="s">
        <v>359</v>
      </c>
      <c r="O205" t="s">
        <v>60</v>
      </c>
      <c r="P205">
        <v>20</v>
      </c>
      <c r="Q205" t="s">
        <v>28</v>
      </c>
      <c r="R205">
        <v>1600</v>
      </c>
      <c r="S205">
        <v>80</v>
      </c>
      <c r="T205" t="s">
        <v>33</v>
      </c>
      <c r="U205" t="s">
        <v>163</v>
      </c>
      <c r="V205">
        <v>12</v>
      </c>
      <c r="W205">
        <v>1209</v>
      </c>
      <c r="X205" t="s">
        <v>532</v>
      </c>
      <c r="Y205">
        <v>345797226</v>
      </c>
      <c r="Z205" t="s">
        <v>888</v>
      </c>
    </row>
    <row r="206" spans="1:26" x14ac:dyDescent="0.3">
      <c r="A206" t="s">
        <v>816</v>
      </c>
      <c r="B206" s="1">
        <v>45580</v>
      </c>
      <c r="C206">
        <v>12099190</v>
      </c>
      <c r="D206" t="s">
        <v>1213</v>
      </c>
      <c r="E206" t="s">
        <v>1079</v>
      </c>
      <c r="F206" t="s">
        <v>1214</v>
      </c>
      <c r="G206">
        <v>100</v>
      </c>
      <c r="H206" t="s">
        <v>28</v>
      </c>
      <c r="I206">
        <v>59.252299999999998</v>
      </c>
      <c r="J206">
        <v>5925.23</v>
      </c>
      <c r="K206">
        <v>59.25</v>
      </c>
      <c r="L206" t="s">
        <v>358</v>
      </c>
      <c r="M206" t="s">
        <v>58</v>
      </c>
      <c r="N206" t="s">
        <v>359</v>
      </c>
      <c r="O206" t="s">
        <v>60</v>
      </c>
      <c r="P206">
        <v>100</v>
      </c>
      <c r="Q206" t="s">
        <v>28</v>
      </c>
      <c r="R206">
        <v>6000</v>
      </c>
      <c r="S206">
        <v>60</v>
      </c>
      <c r="T206" t="s">
        <v>33</v>
      </c>
      <c r="U206" t="s">
        <v>163</v>
      </c>
      <c r="V206">
        <v>12</v>
      </c>
      <c r="W206">
        <v>1209</v>
      </c>
      <c r="X206" t="s">
        <v>532</v>
      </c>
      <c r="Y206">
        <v>346989553</v>
      </c>
      <c r="Z206" t="s">
        <v>1081</v>
      </c>
    </row>
    <row r="207" spans="1:26" x14ac:dyDescent="0.3">
      <c r="A207" t="s">
        <v>816</v>
      </c>
      <c r="B207" s="1">
        <v>45592</v>
      </c>
      <c r="C207">
        <v>12099190</v>
      </c>
      <c r="D207" t="s">
        <v>1215</v>
      </c>
      <c r="E207" t="s">
        <v>1092</v>
      </c>
      <c r="F207" t="s">
        <v>1216</v>
      </c>
      <c r="G207">
        <v>65</v>
      </c>
      <c r="H207" t="s">
        <v>28</v>
      </c>
      <c r="I207">
        <v>41.585846153846163</v>
      </c>
      <c r="J207">
        <v>2703.08</v>
      </c>
      <c r="K207">
        <v>41.59</v>
      </c>
      <c r="L207" t="s">
        <v>57</v>
      </c>
      <c r="M207" t="s">
        <v>58</v>
      </c>
      <c r="N207" t="s">
        <v>59</v>
      </c>
      <c r="O207" t="s">
        <v>60</v>
      </c>
      <c r="P207">
        <v>65</v>
      </c>
      <c r="Q207" t="s">
        <v>28</v>
      </c>
      <c r="R207">
        <v>2730</v>
      </c>
      <c r="S207">
        <v>42</v>
      </c>
      <c r="T207" t="s">
        <v>33</v>
      </c>
      <c r="U207" t="s">
        <v>163</v>
      </c>
      <c r="V207">
        <v>12</v>
      </c>
      <c r="W207">
        <v>1209</v>
      </c>
      <c r="X207" t="s">
        <v>532</v>
      </c>
      <c r="Y207">
        <v>348190405</v>
      </c>
      <c r="Z207" t="s">
        <v>1094</v>
      </c>
    </row>
    <row r="208" spans="1:26" x14ac:dyDescent="0.3">
      <c r="A208" t="s">
        <v>816</v>
      </c>
      <c r="B208" s="1">
        <v>45598</v>
      </c>
      <c r="C208">
        <v>12099190</v>
      </c>
      <c r="D208" t="s">
        <v>172</v>
      </c>
      <c r="E208" t="s">
        <v>830</v>
      </c>
      <c r="F208" t="s">
        <v>79</v>
      </c>
      <c r="G208">
        <v>100</v>
      </c>
      <c r="H208" t="s">
        <v>28</v>
      </c>
      <c r="I208">
        <v>7.1147999999999998</v>
      </c>
      <c r="J208">
        <v>711.48</v>
      </c>
      <c r="K208">
        <v>7.11</v>
      </c>
      <c r="L208" t="s">
        <v>57</v>
      </c>
      <c r="M208" t="s">
        <v>58</v>
      </c>
      <c r="N208" t="s">
        <v>59</v>
      </c>
      <c r="O208" t="s">
        <v>60</v>
      </c>
      <c r="P208">
        <v>100</v>
      </c>
      <c r="Q208" t="s">
        <v>28</v>
      </c>
      <c r="R208">
        <v>750</v>
      </c>
      <c r="S208">
        <v>7.5</v>
      </c>
      <c r="T208" t="s">
        <v>33</v>
      </c>
      <c r="U208" t="s">
        <v>163</v>
      </c>
      <c r="V208">
        <v>12</v>
      </c>
      <c r="W208">
        <v>1209</v>
      </c>
      <c r="X208" t="s">
        <v>545</v>
      </c>
      <c r="Y208">
        <v>351354536</v>
      </c>
      <c r="Z208" t="s">
        <v>832</v>
      </c>
    </row>
    <row r="209" spans="1:26" x14ac:dyDescent="0.3">
      <c r="A209" t="s">
        <v>816</v>
      </c>
      <c r="B209" s="1">
        <v>45604</v>
      </c>
      <c r="C209">
        <v>12099190</v>
      </c>
      <c r="D209" t="s">
        <v>1078</v>
      </c>
      <c r="E209" t="s">
        <v>830</v>
      </c>
      <c r="F209" t="s">
        <v>1217</v>
      </c>
      <c r="G209">
        <v>1</v>
      </c>
      <c r="H209" t="s">
        <v>28</v>
      </c>
      <c r="I209">
        <v>41.85</v>
      </c>
      <c r="J209">
        <v>41.85</v>
      </c>
      <c r="K209">
        <v>41.85</v>
      </c>
      <c r="L209" t="s">
        <v>57</v>
      </c>
      <c r="M209" t="s">
        <v>58</v>
      </c>
      <c r="N209" t="s">
        <v>59</v>
      </c>
      <c r="O209" t="s">
        <v>60</v>
      </c>
      <c r="P209">
        <v>1</v>
      </c>
      <c r="Q209" t="s">
        <v>28</v>
      </c>
      <c r="R209">
        <v>44.3</v>
      </c>
      <c r="S209">
        <v>44.3</v>
      </c>
      <c r="T209" t="s">
        <v>33</v>
      </c>
      <c r="U209" t="s">
        <v>163</v>
      </c>
      <c r="V209">
        <v>12</v>
      </c>
      <c r="W209">
        <v>1209</v>
      </c>
      <c r="X209" t="s">
        <v>545</v>
      </c>
      <c r="Y209">
        <v>351298642</v>
      </c>
      <c r="Z209" t="s">
        <v>832</v>
      </c>
    </row>
    <row r="210" spans="1:26" x14ac:dyDescent="0.3">
      <c r="A210" t="s">
        <v>816</v>
      </c>
      <c r="B210" s="1">
        <v>45607</v>
      </c>
      <c r="C210">
        <v>12099190</v>
      </c>
      <c r="D210" t="s">
        <v>1218</v>
      </c>
      <c r="E210" t="s">
        <v>1005</v>
      </c>
      <c r="F210" t="s">
        <v>1219</v>
      </c>
      <c r="G210">
        <v>0.09</v>
      </c>
      <c r="H210" t="s">
        <v>28</v>
      </c>
      <c r="I210">
        <v>23.222222222222221</v>
      </c>
      <c r="J210">
        <v>2.09</v>
      </c>
      <c r="K210">
        <v>0.02</v>
      </c>
      <c r="L210" t="s">
        <v>1175</v>
      </c>
      <c r="M210" t="s">
        <v>1176</v>
      </c>
      <c r="N210" t="s">
        <v>931</v>
      </c>
      <c r="O210" t="s">
        <v>202</v>
      </c>
      <c r="P210">
        <v>90</v>
      </c>
      <c r="Q210" t="s">
        <v>985</v>
      </c>
      <c r="R210">
        <v>1.8</v>
      </c>
      <c r="S210">
        <v>0.02</v>
      </c>
      <c r="T210" t="s">
        <v>286</v>
      </c>
      <c r="U210" t="s">
        <v>163</v>
      </c>
      <c r="V210">
        <v>12</v>
      </c>
      <c r="W210">
        <v>1209</v>
      </c>
      <c r="X210" t="s">
        <v>545</v>
      </c>
      <c r="Y210">
        <v>355157394</v>
      </c>
      <c r="Z210" t="s">
        <v>1007</v>
      </c>
    </row>
    <row r="211" spans="1:26" x14ac:dyDescent="0.3">
      <c r="A211" t="s">
        <v>816</v>
      </c>
      <c r="B211" s="1">
        <v>45620</v>
      </c>
      <c r="C211">
        <v>12099190</v>
      </c>
      <c r="D211" t="s">
        <v>132</v>
      </c>
      <c r="E211" t="s">
        <v>1220</v>
      </c>
      <c r="F211" t="s">
        <v>1221</v>
      </c>
      <c r="G211">
        <v>100</v>
      </c>
      <c r="H211" t="s">
        <v>28</v>
      </c>
      <c r="I211">
        <v>9.7012</v>
      </c>
      <c r="J211">
        <v>970.12</v>
      </c>
      <c r="K211">
        <v>9.6999999999999993</v>
      </c>
      <c r="L211" t="s">
        <v>57</v>
      </c>
      <c r="M211" t="s">
        <v>58</v>
      </c>
      <c r="N211" t="s">
        <v>59</v>
      </c>
      <c r="O211" t="s">
        <v>60</v>
      </c>
      <c r="P211">
        <v>100</v>
      </c>
      <c r="Q211" t="s">
        <v>28</v>
      </c>
      <c r="R211">
        <v>1000</v>
      </c>
      <c r="S211">
        <v>10</v>
      </c>
      <c r="T211" t="s">
        <v>33</v>
      </c>
      <c r="U211" t="s">
        <v>163</v>
      </c>
      <c r="V211">
        <v>12</v>
      </c>
      <c r="W211">
        <v>1209</v>
      </c>
      <c r="X211" t="s">
        <v>545</v>
      </c>
      <c r="Y211">
        <v>353139557</v>
      </c>
      <c r="Z211" t="s">
        <v>1222</v>
      </c>
    </row>
    <row r="212" spans="1:26" x14ac:dyDescent="0.3">
      <c r="A212" t="s">
        <v>816</v>
      </c>
      <c r="B212" s="1">
        <v>45626</v>
      </c>
      <c r="C212">
        <v>12099190</v>
      </c>
      <c r="D212" t="s">
        <v>1078</v>
      </c>
      <c r="E212" t="s">
        <v>1223</v>
      </c>
      <c r="F212" t="s">
        <v>1214</v>
      </c>
      <c r="G212">
        <v>75</v>
      </c>
      <c r="H212" t="s">
        <v>28</v>
      </c>
      <c r="I212">
        <v>4.7610666666666663</v>
      </c>
      <c r="J212">
        <v>357.08</v>
      </c>
      <c r="K212">
        <v>4.76</v>
      </c>
      <c r="L212" t="s">
        <v>358</v>
      </c>
      <c r="M212" t="s">
        <v>58</v>
      </c>
      <c r="N212" t="s">
        <v>359</v>
      </c>
      <c r="O212" t="s">
        <v>60</v>
      </c>
      <c r="P212">
        <v>75</v>
      </c>
      <c r="Q212" t="s">
        <v>28</v>
      </c>
      <c r="R212">
        <v>375</v>
      </c>
      <c r="S212">
        <v>5</v>
      </c>
      <c r="T212" t="s">
        <v>33</v>
      </c>
      <c r="U212" t="s">
        <v>163</v>
      </c>
      <c r="V212">
        <v>12</v>
      </c>
      <c r="W212">
        <v>1209</v>
      </c>
      <c r="X212" t="s">
        <v>545</v>
      </c>
      <c r="Y212">
        <v>353316321</v>
      </c>
      <c r="Z212" t="s">
        <v>1224</v>
      </c>
    </row>
    <row r="213" spans="1:26" x14ac:dyDescent="0.3">
      <c r="A213" t="s">
        <v>816</v>
      </c>
      <c r="B213" s="1">
        <v>45629</v>
      </c>
      <c r="C213">
        <v>12099190</v>
      </c>
      <c r="D213" t="s">
        <v>1225</v>
      </c>
      <c r="E213" t="s">
        <v>886</v>
      </c>
      <c r="F213" t="s">
        <v>1089</v>
      </c>
      <c r="G213">
        <v>10</v>
      </c>
      <c r="H213" t="s">
        <v>28</v>
      </c>
      <c r="I213">
        <v>100.42400000000001</v>
      </c>
      <c r="J213">
        <v>1004.24</v>
      </c>
      <c r="K213">
        <v>100.42</v>
      </c>
      <c r="L213" t="s">
        <v>850</v>
      </c>
      <c r="M213" t="s">
        <v>157</v>
      </c>
      <c r="N213" t="s">
        <v>669</v>
      </c>
      <c r="O213" t="s">
        <v>202</v>
      </c>
      <c r="P213">
        <v>10</v>
      </c>
      <c r="Q213" t="s">
        <v>28</v>
      </c>
      <c r="R213">
        <v>850</v>
      </c>
      <c r="S213">
        <v>85</v>
      </c>
      <c r="T213" t="s">
        <v>33</v>
      </c>
      <c r="U213" t="s">
        <v>163</v>
      </c>
      <c r="V213">
        <v>12</v>
      </c>
      <c r="W213">
        <v>1209</v>
      </c>
      <c r="X213" t="s">
        <v>554</v>
      </c>
      <c r="Y213">
        <v>355542268</v>
      </c>
      <c r="Z213" t="s">
        <v>888</v>
      </c>
    </row>
    <row r="214" spans="1:26" x14ac:dyDescent="0.3">
      <c r="A214" t="s">
        <v>816</v>
      </c>
      <c r="B214" s="1">
        <v>45629</v>
      </c>
      <c r="C214">
        <v>12099190</v>
      </c>
      <c r="D214" t="s">
        <v>1226</v>
      </c>
      <c r="E214" t="s">
        <v>886</v>
      </c>
      <c r="F214" t="s">
        <v>1089</v>
      </c>
      <c r="G214">
        <v>10</v>
      </c>
      <c r="H214" t="s">
        <v>28</v>
      </c>
      <c r="I214">
        <v>100.42400000000001</v>
      </c>
      <c r="J214">
        <v>1004.24</v>
      </c>
      <c r="K214">
        <v>100.42</v>
      </c>
      <c r="L214" t="s">
        <v>850</v>
      </c>
      <c r="M214" t="s">
        <v>157</v>
      </c>
      <c r="N214" t="s">
        <v>669</v>
      </c>
      <c r="O214" t="s">
        <v>202</v>
      </c>
      <c r="P214">
        <v>10</v>
      </c>
      <c r="Q214" t="s">
        <v>28</v>
      </c>
      <c r="R214">
        <v>850</v>
      </c>
      <c r="S214">
        <v>85</v>
      </c>
      <c r="T214" t="s">
        <v>33</v>
      </c>
      <c r="U214" t="s">
        <v>163</v>
      </c>
      <c r="V214">
        <v>12</v>
      </c>
      <c r="W214">
        <v>1209</v>
      </c>
      <c r="X214" t="s">
        <v>554</v>
      </c>
      <c r="Y214">
        <v>355542272</v>
      </c>
      <c r="Z214" t="s">
        <v>888</v>
      </c>
    </row>
    <row r="215" spans="1:26" x14ac:dyDescent="0.3">
      <c r="A215" t="s">
        <v>816</v>
      </c>
      <c r="B215" s="1">
        <v>45638</v>
      </c>
      <c r="C215">
        <v>12099190</v>
      </c>
      <c r="D215" t="s">
        <v>1227</v>
      </c>
      <c r="E215" t="s">
        <v>1005</v>
      </c>
      <c r="F215" t="s">
        <v>1228</v>
      </c>
      <c r="G215">
        <v>70.66</v>
      </c>
      <c r="H215" t="s">
        <v>28</v>
      </c>
      <c r="I215">
        <v>66.86272289838665</v>
      </c>
      <c r="J215">
        <v>4724.5200000000004</v>
      </c>
      <c r="K215">
        <v>66.86</v>
      </c>
      <c r="L215" t="s">
        <v>1175</v>
      </c>
      <c r="M215" t="s">
        <v>1176</v>
      </c>
      <c r="N215" t="s">
        <v>931</v>
      </c>
      <c r="O215" t="s">
        <v>202</v>
      </c>
      <c r="P215">
        <v>70.66</v>
      </c>
      <c r="Q215" t="s">
        <v>28</v>
      </c>
      <c r="R215">
        <v>4522.24</v>
      </c>
      <c r="S215">
        <v>64</v>
      </c>
      <c r="T215" t="s">
        <v>286</v>
      </c>
      <c r="U215" t="s">
        <v>163</v>
      </c>
      <c r="V215">
        <v>12</v>
      </c>
      <c r="W215">
        <v>1209</v>
      </c>
      <c r="X215" t="s">
        <v>554</v>
      </c>
      <c r="Y215">
        <v>360099144</v>
      </c>
      <c r="Z215" t="s">
        <v>1007</v>
      </c>
    </row>
    <row r="216" spans="1:26" x14ac:dyDescent="0.3">
      <c r="A216" t="s">
        <v>816</v>
      </c>
      <c r="B216" s="1">
        <v>45638</v>
      </c>
      <c r="C216">
        <v>12099190</v>
      </c>
      <c r="D216" t="s">
        <v>1227</v>
      </c>
      <c r="E216" t="s">
        <v>1005</v>
      </c>
      <c r="F216" t="s">
        <v>1228</v>
      </c>
      <c r="G216">
        <v>70.66</v>
      </c>
      <c r="H216" t="s">
        <v>28</v>
      </c>
      <c r="I216">
        <v>66.86272289838665</v>
      </c>
      <c r="J216">
        <v>4724.5200000000004</v>
      </c>
      <c r="K216">
        <v>66.86</v>
      </c>
      <c r="L216" t="s">
        <v>1175</v>
      </c>
      <c r="M216" t="s">
        <v>1176</v>
      </c>
      <c r="N216" t="s">
        <v>931</v>
      </c>
      <c r="O216" t="s">
        <v>202</v>
      </c>
      <c r="P216">
        <v>70.66</v>
      </c>
      <c r="Q216" t="s">
        <v>28</v>
      </c>
      <c r="R216">
        <v>4734.22</v>
      </c>
      <c r="S216">
        <v>67</v>
      </c>
      <c r="T216" t="s">
        <v>33</v>
      </c>
      <c r="U216" t="s">
        <v>163</v>
      </c>
      <c r="V216">
        <v>12</v>
      </c>
      <c r="W216">
        <v>1209</v>
      </c>
      <c r="X216" t="s">
        <v>554</v>
      </c>
      <c r="Y216">
        <v>360099143</v>
      </c>
      <c r="Z216" t="s">
        <v>1007</v>
      </c>
    </row>
    <row r="217" spans="1:26" x14ac:dyDescent="0.3">
      <c r="A217" t="s">
        <v>816</v>
      </c>
      <c r="B217" s="1">
        <v>45643</v>
      </c>
      <c r="C217">
        <v>12099990</v>
      </c>
      <c r="D217" t="s">
        <v>1229</v>
      </c>
      <c r="E217" t="s">
        <v>256</v>
      </c>
      <c r="F217" t="s">
        <v>1230</v>
      </c>
      <c r="G217">
        <v>50</v>
      </c>
      <c r="H217" t="s">
        <v>28</v>
      </c>
      <c r="I217">
        <v>5.9151999999999996</v>
      </c>
      <c r="J217">
        <v>295.76</v>
      </c>
      <c r="K217">
        <v>5.92</v>
      </c>
      <c r="L217" t="s">
        <v>1136</v>
      </c>
      <c r="M217" t="s">
        <v>265</v>
      </c>
      <c r="N217" t="s">
        <v>51</v>
      </c>
      <c r="O217" t="s">
        <v>32</v>
      </c>
      <c r="P217">
        <v>50</v>
      </c>
      <c r="Q217" t="s">
        <v>28</v>
      </c>
      <c r="R217">
        <v>302</v>
      </c>
      <c r="S217">
        <v>6.04</v>
      </c>
      <c r="T217" t="s">
        <v>33</v>
      </c>
      <c r="U217" t="s">
        <v>163</v>
      </c>
      <c r="V217">
        <v>12</v>
      </c>
      <c r="W217">
        <v>1209</v>
      </c>
      <c r="X217" t="s">
        <v>554</v>
      </c>
      <c r="Y217">
        <v>357035459</v>
      </c>
      <c r="Z217" t="s">
        <v>259</v>
      </c>
    </row>
    <row r="218" spans="1:26" x14ac:dyDescent="0.3">
      <c r="A218" t="s">
        <v>852</v>
      </c>
      <c r="B218" s="1">
        <v>45653</v>
      </c>
      <c r="C218">
        <v>13021919</v>
      </c>
      <c r="D218" t="s">
        <v>1231</v>
      </c>
      <c r="E218" t="s">
        <v>1113</v>
      </c>
      <c r="F218" t="s">
        <v>1048</v>
      </c>
      <c r="G218">
        <v>1000</v>
      </c>
      <c r="H218" t="s">
        <v>28</v>
      </c>
      <c r="I218">
        <v>23.535509999999999</v>
      </c>
      <c r="J218">
        <v>23535.51</v>
      </c>
      <c r="K218">
        <v>23.54</v>
      </c>
      <c r="L218" t="s">
        <v>1049</v>
      </c>
      <c r="M218" t="s">
        <v>285</v>
      </c>
      <c r="N218" t="s">
        <v>31</v>
      </c>
      <c r="O218" t="s">
        <v>32</v>
      </c>
      <c r="P218">
        <v>1000</v>
      </c>
      <c r="Q218" t="s">
        <v>28</v>
      </c>
      <c r="R218">
        <v>23580</v>
      </c>
      <c r="S218">
        <v>23.58</v>
      </c>
      <c r="T218" t="s">
        <v>33</v>
      </c>
      <c r="U218" t="s">
        <v>351</v>
      </c>
      <c r="V218">
        <v>13</v>
      </c>
      <c r="W218">
        <v>1302</v>
      </c>
      <c r="X218" t="s">
        <v>554</v>
      </c>
      <c r="Y218">
        <v>358005638</v>
      </c>
      <c r="Z218" t="s">
        <v>1114</v>
      </c>
    </row>
    <row r="219" spans="1:26" x14ac:dyDescent="0.3">
      <c r="A219" t="s">
        <v>816</v>
      </c>
      <c r="B219" s="1">
        <v>45657</v>
      </c>
      <c r="C219">
        <v>12099990</v>
      </c>
      <c r="D219" t="s">
        <v>132</v>
      </c>
      <c r="E219" t="s">
        <v>64</v>
      </c>
      <c r="F219" t="s">
        <v>486</v>
      </c>
      <c r="G219">
        <v>108</v>
      </c>
      <c r="H219" t="s">
        <v>28</v>
      </c>
      <c r="I219">
        <v>8.4279629629629635</v>
      </c>
      <c r="J219">
        <v>910.22</v>
      </c>
      <c r="K219">
        <v>8.43</v>
      </c>
      <c r="L219" t="s">
        <v>189</v>
      </c>
      <c r="M219" t="s">
        <v>190</v>
      </c>
      <c r="N219" t="s">
        <v>89</v>
      </c>
      <c r="O219" t="s">
        <v>32</v>
      </c>
      <c r="P219">
        <v>108</v>
      </c>
      <c r="Q219" t="s">
        <v>28</v>
      </c>
      <c r="R219">
        <v>928.8</v>
      </c>
      <c r="S219">
        <v>8.6</v>
      </c>
      <c r="T219" t="s">
        <v>33</v>
      </c>
      <c r="U219" t="s">
        <v>163</v>
      </c>
      <c r="V219">
        <v>12</v>
      </c>
      <c r="W219">
        <v>1209</v>
      </c>
      <c r="X219" t="s">
        <v>554</v>
      </c>
      <c r="Y219">
        <v>358948862</v>
      </c>
      <c r="Z219" t="s">
        <v>68</v>
      </c>
    </row>
    <row r="220" spans="1:26" x14ac:dyDescent="0.3">
      <c r="A220" t="s">
        <v>816</v>
      </c>
      <c r="B220" s="1">
        <v>45661</v>
      </c>
      <c r="C220">
        <v>12099990</v>
      </c>
      <c r="D220" t="s">
        <v>132</v>
      </c>
      <c r="E220" t="s">
        <v>64</v>
      </c>
      <c r="F220" t="s">
        <v>486</v>
      </c>
      <c r="G220">
        <v>108</v>
      </c>
      <c r="H220" t="s">
        <v>28</v>
      </c>
      <c r="I220">
        <v>8.4280074815687307</v>
      </c>
      <c r="J220">
        <v>910.22480800942287</v>
      </c>
      <c r="K220">
        <v>8.43</v>
      </c>
      <c r="L220" t="s">
        <v>189</v>
      </c>
      <c r="M220" t="s">
        <v>190</v>
      </c>
      <c r="N220" t="s">
        <v>89</v>
      </c>
      <c r="O220" t="s">
        <v>32</v>
      </c>
      <c r="P220">
        <v>108</v>
      </c>
      <c r="Q220" t="s">
        <v>28</v>
      </c>
      <c r="R220">
        <v>928.8</v>
      </c>
      <c r="S220">
        <v>8.6</v>
      </c>
      <c r="T220" t="s">
        <v>33</v>
      </c>
      <c r="U220" t="s">
        <v>600</v>
      </c>
      <c r="V220">
        <v>12</v>
      </c>
      <c r="W220">
        <v>1209</v>
      </c>
      <c r="X220" t="s">
        <v>577</v>
      </c>
      <c r="Y220">
        <v>523927</v>
      </c>
      <c r="Z220" t="s">
        <v>68</v>
      </c>
    </row>
    <row r="221" spans="1:26" x14ac:dyDescent="0.3">
      <c r="A221" t="s">
        <v>816</v>
      </c>
      <c r="B221" s="1">
        <v>45665</v>
      </c>
      <c r="C221">
        <v>12099990</v>
      </c>
      <c r="D221" t="s">
        <v>132</v>
      </c>
      <c r="E221" t="s">
        <v>64</v>
      </c>
      <c r="F221" t="s">
        <v>486</v>
      </c>
      <c r="G221">
        <v>108</v>
      </c>
      <c r="H221" t="s">
        <v>28</v>
      </c>
      <c r="I221">
        <v>8.4279629629629635</v>
      </c>
      <c r="J221">
        <v>910.22</v>
      </c>
      <c r="K221">
        <v>8.43</v>
      </c>
      <c r="L221" t="s">
        <v>189</v>
      </c>
      <c r="M221" t="s">
        <v>190</v>
      </c>
      <c r="N221" t="s">
        <v>89</v>
      </c>
      <c r="O221" t="s">
        <v>32</v>
      </c>
      <c r="P221">
        <v>108</v>
      </c>
      <c r="Q221" t="s">
        <v>28</v>
      </c>
      <c r="R221">
        <v>928.8</v>
      </c>
      <c r="S221">
        <v>8.6</v>
      </c>
      <c r="T221" t="s">
        <v>33</v>
      </c>
      <c r="U221" t="s">
        <v>600</v>
      </c>
      <c r="V221">
        <v>12</v>
      </c>
      <c r="W221">
        <v>1209</v>
      </c>
      <c r="X221" t="s">
        <v>577</v>
      </c>
      <c r="Y221">
        <v>525818</v>
      </c>
      <c r="Z221" t="s">
        <v>68</v>
      </c>
    </row>
    <row r="222" spans="1:26" x14ac:dyDescent="0.3">
      <c r="A222" t="s">
        <v>852</v>
      </c>
      <c r="B222" s="1">
        <v>45672</v>
      </c>
      <c r="C222">
        <v>13021919</v>
      </c>
      <c r="D222" t="s">
        <v>927</v>
      </c>
      <c r="E222" t="s">
        <v>1053</v>
      </c>
      <c r="F222" t="s">
        <v>79</v>
      </c>
      <c r="G222">
        <v>75</v>
      </c>
      <c r="H222" t="s">
        <v>28</v>
      </c>
      <c r="I222">
        <v>13.47</v>
      </c>
      <c r="J222">
        <v>1010.25</v>
      </c>
      <c r="K222">
        <v>13.47</v>
      </c>
      <c r="L222" t="s">
        <v>826</v>
      </c>
      <c r="M222" t="s">
        <v>827</v>
      </c>
      <c r="N222" t="s">
        <v>669</v>
      </c>
      <c r="O222" t="s">
        <v>202</v>
      </c>
      <c r="P222">
        <v>75</v>
      </c>
      <c r="Q222" t="s">
        <v>28</v>
      </c>
      <c r="R222">
        <v>1012.5</v>
      </c>
      <c r="S222">
        <v>13.5</v>
      </c>
      <c r="T222" t="s">
        <v>33</v>
      </c>
      <c r="U222" t="s">
        <v>1232</v>
      </c>
      <c r="V222">
        <v>13</v>
      </c>
      <c r="W222">
        <v>1302</v>
      </c>
      <c r="X222" t="s">
        <v>577</v>
      </c>
      <c r="Y222">
        <v>1936105</v>
      </c>
      <c r="Z222" t="s">
        <v>1054</v>
      </c>
    </row>
    <row r="223" spans="1:26" x14ac:dyDescent="0.3">
      <c r="A223" t="s">
        <v>816</v>
      </c>
      <c r="B223" s="1">
        <v>45678</v>
      </c>
      <c r="C223">
        <v>12099190</v>
      </c>
      <c r="D223" t="s">
        <v>1233</v>
      </c>
      <c r="E223" t="s">
        <v>1234</v>
      </c>
      <c r="F223" t="s">
        <v>1235</v>
      </c>
      <c r="G223">
        <v>4.5</v>
      </c>
      <c r="H223" t="s">
        <v>28</v>
      </c>
      <c r="I223">
        <v>17.851111111111109</v>
      </c>
      <c r="J223">
        <v>80.33</v>
      </c>
      <c r="K223">
        <v>17.850000000000001</v>
      </c>
      <c r="L223" t="s">
        <v>180</v>
      </c>
      <c r="M223" t="s">
        <v>112</v>
      </c>
      <c r="N223" t="s">
        <v>294</v>
      </c>
      <c r="O223" t="s">
        <v>202</v>
      </c>
      <c r="P223">
        <v>4.5</v>
      </c>
      <c r="Q223" t="s">
        <v>28</v>
      </c>
      <c r="R223">
        <v>7000.02</v>
      </c>
      <c r="S223">
        <v>1555.56</v>
      </c>
      <c r="T223" t="s">
        <v>114</v>
      </c>
      <c r="U223" t="s">
        <v>1236</v>
      </c>
      <c r="V223">
        <v>12</v>
      </c>
      <c r="W223">
        <v>1209</v>
      </c>
      <c r="X223" t="s">
        <v>577</v>
      </c>
      <c r="Y223">
        <v>4160396</v>
      </c>
      <c r="Z223" t="s">
        <v>1237</v>
      </c>
    </row>
    <row r="224" spans="1:26" x14ac:dyDescent="0.3">
      <c r="A224" t="s">
        <v>816</v>
      </c>
      <c r="B224" s="1">
        <v>45687</v>
      </c>
      <c r="C224">
        <v>12099190</v>
      </c>
      <c r="D224" t="s">
        <v>1238</v>
      </c>
      <c r="E224" t="s">
        <v>1239</v>
      </c>
      <c r="F224" t="s">
        <v>1240</v>
      </c>
      <c r="G224">
        <v>50</v>
      </c>
      <c r="H224" t="s">
        <v>28</v>
      </c>
      <c r="I224">
        <v>98.072199999999995</v>
      </c>
      <c r="J224">
        <v>4903.6099999999997</v>
      </c>
      <c r="K224">
        <v>98.07</v>
      </c>
      <c r="L224" t="s">
        <v>358</v>
      </c>
      <c r="M224" t="s">
        <v>58</v>
      </c>
      <c r="N224" t="s">
        <v>359</v>
      </c>
      <c r="O224" t="s">
        <v>60</v>
      </c>
      <c r="P224">
        <v>50</v>
      </c>
      <c r="Q224" t="s">
        <v>28</v>
      </c>
      <c r="R224">
        <v>5053</v>
      </c>
      <c r="S224">
        <v>101.06</v>
      </c>
      <c r="T224" t="s">
        <v>33</v>
      </c>
      <c r="U224" t="s">
        <v>1236</v>
      </c>
      <c r="V224">
        <v>12</v>
      </c>
      <c r="W224">
        <v>1209</v>
      </c>
      <c r="X224" t="s">
        <v>577</v>
      </c>
      <c r="Y224">
        <v>2432228</v>
      </c>
      <c r="Z224" t="s">
        <v>1241</v>
      </c>
    </row>
    <row r="225" spans="1:26" x14ac:dyDescent="0.3">
      <c r="A225" t="s">
        <v>852</v>
      </c>
      <c r="B225" s="1">
        <v>45687</v>
      </c>
      <c r="C225">
        <v>13021919</v>
      </c>
      <c r="D225" t="s">
        <v>1242</v>
      </c>
      <c r="E225" t="s">
        <v>854</v>
      </c>
      <c r="F225" t="s">
        <v>1243</v>
      </c>
      <c r="G225">
        <v>25</v>
      </c>
      <c r="H225" t="s">
        <v>28</v>
      </c>
      <c r="I225">
        <v>57.816800000000001</v>
      </c>
      <c r="J225">
        <v>1445.42</v>
      </c>
      <c r="K225">
        <v>57.82</v>
      </c>
      <c r="L225" t="s">
        <v>180</v>
      </c>
      <c r="M225" t="s">
        <v>112</v>
      </c>
      <c r="N225" t="s">
        <v>201</v>
      </c>
      <c r="O225" t="s">
        <v>202</v>
      </c>
      <c r="P225">
        <v>25</v>
      </c>
      <c r="Q225" t="s">
        <v>28</v>
      </c>
      <c r="R225">
        <v>1500</v>
      </c>
      <c r="S225">
        <v>60</v>
      </c>
      <c r="T225" t="s">
        <v>33</v>
      </c>
      <c r="U225" t="s">
        <v>1232</v>
      </c>
      <c r="V225">
        <v>13</v>
      </c>
      <c r="W225">
        <v>1302</v>
      </c>
      <c r="X225" t="s">
        <v>577</v>
      </c>
      <c r="Y225">
        <v>4104143</v>
      </c>
      <c r="Z225" t="s">
        <v>858</v>
      </c>
    </row>
    <row r="226" spans="1:26" x14ac:dyDescent="0.3">
      <c r="A226" t="s">
        <v>816</v>
      </c>
      <c r="B226" s="1">
        <v>45692</v>
      </c>
      <c r="C226">
        <v>12099190</v>
      </c>
      <c r="D226" t="s">
        <v>1244</v>
      </c>
      <c r="E226" t="s">
        <v>1005</v>
      </c>
      <c r="F226" t="s">
        <v>1245</v>
      </c>
      <c r="G226">
        <v>511.2</v>
      </c>
      <c r="H226" t="s">
        <v>28</v>
      </c>
      <c r="I226">
        <v>64.874726134585288</v>
      </c>
      <c r="J226">
        <v>33163.96</v>
      </c>
      <c r="K226">
        <v>64.87</v>
      </c>
      <c r="L226" t="s">
        <v>1175</v>
      </c>
      <c r="M226" t="s">
        <v>1176</v>
      </c>
      <c r="N226" t="s">
        <v>931</v>
      </c>
      <c r="O226" t="s">
        <v>202</v>
      </c>
      <c r="P226">
        <v>511.2</v>
      </c>
      <c r="Q226" t="s">
        <v>28</v>
      </c>
      <c r="R226">
        <v>32716.799999999999</v>
      </c>
      <c r="S226">
        <v>64</v>
      </c>
      <c r="T226" t="s">
        <v>286</v>
      </c>
      <c r="U226" t="s">
        <v>1236</v>
      </c>
      <c r="V226">
        <v>12</v>
      </c>
      <c r="W226">
        <v>1209</v>
      </c>
      <c r="X226" t="s">
        <v>598</v>
      </c>
      <c r="Y226">
        <v>9714533</v>
      </c>
      <c r="Z226" t="s">
        <v>1007</v>
      </c>
    </row>
    <row r="227" spans="1:26" x14ac:dyDescent="0.3">
      <c r="A227" t="s">
        <v>816</v>
      </c>
      <c r="B227" s="1">
        <v>45696</v>
      </c>
      <c r="C227">
        <v>12099190</v>
      </c>
      <c r="D227" t="s">
        <v>1246</v>
      </c>
      <c r="E227" t="s">
        <v>834</v>
      </c>
      <c r="F227" t="s">
        <v>1247</v>
      </c>
      <c r="G227">
        <v>200</v>
      </c>
      <c r="H227" t="s">
        <v>28</v>
      </c>
      <c r="I227">
        <v>104.91085</v>
      </c>
      <c r="J227">
        <v>20982.17</v>
      </c>
      <c r="K227">
        <v>104.91</v>
      </c>
      <c r="L227" t="s">
        <v>1152</v>
      </c>
      <c r="M227" t="s">
        <v>316</v>
      </c>
      <c r="N227" t="s">
        <v>1153</v>
      </c>
      <c r="O227" t="s">
        <v>60</v>
      </c>
      <c r="P227">
        <v>200</v>
      </c>
      <c r="Q227" t="s">
        <v>28</v>
      </c>
      <c r="R227">
        <v>1822800</v>
      </c>
      <c r="S227">
        <v>9114</v>
      </c>
      <c r="T227" t="s">
        <v>114</v>
      </c>
      <c r="U227" t="s">
        <v>1236</v>
      </c>
      <c r="V227">
        <v>12</v>
      </c>
      <c r="W227">
        <v>1209</v>
      </c>
      <c r="X227" t="s">
        <v>598</v>
      </c>
      <c r="Y227">
        <v>5979994</v>
      </c>
      <c r="Z227" t="s">
        <v>836</v>
      </c>
    </row>
    <row r="228" spans="1:26" x14ac:dyDescent="0.3">
      <c r="A228" t="s">
        <v>852</v>
      </c>
      <c r="B228" s="1">
        <v>45698</v>
      </c>
      <c r="C228">
        <v>33029011</v>
      </c>
      <c r="D228" t="s">
        <v>1248</v>
      </c>
      <c r="E228" t="s">
        <v>1249</v>
      </c>
      <c r="F228" t="s">
        <v>1250</v>
      </c>
      <c r="G228">
        <v>3</v>
      </c>
      <c r="H228" t="s">
        <v>28</v>
      </c>
      <c r="I228">
        <v>17.309999999999999</v>
      </c>
      <c r="J228">
        <v>51.93</v>
      </c>
      <c r="K228">
        <v>17.309999999999999</v>
      </c>
      <c r="L228" t="s">
        <v>29</v>
      </c>
      <c r="M228" t="s">
        <v>30</v>
      </c>
      <c r="N228" t="s">
        <v>51</v>
      </c>
      <c r="O228" t="s">
        <v>32</v>
      </c>
      <c r="P228">
        <v>3</v>
      </c>
      <c r="Q228" t="s">
        <v>28</v>
      </c>
      <c r="R228">
        <v>53.31</v>
      </c>
      <c r="S228">
        <v>17.77</v>
      </c>
      <c r="T228" t="s">
        <v>33</v>
      </c>
      <c r="U228" t="s">
        <v>1251</v>
      </c>
      <c r="V228">
        <v>33</v>
      </c>
      <c r="W228">
        <v>3302</v>
      </c>
      <c r="X228" t="s">
        <v>598</v>
      </c>
      <c r="Y228">
        <v>6244077</v>
      </c>
      <c r="Z228" t="s">
        <v>1252</v>
      </c>
    </row>
    <row r="229" spans="1:26" x14ac:dyDescent="0.3">
      <c r="A229" t="s">
        <v>816</v>
      </c>
      <c r="B229" s="1">
        <v>45707</v>
      </c>
      <c r="C229">
        <v>12099190</v>
      </c>
      <c r="D229" t="s">
        <v>1253</v>
      </c>
      <c r="E229" t="s">
        <v>1254</v>
      </c>
      <c r="F229" t="s">
        <v>1255</v>
      </c>
      <c r="G229">
        <v>12</v>
      </c>
      <c r="H229" t="s">
        <v>28</v>
      </c>
      <c r="I229">
        <v>4.58</v>
      </c>
      <c r="J229">
        <v>54.96</v>
      </c>
      <c r="K229">
        <v>4580</v>
      </c>
      <c r="L229" t="s">
        <v>558</v>
      </c>
      <c r="M229" t="s">
        <v>162</v>
      </c>
      <c r="N229" t="s">
        <v>89</v>
      </c>
      <c r="O229" t="s">
        <v>32</v>
      </c>
      <c r="P229">
        <v>1.2E-2</v>
      </c>
      <c r="Q229" t="s">
        <v>43</v>
      </c>
      <c r="R229">
        <v>56.08</v>
      </c>
      <c r="S229">
        <v>4673.33</v>
      </c>
      <c r="T229" t="s">
        <v>33</v>
      </c>
      <c r="U229" t="s">
        <v>1236</v>
      </c>
      <c r="V229">
        <v>12</v>
      </c>
      <c r="W229">
        <v>1209</v>
      </c>
      <c r="X229" t="s">
        <v>598</v>
      </c>
      <c r="Y229">
        <v>6504725</v>
      </c>
      <c r="Z229" t="s">
        <v>1256</v>
      </c>
    </row>
    <row r="230" spans="1:26" x14ac:dyDescent="0.3">
      <c r="A230" t="s">
        <v>816</v>
      </c>
      <c r="B230" s="1">
        <v>45715</v>
      </c>
      <c r="C230">
        <v>12099990</v>
      </c>
      <c r="D230" t="s">
        <v>132</v>
      </c>
      <c r="E230" t="s">
        <v>64</v>
      </c>
      <c r="F230" t="s">
        <v>486</v>
      </c>
      <c r="G230">
        <v>108</v>
      </c>
      <c r="H230" t="s">
        <v>28</v>
      </c>
      <c r="I230">
        <v>7.35</v>
      </c>
      <c r="J230">
        <v>793.8</v>
      </c>
      <c r="K230">
        <v>7.35</v>
      </c>
      <c r="L230" t="s">
        <v>189</v>
      </c>
      <c r="M230" t="s">
        <v>190</v>
      </c>
      <c r="N230" t="s">
        <v>89</v>
      </c>
      <c r="O230" t="s">
        <v>32</v>
      </c>
      <c r="P230">
        <v>108</v>
      </c>
      <c r="Q230" t="s">
        <v>28</v>
      </c>
      <c r="R230">
        <v>810</v>
      </c>
      <c r="S230">
        <v>7.5</v>
      </c>
      <c r="T230" t="s">
        <v>33</v>
      </c>
      <c r="U230" t="s">
        <v>600</v>
      </c>
      <c r="V230">
        <v>12</v>
      </c>
      <c r="W230">
        <v>1209</v>
      </c>
      <c r="X230" t="s">
        <v>598</v>
      </c>
      <c r="Y230">
        <v>8221827</v>
      </c>
      <c r="Z230" t="s">
        <v>68</v>
      </c>
    </row>
    <row r="231" spans="1:26" x14ac:dyDescent="0.3">
      <c r="A231" t="s">
        <v>816</v>
      </c>
      <c r="B231" s="1">
        <v>45724</v>
      </c>
      <c r="C231">
        <v>12099990</v>
      </c>
      <c r="D231" t="s">
        <v>132</v>
      </c>
      <c r="E231" t="s">
        <v>64</v>
      </c>
      <c r="F231" t="s">
        <v>486</v>
      </c>
      <c r="G231">
        <v>108</v>
      </c>
      <c r="H231" t="s">
        <v>28</v>
      </c>
      <c r="I231">
        <v>7.35</v>
      </c>
      <c r="J231">
        <v>793.8</v>
      </c>
      <c r="K231">
        <v>7.35</v>
      </c>
      <c r="L231" t="s">
        <v>189</v>
      </c>
      <c r="M231" t="s">
        <v>190</v>
      </c>
      <c r="N231" t="s">
        <v>89</v>
      </c>
      <c r="O231" t="s">
        <v>32</v>
      </c>
      <c r="P231">
        <v>108</v>
      </c>
      <c r="Q231" t="s">
        <v>28</v>
      </c>
      <c r="R231">
        <v>810</v>
      </c>
      <c r="S231">
        <v>7.5</v>
      </c>
      <c r="T231" t="s">
        <v>33</v>
      </c>
      <c r="U231" t="s">
        <v>600</v>
      </c>
      <c r="V231">
        <v>12</v>
      </c>
      <c r="W231">
        <v>1209</v>
      </c>
      <c r="X231" t="s">
        <v>631</v>
      </c>
      <c r="Y231">
        <v>10829994</v>
      </c>
      <c r="Z231" t="s">
        <v>68</v>
      </c>
    </row>
    <row r="232" spans="1:26" x14ac:dyDescent="0.3">
      <c r="A232" t="s">
        <v>816</v>
      </c>
      <c r="B232" s="1">
        <v>45736</v>
      </c>
      <c r="C232">
        <v>12099190</v>
      </c>
      <c r="D232" t="s">
        <v>1257</v>
      </c>
      <c r="E232" t="s">
        <v>1258</v>
      </c>
      <c r="F232" t="s">
        <v>1259</v>
      </c>
      <c r="G232">
        <v>5</v>
      </c>
      <c r="H232" t="s">
        <v>28</v>
      </c>
      <c r="I232">
        <v>50.076000000000001</v>
      </c>
      <c r="J232">
        <v>250.38</v>
      </c>
      <c r="K232">
        <v>50.08</v>
      </c>
      <c r="L232" t="s">
        <v>419</v>
      </c>
      <c r="M232" t="s">
        <v>88</v>
      </c>
      <c r="N232" t="s">
        <v>669</v>
      </c>
      <c r="O232" t="s">
        <v>202</v>
      </c>
      <c r="P232">
        <v>5</v>
      </c>
      <c r="Q232" t="s">
        <v>28</v>
      </c>
      <c r="R232">
        <v>350.05</v>
      </c>
      <c r="S232">
        <v>70.010000000000005</v>
      </c>
      <c r="T232" t="s">
        <v>33</v>
      </c>
      <c r="U232" t="s">
        <v>1236</v>
      </c>
      <c r="V232">
        <v>12</v>
      </c>
      <c r="W232">
        <v>1209</v>
      </c>
      <c r="X232" t="s">
        <v>631</v>
      </c>
      <c r="Y232">
        <v>13048732</v>
      </c>
      <c r="Z232" t="s">
        <v>1260</v>
      </c>
    </row>
    <row r="233" spans="1:26" x14ac:dyDescent="0.3">
      <c r="A233" t="s">
        <v>816</v>
      </c>
      <c r="B233" s="1">
        <v>45736</v>
      </c>
      <c r="C233">
        <v>12099190</v>
      </c>
      <c r="D233" t="s">
        <v>1257</v>
      </c>
      <c r="E233" t="s">
        <v>1258</v>
      </c>
      <c r="F233" t="s">
        <v>1259</v>
      </c>
      <c r="G233">
        <v>5</v>
      </c>
      <c r="H233" t="s">
        <v>28</v>
      </c>
      <c r="I233">
        <v>50.076000000000001</v>
      </c>
      <c r="J233">
        <v>250.38</v>
      </c>
      <c r="K233">
        <v>50.08</v>
      </c>
      <c r="L233" t="s">
        <v>419</v>
      </c>
      <c r="M233" t="s">
        <v>88</v>
      </c>
      <c r="N233" t="s">
        <v>669</v>
      </c>
      <c r="O233" t="s">
        <v>202</v>
      </c>
      <c r="P233">
        <v>5</v>
      </c>
      <c r="Q233" t="s">
        <v>28</v>
      </c>
      <c r="R233">
        <v>255.5</v>
      </c>
      <c r="S233">
        <v>51.1</v>
      </c>
      <c r="T233" t="s">
        <v>33</v>
      </c>
      <c r="U233" t="s">
        <v>1236</v>
      </c>
      <c r="V233">
        <v>12</v>
      </c>
      <c r="W233">
        <v>1209</v>
      </c>
      <c r="X233" t="s">
        <v>631</v>
      </c>
      <c r="Y233">
        <v>11755710</v>
      </c>
      <c r="Z233" t="s">
        <v>1260</v>
      </c>
    </row>
    <row r="234" spans="1:26" x14ac:dyDescent="0.3">
      <c r="A234" t="s">
        <v>816</v>
      </c>
      <c r="B234" s="1">
        <v>45738</v>
      </c>
      <c r="C234">
        <v>12099110</v>
      </c>
      <c r="D234" t="s">
        <v>177</v>
      </c>
      <c r="E234" t="s">
        <v>1261</v>
      </c>
      <c r="F234" t="s">
        <v>79</v>
      </c>
      <c r="G234">
        <v>0.25</v>
      </c>
      <c r="H234" t="s">
        <v>28</v>
      </c>
      <c r="I234">
        <v>0</v>
      </c>
      <c r="J234">
        <v>0</v>
      </c>
      <c r="K234">
        <v>0</v>
      </c>
      <c r="L234" t="s">
        <v>1262</v>
      </c>
      <c r="M234" t="s">
        <v>1263</v>
      </c>
      <c r="N234" t="s">
        <v>51</v>
      </c>
      <c r="O234" t="s">
        <v>32</v>
      </c>
      <c r="P234">
        <v>0.25</v>
      </c>
      <c r="Q234" t="s">
        <v>28</v>
      </c>
      <c r="R234">
        <v>0</v>
      </c>
      <c r="S234">
        <v>0</v>
      </c>
      <c r="T234" t="s">
        <v>33</v>
      </c>
      <c r="U234" t="s">
        <v>1264</v>
      </c>
      <c r="V234">
        <v>12</v>
      </c>
      <c r="W234">
        <v>1209</v>
      </c>
      <c r="X234" t="s">
        <v>631</v>
      </c>
      <c r="Y234">
        <v>12273522</v>
      </c>
      <c r="Z234" t="s">
        <v>1265</v>
      </c>
    </row>
    <row r="235" spans="1:26" x14ac:dyDescent="0.3">
      <c r="A235" t="s">
        <v>816</v>
      </c>
      <c r="B235" s="1">
        <v>45738</v>
      </c>
      <c r="C235">
        <v>12099110</v>
      </c>
      <c r="D235" t="s">
        <v>177</v>
      </c>
      <c r="E235" t="s">
        <v>1261</v>
      </c>
      <c r="F235" t="s">
        <v>79</v>
      </c>
      <c r="G235">
        <v>1</v>
      </c>
      <c r="H235" t="s">
        <v>28</v>
      </c>
      <c r="I235">
        <v>0</v>
      </c>
      <c r="J235">
        <v>0</v>
      </c>
      <c r="K235">
        <v>0</v>
      </c>
      <c r="L235" t="s">
        <v>1262</v>
      </c>
      <c r="M235" t="s">
        <v>1263</v>
      </c>
      <c r="N235" t="s">
        <v>51</v>
      </c>
      <c r="O235" t="s">
        <v>32</v>
      </c>
      <c r="P235">
        <v>1</v>
      </c>
      <c r="Q235" t="s">
        <v>28</v>
      </c>
      <c r="R235">
        <v>0</v>
      </c>
      <c r="S235">
        <v>0</v>
      </c>
      <c r="T235" t="s">
        <v>33</v>
      </c>
      <c r="U235" t="s">
        <v>1264</v>
      </c>
      <c r="V235">
        <v>12</v>
      </c>
      <c r="W235">
        <v>1209</v>
      </c>
      <c r="X235" t="s">
        <v>631</v>
      </c>
      <c r="Y235">
        <v>13054190</v>
      </c>
      <c r="Z235" t="s">
        <v>1265</v>
      </c>
    </row>
    <row r="236" spans="1:26" x14ac:dyDescent="0.3">
      <c r="A236" t="s">
        <v>816</v>
      </c>
      <c r="B236" s="1">
        <v>45738</v>
      </c>
      <c r="C236">
        <v>12099110</v>
      </c>
      <c r="D236" t="s">
        <v>177</v>
      </c>
      <c r="E236" t="s">
        <v>1261</v>
      </c>
      <c r="F236" t="s">
        <v>79</v>
      </c>
      <c r="G236">
        <v>0.5</v>
      </c>
      <c r="H236" t="s">
        <v>28</v>
      </c>
      <c r="I236">
        <v>0</v>
      </c>
      <c r="J236">
        <v>0</v>
      </c>
      <c r="K236">
        <v>0</v>
      </c>
      <c r="L236" t="s">
        <v>1262</v>
      </c>
      <c r="M236" t="s">
        <v>1263</v>
      </c>
      <c r="N236" t="s">
        <v>51</v>
      </c>
      <c r="O236" t="s">
        <v>32</v>
      </c>
      <c r="P236">
        <v>0.5</v>
      </c>
      <c r="Q236" t="s">
        <v>28</v>
      </c>
      <c r="R236">
        <v>0</v>
      </c>
      <c r="S236">
        <v>0</v>
      </c>
      <c r="T236" t="s">
        <v>33</v>
      </c>
      <c r="U236" t="s">
        <v>1264</v>
      </c>
      <c r="V236">
        <v>12</v>
      </c>
      <c r="W236">
        <v>1209</v>
      </c>
      <c r="X236" t="s">
        <v>631</v>
      </c>
      <c r="Y236">
        <v>11541912</v>
      </c>
      <c r="Z236" t="s">
        <v>1265</v>
      </c>
    </row>
    <row r="237" spans="1:26" x14ac:dyDescent="0.3">
      <c r="A237" t="s">
        <v>852</v>
      </c>
      <c r="B237" s="1">
        <v>45742</v>
      </c>
      <c r="C237">
        <v>13021919</v>
      </c>
      <c r="D237" t="s">
        <v>1266</v>
      </c>
      <c r="E237" t="s">
        <v>1053</v>
      </c>
      <c r="F237" t="s">
        <v>79</v>
      </c>
      <c r="G237">
        <v>50</v>
      </c>
      <c r="H237" t="s">
        <v>28</v>
      </c>
      <c r="I237">
        <v>12.784000000000001</v>
      </c>
      <c r="J237">
        <v>639.20000000000005</v>
      </c>
      <c r="K237">
        <v>12.78</v>
      </c>
      <c r="L237" t="s">
        <v>826</v>
      </c>
      <c r="M237" t="s">
        <v>827</v>
      </c>
      <c r="N237" t="s">
        <v>669</v>
      </c>
      <c r="O237" t="s">
        <v>202</v>
      </c>
      <c r="P237">
        <v>50</v>
      </c>
      <c r="Q237" t="s">
        <v>28</v>
      </c>
      <c r="R237">
        <v>675</v>
      </c>
      <c r="S237">
        <v>13.5</v>
      </c>
      <c r="T237" t="s">
        <v>33</v>
      </c>
      <c r="U237" t="s">
        <v>1232</v>
      </c>
      <c r="V237">
        <v>13</v>
      </c>
      <c r="W237">
        <v>1302</v>
      </c>
      <c r="X237" t="s">
        <v>631</v>
      </c>
      <c r="Y237">
        <v>13975592</v>
      </c>
      <c r="Z237" t="s">
        <v>1054</v>
      </c>
    </row>
    <row r="238" spans="1:26" x14ac:dyDescent="0.3">
      <c r="A238" t="s">
        <v>852</v>
      </c>
      <c r="B238" s="1">
        <v>45747</v>
      </c>
      <c r="C238">
        <v>13021919</v>
      </c>
      <c r="D238" t="s">
        <v>1267</v>
      </c>
      <c r="E238" t="s">
        <v>942</v>
      </c>
      <c r="F238" t="s">
        <v>943</v>
      </c>
      <c r="G238">
        <v>100</v>
      </c>
      <c r="H238" t="s">
        <v>28</v>
      </c>
      <c r="I238">
        <v>45.1646</v>
      </c>
      <c r="J238">
        <v>4516.46</v>
      </c>
      <c r="K238">
        <v>45.16</v>
      </c>
      <c r="L238" t="s">
        <v>1171</v>
      </c>
      <c r="M238" t="s">
        <v>945</v>
      </c>
      <c r="N238" t="s">
        <v>294</v>
      </c>
      <c r="O238" t="s">
        <v>202</v>
      </c>
      <c r="P238">
        <v>100</v>
      </c>
      <c r="Q238" t="s">
        <v>28</v>
      </c>
      <c r="R238">
        <v>4526</v>
      </c>
      <c r="S238">
        <v>45.26</v>
      </c>
      <c r="T238" t="s">
        <v>33</v>
      </c>
      <c r="U238" t="s">
        <v>1232</v>
      </c>
      <c r="V238">
        <v>13</v>
      </c>
      <c r="W238">
        <v>1302</v>
      </c>
      <c r="X238" t="s">
        <v>631</v>
      </c>
      <c r="Y238">
        <v>13789486</v>
      </c>
      <c r="Z238" t="s">
        <v>946</v>
      </c>
    </row>
    <row r="239" spans="1:26" x14ac:dyDescent="0.3">
      <c r="A239" t="s">
        <v>816</v>
      </c>
      <c r="B239" s="1">
        <v>45752</v>
      </c>
      <c r="C239">
        <v>12099190</v>
      </c>
      <c r="D239" t="s">
        <v>1268</v>
      </c>
      <c r="E239" t="s">
        <v>1269</v>
      </c>
      <c r="F239" t="s">
        <v>1270</v>
      </c>
      <c r="G239">
        <v>60</v>
      </c>
      <c r="H239" t="s">
        <v>28</v>
      </c>
      <c r="I239">
        <v>98.570666666666668</v>
      </c>
      <c r="J239">
        <v>5914.24</v>
      </c>
      <c r="K239">
        <v>98.57</v>
      </c>
      <c r="L239" t="s">
        <v>358</v>
      </c>
      <c r="M239" t="s">
        <v>58</v>
      </c>
      <c r="N239" t="s">
        <v>359</v>
      </c>
      <c r="O239" t="s">
        <v>60</v>
      </c>
      <c r="P239">
        <v>60</v>
      </c>
      <c r="Q239" t="s">
        <v>28</v>
      </c>
      <c r="R239">
        <v>5926.2</v>
      </c>
      <c r="S239">
        <v>98.77</v>
      </c>
      <c r="T239" t="s">
        <v>33</v>
      </c>
      <c r="U239" t="s">
        <v>1236</v>
      </c>
      <c r="V239">
        <v>12</v>
      </c>
      <c r="W239">
        <v>1209</v>
      </c>
      <c r="X239" t="s">
        <v>671</v>
      </c>
      <c r="Y239">
        <v>16242575</v>
      </c>
      <c r="Z239" t="s">
        <v>1271</v>
      </c>
    </row>
    <row r="240" spans="1:26" x14ac:dyDescent="0.3">
      <c r="A240" t="s">
        <v>816</v>
      </c>
      <c r="B240" s="1">
        <v>45753</v>
      </c>
      <c r="C240">
        <v>12099190</v>
      </c>
      <c r="D240" t="s">
        <v>1268</v>
      </c>
      <c r="E240" t="s">
        <v>1269</v>
      </c>
      <c r="F240" t="s">
        <v>1270</v>
      </c>
      <c r="G240">
        <v>60</v>
      </c>
      <c r="H240" t="s">
        <v>28</v>
      </c>
      <c r="I240">
        <v>99.8</v>
      </c>
      <c r="J240">
        <v>5988</v>
      </c>
      <c r="K240">
        <v>99.8</v>
      </c>
      <c r="L240" t="s">
        <v>358</v>
      </c>
      <c r="M240" t="s">
        <v>58</v>
      </c>
      <c r="N240" t="s">
        <v>359</v>
      </c>
      <c r="O240" t="s">
        <v>60</v>
      </c>
      <c r="P240">
        <v>60</v>
      </c>
      <c r="Q240" t="s">
        <v>28</v>
      </c>
      <c r="R240">
        <v>6000</v>
      </c>
      <c r="S240">
        <v>100</v>
      </c>
      <c r="T240" t="s">
        <v>33</v>
      </c>
      <c r="U240" t="s">
        <v>1236</v>
      </c>
      <c r="V240">
        <v>12</v>
      </c>
      <c r="W240">
        <v>1209</v>
      </c>
      <c r="X240" t="s">
        <v>671</v>
      </c>
      <c r="Y240">
        <v>15921688</v>
      </c>
      <c r="Z240" t="s">
        <v>1271</v>
      </c>
    </row>
    <row r="241" spans="1:26" x14ac:dyDescent="0.3">
      <c r="A241" t="s">
        <v>816</v>
      </c>
      <c r="B241" s="1">
        <v>45753</v>
      </c>
      <c r="C241">
        <v>12099190</v>
      </c>
      <c r="D241" t="s">
        <v>1268</v>
      </c>
      <c r="E241" t="s">
        <v>1269</v>
      </c>
      <c r="F241" t="s">
        <v>1270</v>
      </c>
      <c r="G241">
        <v>60</v>
      </c>
      <c r="H241" t="s">
        <v>28</v>
      </c>
      <c r="I241">
        <v>99.8</v>
      </c>
      <c r="J241">
        <v>5988</v>
      </c>
      <c r="K241">
        <v>99.8</v>
      </c>
      <c r="L241" t="s">
        <v>358</v>
      </c>
      <c r="M241" t="s">
        <v>58</v>
      </c>
      <c r="N241" t="s">
        <v>359</v>
      </c>
      <c r="O241" t="s">
        <v>60</v>
      </c>
      <c r="P241">
        <v>60</v>
      </c>
      <c r="Q241" t="s">
        <v>28</v>
      </c>
      <c r="R241">
        <v>6000</v>
      </c>
      <c r="S241">
        <v>100</v>
      </c>
      <c r="T241" t="s">
        <v>33</v>
      </c>
      <c r="U241" t="s">
        <v>1236</v>
      </c>
      <c r="V241">
        <v>12</v>
      </c>
      <c r="W241">
        <v>1209</v>
      </c>
      <c r="X241" t="s">
        <v>671</v>
      </c>
      <c r="Y241">
        <v>16790212</v>
      </c>
      <c r="Z241" t="s">
        <v>1271</v>
      </c>
    </row>
    <row r="242" spans="1:26" x14ac:dyDescent="0.3">
      <c r="A242" t="s">
        <v>816</v>
      </c>
      <c r="B242" s="1">
        <v>45761</v>
      </c>
      <c r="C242">
        <v>12099190</v>
      </c>
      <c r="D242" t="s">
        <v>1272</v>
      </c>
      <c r="E242" t="s">
        <v>1258</v>
      </c>
      <c r="F242" t="s">
        <v>1273</v>
      </c>
      <c r="G242">
        <v>0.5</v>
      </c>
      <c r="H242" t="s">
        <v>28</v>
      </c>
      <c r="I242">
        <v>63</v>
      </c>
      <c r="J242">
        <v>31.5</v>
      </c>
      <c r="K242">
        <v>63</v>
      </c>
      <c r="L242" t="s">
        <v>419</v>
      </c>
      <c r="M242" t="s">
        <v>88</v>
      </c>
      <c r="N242" t="s">
        <v>669</v>
      </c>
      <c r="O242" t="s">
        <v>202</v>
      </c>
      <c r="P242">
        <v>0.5</v>
      </c>
      <c r="Q242" t="s">
        <v>28</v>
      </c>
      <c r="R242">
        <v>36.590000000000003</v>
      </c>
      <c r="S242">
        <v>73.180000000000007</v>
      </c>
      <c r="T242" t="s">
        <v>33</v>
      </c>
      <c r="U242" t="s">
        <v>1236</v>
      </c>
      <c r="V242">
        <v>12</v>
      </c>
      <c r="W242">
        <v>1209</v>
      </c>
      <c r="X242" t="s">
        <v>671</v>
      </c>
      <c r="Y242">
        <v>18634737</v>
      </c>
      <c r="Z242" t="s">
        <v>1274</v>
      </c>
    </row>
    <row r="243" spans="1:26" x14ac:dyDescent="0.3">
      <c r="A243" t="s">
        <v>816</v>
      </c>
      <c r="B243" s="1">
        <v>45762</v>
      </c>
      <c r="C243">
        <v>12099190</v>
      </c>
      <c r="D243" t="s">
        <v>1275</v>
      </c>
      <c r="E243" t="s">
        <v>834</v>
      </c>
      <c r="F243" t="s">
        <v>1276</v>
      </c>
      <c r="G243">
        <v>200</v>
      </c>
      <c r="H243" t="s">
        <v>28</v>
      </c>
      <c r="I243">
        <v>104.83110000000001</v>
      </c>
      <c r="J243">
        <v>20966.22</v>
      </c>
      <c r="K243">
        <v>104.83</v>
      </c>
      <c r="L243" t="s">
        <v>1152</v>
      </c>
      <c r="M243" t="s">
        <v>316</v>
      </c>
      <c r="N243" t="s">
        <v>1153</v>
      </c>
      <c r="O243" t="s">
        <v>60</v>
      </c>
      <c r="P243">
        <v>200</v>
      </c>
      <c r="Q243" t="s">
        <v>28</v>
      </c>
      <c r="R243">
        <v>1783600</v>
      </c>
      <c r="S243">
        <v>8918</v>
      </c>
      <c r="T243" t="s">
        <v>114</v>
      </c>
      <c r="U243" t="s">
        <v>1236</v>
      </c>
      <c r="V243">
        <v>12</v>
      </c>
      <c r="W243">
        <v>1209</v>
      </c>
      <c r="X243" t="s">
        <v>671</v>
      </c>
      <c r="Y243">
        <v>17977893</v>
      </c>
      <c r="Z243" t="s">
        <v>836</v>
      </c>
    </row>
    <row r="244" spans="1:26" x14ac:dyDescent="0.3">
      <c r="A244" t="s">
        <v>816</v>
      </c>
      <c r="B244" s="1">
        <v>45767</v>
      </c>
      <c r="C244">
        <v>12099190</v>
      </c>
      <c r="D244" t="s">
        <v>1277</v>
      </c>
      <c r="E244" t="s">
        <v>1269</v>
      </c>
      <c r="F244" t="s">
        <v>1278</v>
      </c>
      <c r="G244">
        <v>20</v>
      </c>
      <c r="H244" t="s">
        <v>28</v>
      </c>
      <c r="I244">
        <v>97.359499999999997</v>
      </c>
      <c r="J244">
        <v>1947.19</v>
      </c>
      <c r="K244">
        <v>97.36</v>
      </c>
      <c r="L244" t="s">
        <v>1279</v>
      </c>
      <c r="M244" t="s">
        <v>58</v>
      </c>
      <c r="N244" t="s">
        <v>1280</v>
      </c>
      <c r="O244" t="s">
        <v>60</v>
      </c>
      <c r="P244">
        <v>20</v>
      </c>
      <c r="Q244" t="s">
        <v>28</v>
      </c>
      <c r="R244">
        <v>1970</v>
      </c>
      <c r="S244">
        <v>98.5</v>
      </c>
      <c r="T244" t="s">
        <v>33</v>
      </c>
      <c r="U244" t="s">
        <v>1236</v>
      </c>
      <c r="V244">
        <v>12</v>
      </c>
      <c r="W244">
        <v>1209</v>
      </c>
      <c r="X244" t="s">
        <v>671</v>
      </c>
      <c r="Y244">
        <v>20321961</v>
      </c>
      <c r="Z244" t="s">
        <v>1271</v>
      </c>
    </row>
    <row r="245" spans="1:26" x14ac:dyDescent="0.3">
      <c r="A245" t="s">
        <v>816</v>
      </c>
      <c r="B245" s="1">
        <v>45805</v>
      </c>
      <c r="C245">
        <v>12099190</v>
      </c>
      <c r="D245" t="s">
        <v>177</v>
      </c>
      <c r="E245" t="s">
        <v>1281</v>
      </c>
      <c r="F245" t="s">
        <v>1282</v>
      </c>
      <c r="G245">
        <v>50</v>
      </c>
      <c r="H245" t="s">
        <v>28</v>
      </c>
      <c r="I245">
        <v>3.5764</v>
      </c>
      <c r="J245">
        <v>178.82</v>
      </c>
      <c r="K245">
        <v>3.58</v>
      </c>
      <c r="L245" t="s">
        <v>40</v>
      </c>
      <c r="M245" t="s">
        <v>41</v>
      </c>
      <c r="N245" t="s">
        <v>174</v>
      </c>
      <c r="O245" t="s">
        <v>32</v>
      </c>
      <c r="P245">
        <v>50</v>
      </c>
      <c r="Q245" t="s">
        <v>28</v>
      </c>
      <c r="R245">
        <v>184.5</v>
      </c>
      <c r="S245">
        <v>3.69</v>
      </c>
      <c r="T245" t="s">
        <v>33</v>
      </c>
      <c r="U245" t="s">
        <v>1236</v>
      </c>
      <c r="V245">
        <v>12</v>
      </c>
      <c r="W245">
        <v>1209</v>
      </c>
      <c r="X245" t="s">
        <v>691</v>
      </c>
      <c r="Y245">
        <v>24913182</v>
      </c>
      <c r="Z245" t="s">
        <v>1283</v>
      </c>
    </row>
    <row r="246" spans="1:26" x14ac:dyDescent="0.3">
      <c r="A246" t="s">
        <v>816</v>
      </c>
      <c r="B246" s="1">
        <v>45813</v>
      </c>
      <c r="C246">
        <v>12099190</v>
      </c>
      <c r="D246" t="s">
        <v>1284</v>
      </c>
      <c r="E246" t="s">
        <v>1285</v>
      </c>
      <c r="F246" t="s">
        <v>1286</v>
      </c>
      <c r="G246">
        <v>10.5</v>
      </c>
      <c r="H246" t="s">
        <v>28</v>
      </c>
      <c r="I246">
        <v>6.7142857142857144</v>
      </c>
      <c r="J246">
        <v>70.5</v>
      </c>
      <c r="K246">
        <v>6.71</v>
      </c>
      <c r="L246" t="s">
        <v>1287</v>
      </c>
      <c r="M246" t="s">
        <v>50</v>
      </c>
      <c r="N246" t="s">
        <v>588</v>
      </c>
      <c r="O246" t="s">
        <v>32</v>
      </c>
      <c r="P246">
        <v>10.5</v>
      </c>
      <c r="Q246" t="s">
        <v>28</v>
      </c>
      <c r="R246">
        <v>54.6</v>
      </c>
      <c r="S246">
        <v>5.2</v>
      </c>
      <c r="T246" t="s">
        <v>52</v>
      </c>
      <c r="U246" t="s">
        <v>1236</v>
      </c>
      <c r="V246">
        <v>12</v>
      </c>
      <c r="W246">
        <v>1209</v>
      </c>
      <c r="X246" t="s">
        <v>720</v>
      </c>
      <c r="Y246">
        <v>27589516</v>
      </c>
      <c r="Z246" t="s">
        <v>1288</v>
      </c>
    </row>
    <row r="247" spans="1:26" x14ac:dyDescent="0.3">
      <c r="A247" t="s">
        <v>852</v>
      </c>
      <c r="B247" s="1">
        <v>45814</v>
      </c>
      <c r="C247">
        <v>13021919</v>
      </c>
      <c r="D247" t="s">
        <v>1289</v>
      </c>
      <c r="E247" t="s">
        <v>1053</v>
      </c>
      <c r="F247" t="s">
        <v>79</v>
      </c>
      <c r="G247">
        <v>125</v>
      </c>
      <c r="H247" t="s">
        <v>28</v>
      </c>
      <c r="I247">
        <v>13.46672</v>
      </c>
      <c r="J247">
        <v>1683.34</v>
      </c>
      <c r="K247">
        <v>13.47</v>
      </c>
      <c r="L247" t="s">
        <v>826</v>
      </c>
      <c r="M247" t="s">
        <v>827</v>
      </c>
      <c r="N247" t="s">
        <v>669</v>
      </c>
      <c r="O247" t="s">
        <v>202</v>
      </c>
      <c r="P247">
        <v>125</v>
      </c>
      <c r="Q247" t="s">
        <v>28</v>
      </c>
      <c r="R247">
        <v>1687.5</v>
      </c>
      <c r="S247">
        <v>13.5</v>
      </c>
      <c r="T247" t="s">
        <v>33</v>
      </c>
      <c r="U247" t="s">
        <v>1232</v>
      </c>
      <c r="V247">
        <v>13</v>
      </c>
      <c r="W247">
        <v>1302</v>
      </c>
      <c r="X247" t="s">
        <v>720</v>
      </c>
      <c r="Y247">
        <v>27410212</v>
      </c>
      <c r="Z247" t="s">
        <v>1054</v>
      </c>
    </row>
    <row r="248" spans="1:26" x14ac:dyDescent="0.3">
      <c r="A248" t="s">
        <v>816</v>
      </c>
      <c r="B248" s="1">
        <v>45814</v>
      </c>
      <c r="C248">
        <v>12099190</v>
      </c>
      <c r="D248" t="s">
        <v>132</v>
      </c>
      <c r="E248" t="s">
        <v>1290</v>
      </c>
      <c r="F248" t="s">
        <v>1291</v>
      </c>
      <c r="G248">
        <v>4</v>
      </c>
      <c r="H248" t="s">
        <v>28</v>
      </c>
      <c r="I248">
        <v>5.1349999999999998</v>
      </c>
      <c r="J248">
        <v>20.54</v>
      </c>
      <c r="K248">
        <v>5.14</v>
      </c>
      <c r="L248" t="s">
        <v>1292</v>
      </c>
      <c r="M248" t="s">
        <v>1293</v>
      </c>
      <c r="N248" t="s">
        <v>89</v>
      </c>
      <c r="O248" t="s">
        <v>32</v>
      </c>
      <c r="P248">
        <v>4</v>
      </c>
      <c r="Q248" t="s">
        <v>28</v>
      </c>
      <c r="R248">
        <v>20.96</v>
      </c>
      <c r="S248">
        <v>5.24</v>
      </c>
      <c r="T248" t="s">
        <v>33</v>
      </c>
      <c r="U248" t="s">
        <v>1236</v>
      </c>
      <c r="V248">
        <v>12</v>
      </c>
      <c r="W248">
        <v>1209</v>
      </c>
      <c r="X248" t="s">
        <v>720</v>
      </c>
      <c r="Y248">
        <v>27118298</v>
      </c>
      <c r="Z248" t="s">
        <v>1294</v>
      </c>
    </row>
    <row r="249" spans="1:26" x14ac:dyDescent="0.3">
      <c r="A249" t="s">
        <v>816</v>
      </c>
      <c r="B249" s="1">
        <v>45820</v>
      </c>
      <c r="C249">
        <v>12099990</v>
      </c>
      <c r="D249" t="s">
        <v>1295</v>
      </c>
      <c r="E249" t="s">
        <v>101</v>
      </c>
      <c r="F249" t="s">
        <v>1296</v>
      </c>
      <c r="G249">
        <v>60</v>
      </c>
      <c r="H249" t="s">
        <v>28</v>
      </c>
      <c r="I249">
        <v>6.0946666666666669</v>
      </c>
      <c r="J249">
        <v>365.68</v>
      </c>
      <c r="K249">
        <v>6.09</v>
      </c>
      <c r="L249" t="s">
        <v>103</v>
      </c>
      <c r="M249" t="s">
        <v>104</v>
      </c>
      <c r="N249" t="s">
        <v>1297</v>
      </c>
      <c r="O249" t="s">
        <v>32</v>
      </c>
      <c r="P249">
        <v>60</v>
      </c>
      <c r="Q249" t="s">
        <v>28</v>
      </c>
      <c r="R249">
        <v>388.2</v>
      </c>
      <c r="S249">
        <v>6.47</v>
      </c>
      <c r="T249" t="s">
        <v>33</v>
      </c>
      <c r="U249" t="s">
        <v>600</v>
      </c>
      <c r="V249">
        <v>12</v>
      </c>
      <c r="W249">
        <v>1209</v>
      </c>
      <c r="X249" t="s">
        <v>720</v>
      </c>
      <c r="Y249">
        <v>28440264</v>
      </c>
      <c r="Z249" t="s">
        <v>107</v>
      </c>
    </row>
    <row r="250" spans="1:26" x14ac:dyDescent="0.3">
      <c r="A250" t="s">
        <v>816</v>
      </c>
      <c r="B250" s="1">
        <v>45825</v>
      </c>
      <c r="C250">
        <v>12099190</v>
      </c>
      <c r="D250" t="s">
        <v>1298</v>
      </c>
      <c r="E250" t="s">
        <v>1005</v>
      </c>
      <c r="F250" t="s">
        <v>1245</v>
      </c>
      <c r="G250">
        <v>353.1</v>
      </c>
      <c r="H250" t="s">
        <v>28</v>
      </c>
      <c r="I250">
        <v>72.445482866043605</v>
      </c>
      <c r="J250">
        <v>25580.5</v>
      </c>
      <c r="K250">
        <v>72.45</v>
      </c>
      <c r="L250" t="s">
        <v>1175</v>
      </c>
      <c r="M250" t="s">
        <v>1176</v>
      </c>
      <c r="N250" t="s">
        <v>931</v>
      </c>
      <c r="O250" t="s">
        <v>202</v>
      </c>
      <c r="P250">
        <v>353.1</v>
      </c>
      <c r="Q250" t="s">
        <v>28</v>
      </c>
      <c r="R250">
        <v>22891.47</v>
      </c>
      <c r="S250">
        <v>64.83</v>
      </c>
      <c r="T250" t="s">
        <v>286</v>
      </c>
      <c r="U250" t="s">
        <v>1236</v>
      </c>
      <c r="V250">
        <v>12</v>
      </c>
      <c r="W250">
        <v>1209</v>
      </c>
      <c r="X250" t="s">
        <v>720</v>
      </c>
      <c r="Y250">
        <v>30981629</v>
      </c>
      <c r="Z250" t="s">
        <v>1007</v>
      </c>
    </row>
    <row r="251" spans="1:26" x14ac:dyDescent="0.3">
      <c r="A251" t="s">
        <v>852</v>
      </c>
      <c r="B251" s="1">
        <v>45831</v>
      </c>
      <c r="C251">
        <v>13021919</v>
      </c>
      <c r="D251" t="s">
        <v>1299</v>
      </c>
      <c r="E251" t="s">
        <v>1113</v>
      </c>
      <c r="F251" t="s">
        <v>79</v>
      </c>
      <c r="G251">
        <v>1000</v>
      </c>
      <c r="H251" t="s">
        <v>28</v>
      </c>
      <c r="I251">
        <v>23.5029</v>
      </c>
      <c r="J251">
        <v>23502.9</v>
      </c>
      <c r="K251">
        <v>23.5</v>
      </c>
      <c r="L251" t="s">
        <v>1049</v>
      </c>
      <c r="M251" t="s">
        <v>857</v>
      </c>
      <c r="N251" t="s">
        <v>31</v>
      </c>
      <c r="O251" t="s">
        <v>32</v>
      </c>
      <c r="P251">
        <v>1000</v>
      </c>
      <c r="Q251" t="s">
        <v>28</v>
      </c>
      <c r="R251">
        <v>23820</v>
      </c>
      <c r="S251">
        <v>23.82</v>
      </c>
      <c r="T251" t="s">
        <v>33</v>
      </c>
      <c r="U251" t="s">
        <v>1232</v>
      </c>
      <c r="V251">
        <v>13</v>
      </c>
      <c r="W251">
        <v>1302</v>
      </c>
      <c r="X251" t="s">
        <v>720</v>
      </c>
      <c r="Y251">
        <v>29223628</v>
      </c>
      <c r="Z251" t="s">
        <v>1114</v>
      </c>
    </row>
    <row r="252" spans="1:26" x14ac:dyDescent="0.3">
      <c r="A252" t="s">
        <v>816</v>
      </c>
      <c r="B252" s="1">
        <v>45838</v>
      </c>
      <c r="C252">
        <v>12099190</v>
      </c>
      <c r="D252" t="s">
        <v>1300</v>
      </c>
      <c r="E252" t="s">
        <v>627</v>
      </c>
      <c r="F252" t="s">
        <v>1301</v>
      </c>
      <c r="G252">
        <v>175</v>
      </c>
      <c r="H252" t="s">
        <v>28</v>
      </c>
      <c r="I252">
        <v>6.7225714285714284</v>
      </c>
      <c r="J252">
        <v>1176.45</v>
      </c>
      <c r="K252">
        <v>6.72</v>
      </c>
      <c r="L252" t="s">
        <v>75</v>
      </c>
      <c r="M252" t="s">
        <v>50</v>
      </c>
      <c r="N252" t="s">
        <v>113</v>
      </c>
      <c r="O252" t="s">
        <v>32</v>
      </c>
      <c r="P252">
        <v>175</v>
      </c>
      <c r="Q252" t="s">
        <v>28</v>
      </c>
      <c r="R252">
        <v>911.75</v>
      </c>
      <c r="S252">
        <v>5.21</v>
      </c>
      <c r="T252" t="s">
        <v>52</v>
      </c>
      <c r="U252" t="s">
        <v>1236</v>
      </c>
      <c r="V252">
        <v>12</v>
      </c>
      <c r="W252">
        <v>1209</v>
      </c>
      <c r="X252" t="s">
        <v>720</v>
      </c>
      <c r="Y252">
        <v>30436898</v>
      </c>
      <c r="Z252" t="s">
        <v>632</v>
      </c>
    </row>
    <row r="253" spans="1:26" x14ac:dyDescent="0.3">
      <c r="A253" t="s">
        <v>816</v>
      </c>
      <c r="B253" s="1">
        <v>45838</v>
      </c>
      <c r="C253">
        <v>12099190</v>
      </c>
      <c r="D253" t="s">
        <v>1302</v>
      </c>
      <c r="E253" t="s">
        <v>627</v>
      </c>
      <c r="F253" t="s">
        <v>1301</v>
      </c>
      <c r="G253">
        <v>69</v>
      </c>
      <c r="H253" t="s">
        <v>28</v>
      </c>
      <c r="I253">
        <v>6.963043478260869</v>
      </c>
      <c r="J253">
        <v>480.45</v>
      </c>
      <c r="K253">
        <v>6.96</v>
      </c>
      <c r="L253" t="s">
        <v>75</v>
      </c>
      <c r="M253" t="s">
        <v>50</v>
      </c>
      <c r="N253" t="s">
        <v>113</v>
      </c>
      <c r="O253" t="s">
        <v>32</v>
      </c>
      <c r="P253">
        <v>69</v>
      </c>
      <c r="Q253" t="s">
        <v>28</v>
      </c>
      <c r="R253">
        <v>379.5</v>
      </c>
      <c r="S253">
        <v>5.5</v>
      </c>
      <c r="T253" t="s">
        <v>52</v>
      </c>
      <c r="U253" t="s">
        <v>1236</v>
      </c>
      <c r="V253">
        <v>12</v>
      </c>
      <c r="W253">
        <v>1209</v>
      </c>
      <c r="X253" t="s">
        <v>720</v>
      </c>
      <c r="Y253">
        <v>30576596</v>
      </c>
      <c r="Z253" t="s">
        <v>632</v>
      </c>
    </row>
    <row r="254" spans="1:26" x14ac:dyDescent="0.3">
      <c r="A254" t="s">
        <v>816</v>
      </c>
      <c r="B254" s="1">
        <v>45842</v>
      </c>
      <c r="C254">
        <v>12099190</v>
      </c>
      <c r="D254" t="s">
        <v>1303</v>
      </c>
      <c r="E254" t="s">
        <v>1304</v>
      </c>
      <c r="F254" t="s">
        <v>1305</v>
      </c>
      <c r="G254">
        <v>69.5</v>
      </c>
      <c r="H254" t="s">
        <v>28</v>
      </c>
      <c r="I254">
        <v>33.83611510791367</v>
      </c>
      <c r="J254">
        <v>2351.61</v>
      </c>
      <c r="K254">
        <v>33.840000000000003</v>
      </c>
      <c r="L254" t="s">
        <v>1306</v>
      </c>
      <c r="M254" t="s">
        <v>112</v>
      </c>
      <c r="N254" t="s">
        <v>201</v>
      </c>
      <c r="O254" t="s">
        <v>202</v>
      </c>
      <c r="P254">
        <v>69.5</v>
      </c>
      <c r="Q254" t="s">
        <v>28</v>
      </c>
      <c r="R254">
        <v>2289.33</v>
      </c>
      <c r="S254">
        <v>32.94</v>
      </c>
      <c r="T254" t="s">
        <v>33</v>
      </c>
      <c r="U254" t="s">
        <v>1236</v>
      </c>
      <c r="V254">
        <v>12</v>
      </c>
      <c r="W254">
        <v>1209</v>
      </c>
      <c r="X254" t="s">
        <v>731</v>
      </c>
      <c r="Y254">
        <v>33105261</v>
      </c>
      <c r="Z254" t="s">
        <v>1307</v>
      </c>
    </row>
    <row r="255" spans="1:26" x14ac:dyDescent="0.3">
      <c r="A255" t="s">
        <v>816</v>
      </c>
      <c r="B255" s="1">
        <v>45845</v>
      </c>
      <c r="C255">
        <v>12099190</v>
      </c>
      <c r="D255" t="s">
        <v>1204</v>
      </c>
      <c r="E255" t="s">
        <v>869</v>
      </c>
      <c r="F255" t="s">
        <v>1308</v>
      </c>
      <c r="G255">
        <v>156.25</v>
      </c>
      <c r="H255" t="s">
        <v>28</v>
      </c>
      <c r="I255">
        <v>111.77606400000001</v>
      </c>
      <c r="J255">
        <v>17465.009999999998</v>
      </c>
      <c r="K255">
        <v>111.78</v>
      </c>
      <c r="L255" t="s">
        <v>949</v>
      </c>
      <c r="M255" t="s">
        <v>252</v>
      </c>
      <c r="N255" t="s">
        <v>201</v>
      </c>
      <c r="O255" t="s">
        <v>202</v>
      </c>
      <c r="P255">
        <v>156.25</v>
      </c>
      <c r="Q255" t="s">
        <v>28</v>
      </c>
      <c r="R255">
        <v>17500</v>
      </c>
      <c r="S255">
        <v>112</v>
      </c>
      <c r="T255" t="s">
        <v>33</v>
      </c>
      <c r="U255" t="s">
        <v>1236</v>
      </c>
      <c r="V255">
        <v>12</v>
      </c>
      <c r="W255">
        <v>1209</v>
      </c>
      <c r="X255" t="s">
        <v>731</v>
      </c>
      <c r="Y255">
        <v>32378152</v>
      </c>
      <c r="Z255" t="s">
        <v>873</v>
      </c>
    </row>
    <row r="256" spans="1:26" x14ac:dyDescent="0.3">
      <c r="A256" t="s">
        <v>816</v>
      </c>
      <c r="B256" s="1">
        <v>45847</v>
      </c>
      <c r="C256">
        <v>12099190</v>
      </c>
      <c r="D256" t="s">
        <v>1309</v>
      </c>
      <c r="E256" t="s">
        <v>1310</v>
      </c>
      <c r="F256" t="s">
        <v>1122</v>
      </c>
      <c r="G256">
        <v>175</v>
      </c>
      <c r="H256" t="s">
        <v>28</v>
      </c>
      <c r="I256">
        <v>24.793085714285709</v>
      </c>
      <c r="J256">
        <v>4338.79</v>
      </c>
      <c r="K256">
        <v>24.79</v>
      </c>
      <c r="L256" t="s">
        <v>29</v>
      </c>
      <c r="M256" t="s">
        <v>30</v>
      </c>
      <c r="N256" t="s">
        <v>51</v>
      </c>
      <c r="O256" t="s">
        <v>32</v>
      </c>
      <c r="P256">
        <v>175</v>
      </c>
      <c r="Q256" t="s">
        <v>28</v>
      </c>
      <c r="R256">
        <v>4375</v>
      </c>
      <c r="S256">
        <v>25</v>
      </c>
      <c r="T256" t="s">
        <v>33</v>
      </c>
      <c r="U256" t="s">
        <v>1236</v>
      </c>
      <c r="V256">
        <v>12</v>
      </c>
      <c r="W256">
        <v>1209</v>
      </c>
      <c r="X256" t="s">
        <v>731</v>
      </c>
      <c r="Y256">
        <v>32594052</v>
      </c>
      <c r="Z256" t="s">
        <v>1311</v>
      </c>
    </row>
    <row r="257" spans="1:26" x14ac:dyDescent="0.3">
      <c r="A257" t="s">
        <v>816</v>
      </c>
      <c r="B257" s="1">
        <v>45849</v>
      </c>
      <c r="C257">
        <v>12099190</v>
      </c>
      <c r="D257" t="s">
        <v>177</v>
      </c>
      <c r="E257" t="s">
        <v>711</v>
      </c>
      <c r="F257" t="s">
        <v>79</v>
      </c>
      <c r="G257">
        <v>10</v>
      </c>
      <c r="H257" t="s">
        <v>28</v>
      </c>
      <c r="I257">
        <v>11.502000000000001</v>
      </c>
      <c r="J257">
        <v>115.02</v>
      </c>
      <c r="K257">
        <v>11.5</v>
      </c>
      <c r="L257" t="s">
        <v>1312</v>
      </c>
      <c r="M257" t="s">
        <v>1313</v>
      </c>
      <c r="N257" t="s">
        <v>51</v>
      </c>
      <c r="O257" t="s">
        <v>32</v>
      </c>
      <c r="P257">
        <v>10</v>
      </c>
      <c r="Q257" t="s">
        <v>28</v>
      </c>
      <c r="R257">
        <v>127.6</v>
      </c>
      <c r="S257">
        <v>12.76</v>
      </c>
      <c r="T257" t="s">
        <v>33</v>
      </c>
      <c r="U257" t="s">
        <v>1236</v>
      </c>
      <c r="V257">
        <v>12</v>
      </c>
      <c r="W257">
        <v>1209</v>
      </c>
      <c r="X257" t="s">
        <v>731</v>
      </c>
      <c r="Y257">
        <v>33531257</v>
      </c>
      <c r="Z257" t="s">
        <v>713</v>
      </c>
    </row>
    <row r="258" spans="1:26" x14ac:dyDescent="0.3">
      <c r="A258" t="s">
        <v>852</v>
      </c>
      <c r="B258" s="1">
        <v>45849</v>
      </c>
      <c r="C258">
        <v>13021919</v>
      </c>
      <c r="D258" t="s">
        <v>927</v>
      </c>
      <c r="E258" t="s">
        <v>1314</v>
      </c>
      <c r="F258" t="s">
        <v>79</v>
      </c>
      <c r="G258">
        <v>800</v>
      </c>
      <c r="H258" t="s">
        <v>28</v>
      </c>
      <c r="I258">
        <v>4.99</v>
      </c>
      <c r="J258">
        <v>3992</v>
      </c>
      <c r="K258">
        <v>4.99</v>
      </c>
      <c r="L258" t="s">
        <v>1315</v>
      </c>
      <c r="M258" t="s">
        <v>112</v>
      </c>
      <c r="N258" t="s">
        <v>51</v>
      </c>
      <c r="O258" t="s">
        <v>32</v>
      </c>
      <c r="P258">
        <v>800</v>
      </c>
      <c r="Q258" t="s">
        <v>28</v>
      </c>
      <c r="R258">
        <v>4000</v>
      </c>
      <c r="S258">
        <v>5</v>
      </c>
      <c r="T258" t="s">
        <v>33</v>
      </c>
      <c r="U258" t="s">
        <v>1232</v>
      </c>
      <c r="V258">
        <v>13</v>
      </c>
      <c r="W258">
        <v>1302</v>
      </c>
      <c r="X258" t="s">
        <v>731</v>
      </c>
      <c r="Y258">
        <v>33276096</v>
      </c>
      <c r="Z258" t="s">
        <v>1316</v>
      </c>
    </row>
    <row r="259" spans="1:26" x14ac:dyDescent="0.3">
      <c r="A259" t="s">
        <v>852</v>
      </c>
      <c r="B259" s="1">
        <v>45855</v>
      </c>
      <c r="C259">
        <v>13021919</v>
      </c>
      <c r="D259" t="s">
        <v>1317</v>
      </c>
      <c r="E259" t="s">
        <v>904</v>
      </c>
      <c r="F259" t="s">
        <v>79</v>
      </c>
      <c r="G259">
        <v>100</v>
      </c>
      <c r="H259" t="s">
        <v>28</v>
      </c>
      <c r="I259">
        <v>15.233499999999999</v>
      </c>
      <c r="J259">
        <v>1523.35</v>
      </c>
      <c r="K259">
        <v>15.23</v>
      </c>
      <c r="L259" t="s">
        <v>826</v>
      </c>
      <c r="M259" t="s">
        <v>827</v>
      </c>
      <c r="N259" t="s">
        <v>669</v>
      </c>
      <c r="O259" t="s">
        <v>202</v>
      </c>
      <c r="P259">
        <v>100</v>
      </c>
      <c r="Q259" t="s">
        <v>28</v>
      </c>
      <c r="R259">
        <v>1600</v>
      </c>
      <c r="S259">
        <v>16</v>
      </c>
      <c r="T259" t="s">
        <v>33</v>
      </c>
      <c r="U259" t="s">
        <v>1232</v>
      </c>
      <c r="V259">
        <v>13</v>
      </c>
      <c r="W259">
        <v>1302</v>
      </c>
      <c r="X259" t="s">
        <v>731</v>
      </c>
      <c r="Y259">
        <v>33772622</v>
      </c>
      <c r="Z259" t="s">
        <v>907</v>
      </c>
    </row>
    <row r="260" spans="1:26" x14ac:dyDescent="0.3">
      <c r="A260" t="s">
        <v>816</v>
      </c>
      <c r="B260" s="1">
        <v>45858</v>
      </c>
      <c r="C260">
        <v>12099190</v>
      </c>
      <c r="D260" t="s">
        <v>1078</v>
      </c>
      <c r="E260" t="s">
        <v>830</v>
      </c>
      <c r="F260" t="s">
        <v>1318</v>
      </c>
      <c r="G260">
        <v>15500</v>
      </c>
      <c r="H260" t="s">
        <v>28</v>
      </c>
      <c r="I260">
        <v>1.7061935483870971E-2</v>
      </c>
      <c r="J260">
        <v>264.45999999999998</v>
      </c>
      <c r="K260">
        <v>17.059999999999999</v>
      </c>
      <c r="L260" t="s">
        <v>57</v>
      </c>
      <c r="M260" t="s">
        <v>58</v>
      </c>
      <c r="N260" t="s">
        <v>59</v>
      </c>
      <c r="O260" t="s">
        <v>60</v>
      </c>
      <c r="P260">
        <v>15.5</v>
      </c>
      <c r="Q260" t="s">
        <v>43</v>
      </c>
      <c r="R260">
        <v>280.86</v>
      </c>
      <c r="S260">
        <v>18.12</v>
      </c>
      <c r="U260" t="s">
        <v>1236</v>
      </c>
      <c r="V260">
        <v>12</v>
      </c>
      <c r="W260">
        <v>1209</v>
      </c>
      <c r="X260" t="s">
        <v>731</v>
      </c>
      <c r="Y260">
        <v>37068472</v>
      </c>
      <c r="Z260" t="s">
        <v>832</v>
      </c>
    </row>
    <row r="261" spans="1:26" x14ac:dyDescent="0.3">
      <c r="A261" t="s">
        <v>816</v>
      </c>
      <c r="B261" s="1">
        <v>45858</v>
      </c>
      <c r="C261">
        <v>12099190</v>
      </c>
      <c r="D261" t="s">
        <v>1078</v>
      </c>
      <c r="E261" t="s">
        <v>830</v>
      </c>
      <c r="F261" t="s">
        <v>1318</v>
      </c>
      <c r="G261">
        <v>15.5</v>
      </c>
      <c r="H261" t="s">
        <v>28</v>
      </c>
      <c r="I261">
        <v>17.061935483870961</v>
      </c>
      <c r="J261">
        <v>264.45999999999998</v>
      </c>
      <c r="K261">
        <v>17.059999999999999</v>
      </c>
      <c r="L261" t="s">
        <v>57</v>
      </c>
      <c r="M261" t="s">
        <v>58</v>
      </c>
      <c r="N261" t="s">
        <v>59</v>
      </c>
      <c r="O261" t="s">
        <v>60</v>
      </c>
      <c r="P261">
        <v>15.5</v>
      </c>
      <c r="Q261" t="s">
        <v>28</v>
      </c>
      <c r="R261">
        <v>280.86</v>
      </c>
      <c r="S261">
        <v>18.12</v>
      </c>
      <c r="T261" t="s">
        <v>33</v>
      </c>
      <c r="U261" t="s">
        <v>1236</v>
      </c>
      <c r="V261">
        <v>12</v>
      </c>
      <c r="W261">
        <v>1209</v>
      </c>
      <c r="X261" t="s">
        <v>731</v>
      </c>
      <c r="Y261">
        <v>37076925</v>
      </c>
      <c r="Z261" t="s">
        <v>832</v>
      </c>
    </row>
    <row r="262" spans="1:26" x14ac:dyDescent="0.3">
      <c r="A262" t="s">
        <v>816</v>
      </c>
      <c r="B262" s="1">
        <v>45861</v>
      </c>
      <c r="C262">
        <v>12099190</v>
      </c>
      <c r="D262" t="s">
        <v>132</v>
      </c>
      <c r="E262" t="s">
        <v>1319</v>
      </c>
      <c r="F262" t="s">
        <v>1320</v>
      </c>
      <c r="G262">
        <v>75</v>
      </c>
      <c r="H262" t="s">
        <v>28</v>
      </c>
      <c r="I262">
        <v>3.803466666666667</v>
      </c>
      <c r="J262">
        <v>285.26</v>
      </c>
      <c r="K262">
        <v>3.8</v>
      </c>
      <c r="L262" t="s">
        <v>29</v>
      </c>
      <c r="M262" t="s">
        <v>30</v>
      </c>
      <c r="N262" t="s">
        <v>89</v>
      </c>
      <c r="O262" t="s">
        <v>32</v>
      </c>
      <c r="P262">
        <v>75</v>
      </c>
      <c r="Q262" t="s">
        <v>28</v>
      </c>
      <c r="R262">
        <v>300</v>
      </c>
      <c r="S262">
        <v>4</v>
      </c>
      <c r="T262" t="s">
        <v>33</v>
      </c>
      <c r="U262" t="s">
        <v>1236</v>
      </c>
      <c r="V262">
        <v>12</v>
      </c>
      <c r="W262">
        <v>1209</v>
      </c>
      <c r="X262" t="s">
        <v>731</v>
      </c>
      <c r="Y262">
        <v>37703362</v>
      </c>
      <c r="Z262" t="s">
        <v>1321</v>
      </c>
    </row>
    <row r="263" spans="1:26" x14ac:dyDescent="0.3">
      <c r="A263" t="s">
        <v>816</v>
      </c>
      <c r="B263" s="1">
        <v>45866</v>
      </c>
      <c r="C263">
        <v>12099190</v>
      </c>
      <c r="D263" t="s">
        <v>1322</v>
      </c>
      <c r="E263" t="s">
        <v>834</v>
      </c>
      <c r="F263" t="s">
        <v>1323</v>
      </c>
      <c r="G263">
        <v>150</v>
      </c>
      <c r="H263" t="s">
        <v>28</v>
      </c>
      <c r="I263">
        <v>32.918799999999997</v>
      </c>
      <c r="J263">
        <v>4937.82</v>
      </c>
      <c r="K263">
        <v>32.92</v>
      </c>
      <c r="L263" t="s">
        <v>358</v>
      </c>
      <c r="M263" t="s">
        <v>58</v>
      </c>
      <c r="N263" t="s">
        <v>359</v>
      </c>
      <c r="O263" t="s">
        <v>60</v>
      </c>
      <c r="P263">
        <v>150</v>
      </c>
      <c r="Q263" t="s">
        <v>28</v>
      </c>
      <c r="R263">
        <v>4918.5</v>
      </c>
      <c r="S263">
        <v>32.79</v>
      </c>
      <c r="T263" t="s">
        <v>33</v>
      </c>
      <c r="U263" t="s">
        <v>1236</v>
      </c>
      <c r="V263">
        <v>12</v>
      </c>
      <c r="W263">
        <v>1209</v>
      </c>
      <c r="X263" t="s">
        <v>731</v>
      </c>
      <c r="Y263">
        <v>37019060</v>
      </c>
      <c r="Z263" t="s">
        <v>836</v>
      </c>
    </row>
    <row r="264" spans="1:26" x14ac:dyDescent="0.3">
      <c r="A264" t="s">
        <v>816</v>
      </c>
      <c r="B264" s="1">
        <v>45866</v>
      </c>
      <c r="C264">
        <v>12099190</v>
      </c>
      <c r="D264" t="s">
        <v>1324</v>
      </c>
      <c r="E264" t="s">
        <v>834</v>
      </c>
      <c r="F264" t="s">
        <v>1323</v>
      </c>
      <c r="G264">
        <v>153.5</v>
      </c>
      <c r="H264" t="s">
        <v>28</v>
      </c>
      <c r="I264">
        <v>19.004364820846909</v>
      </c>
      <c r="J264">
        <v>2917.17</v>
      </c>
      <c r="K264">
        <v>19</v>
      </c>
      <c r="L264" t="s">
        <v>358</v>
      </c>
      <c r="M264" t="s">
        <v>58</v>
      </c>
      <c r="N264" t="s">
        <v>359</v>
      </c>
      <c r="O264" t="s">
        <v>60</v>
      </c>
      <c r="P264">
        <v>153.5</v>
      </c>
      <c r="Q264" t="s">
        <v>28</v>
      </c>
      <c r="R264">
        <v>2905.76</v>
      </c>
      <c r="S264">
        <v>18.93</v>
      </c>
      <c r="T264" t="s">
        <v>33</v>
      </c>
      <c r="U264" t="s">
        <v>1236</v>
      </c>
      <c r="V264">
        <v>12</v>
      </c>
      <c r="W264">
        <v>1209</v>
      </c>
      <c r="X264" t="s">
        <v>731</v>
      </c>
      <c r="Y264">
        <v>37363382</v>
      </c>
      <c r="Z264" t="s">
        <v>836</v>
      </c>
    </row>
    <row r="265" spans="1:26" x14ac:dyDescent="0.3">
      <c r="A265" t="s">
        <v>852</v>
      </c>
      <c r="B265" s="1">
        <v>45876</v>
      </c>
      <c r="C265">
        <v>13021919</v>
      </c>
      <c r="D265" t="s">
        <v>927</v>
      </c>
      <c r="E265" t="s">
        <v>1314</v>
      </c>
      <c r="F265" t="s">
        <v>79</v>
      </c>
      <c r="G265">
        <v>400</v>
      </c>
      <c r="H265" t="s">
        <v>28</v>
      </c>
      <c r="I265">
        <v>4.99</v>
      </c>
      <c r="J265">
        <v>1996</v>
      </c>
      <c r="K265">
        <v>4.99</v>
      </c>
      <c r="L265" t="s">
        <v>1315</v>
      </c>
      <c r="M265" t="s">
        <v>112</v>
      </c>
      <c r="N265" t="s">
        <v>51</v>
      </c>
      <c r="O265" t="s">
        <v>32</v>
      </c>
      <c r="P265">
        <v>400</v>
      </c>
      <c r="Q265" t="s">
        <v>28</v>
      </c>
      <c r="R265">
        <v>2000</v>
      </c>
      <c r="S265">
        <v>5</v>
      </c>
      <c r="T265" t="s">
        <v>33</v>
      </c>
      <c r="U265" t="s">
        <v>1232</v>
      </c>
      <c r="V265">
        <v>13</v>
      </c>
      <c r="W265">
        <v>1302</v>
      </c>
      <c r="X265" t="s">
        <v>738</v>
      </c>
      <c r="Y265">
        <v>39087607</v>
      </c>
      <c r="Z265" t="s">
        <v>1316</v>
      </c>
    </row>
    <row r="266" spans="1:26" x14ac:dyDescent="0.3">
      <c r="A266" t="s">
        <v>816</v>
      </c>
      <c r="B266" s="1">
        <v>45889</v>
      </c>
      <c r="C266">
        <v>12099190</v>
      </c>
      <c r="D266" t="s">
        <v>1325</v>
      </c>
      <c r="E266" t="s">
        <v>834</v>
      </c>
      <c r="F266" t="s">
        <v>1323</v>
      </c>
      <c r="G266">
        <v>30</v>
      </c>
      <c r="H266" t="s">
        <v>28</v>
      </c>
      <c r="I266">
        <v>31.751999999999999</v>
      </c>
      <c r="J266">
        <v>952.56</v>
      </c>
      <c r="K266">
        <v>31.75</v>
      </c>
      <c r="L266" t="s">
        <v>358</v>
      </c>
      <c r="M266" t="s">
        <v>58</v>
      </c>
      <c r="N266" t="s">
        <v>359</v>
      </c>
      <c r="O266" t="s">
        <v>60</v>
      </c>
      <c r="P266">
        <v>30</v>
      </c>
      <c r="Q266" t="s">
        <v>28</v>
      </c>
      <c r="R266">
        <v>972</v>
      </c>
      <c r="S266">
        <v>32.4</v>
      </c>
      <c r="T266" t="s">
        <v>33</v>
      </c>
      <c r="U266" t="s">
        <v>1236</v>
      </c>
      <c r="V266">
        <v>12</v>
      </c>
      <c r="W266">
        <v>1209</v>
      </c>
      <c r="X266" t="s">
        <v>738</v>
      </c>
      <c r="Y266">
        <v>68099348</v>
      </c>
      <c r="Z266" t="s">
        <v>836</v>
      </c>
    </row>
    <row r="267" spans="1:26" x14ac:dyDescent="0.3">
      <c r="A267" t="s">
        <v>852</v>
      </c>
      <c r="B267" s="1">
        <v>45890</v>
      </c>
      <c r="C267">
        <v>13021919</v>
      </c>
      <c r="D267" t="s">
        <v>1326</v>
      </c>
      <c r="E267" t="s">
        <v>904</v>
      </c>
      <c r="F267" t="s">
        <v>79</v>
      </c>
      <c r="G267">
        <v>200</v>
      </c>
      <c r="H267" t="s">
        <v>28</v>
      </c>
      <c r="I267">
        <v>14.80935</v>
      </c>
      <c r="J267">
        <v>2961.87</v>
      </c>
      <c r="K267">
        <v>14.81</v>
      </c>
      <c r="L267" t="s">
        <v>826</v>
      </c>
      <c r="M267" t="s">
        <v>827</v>
      </c>
      <c r="N267" t="s">
        <v>266</v>
      </c>
      <c r="O267" t="s">
        <v>32</v>
      </c>
      <c r="P267">
        <v>200</v>
      </c>
      <c r="Q267" t="s">
        <v>28</v>
      </c>
      <c r="R267">
        <v>3000</v>
      </c>
      <c r="S267">
        <v>15</v>
      </c>
      <c r="T267" t="s">
        <v>33</v>
      </c>
      <c r="U267" t="s">
        <v>1232</v>
      </c>
      <c r="V267">
        <v>13</v>
      </c>
      <c r="W267">
        <v>1302</v>
      </c>
      <c r="X267" t="s">
        <v>738</v>
      </c>
      <c r="Y267">
        <v>68055550</v>
      </c>
      <c r="Z267" t="s">
        <v>907</v>
      </c>
    </row>
    <row r="268" spans="1:26" x14ac:dyDescent="0.3">
      <c r="A268" t="s">
        <v>892</v>
      </c>
      <c r="B268" s="1">
        <v>45897</v>
      </c>
      <c r="C268">
        <v>19041090</v>
      </c>
      <c r="D268" t="s">
        <v>1327</v>
      </c>
      <c r="E268" t="s">
        <v>1328</v>
      </c>
      <c r="F268" t="s">
        <v>1329</v>
      </c>
      <c r="G268">
        <v>30</v>
      </c>
      <c r="H268" t="s">
        <v>28</v>
      </c>
      <c r="I268">
        <v>2.266</v>
      </c>
      <c r="J268">
        <v>67.98</v>
      </c>
      <c r="K268">
        <v>2.27</v>
      </c>
      <c r="L268" t="s">
        <v>278</v>
      </c>
      <c r="M268" t="s">
        <v>67</v>
      </c>
      <c r="N268" t="s">
        <v>1330</v>
      </c>
      <c r="O268" t="s">
        <v>32</v>
      </c>
      <c r="P268">
        <v>30</v>
      </c>
      <c r="Q268" t="s">
        <v>28</v>
      </c>
      <c r="R268">
        <v>90</v>
      </c>
      <c r="S268">
        <v>3</v>
      </c>
      <c r="T268" t="s">
        <v>448</v>
      </c>
      <c r="U268" t="s">
        <v>1331</v>
      </c>
      <c r="V268">
        <v>19</v>
      </c>
      <c r="W268">
        <v>1904</v>
      </c>
      <c r="X268" t="s">
        <v>738</v>
      </c>
      <c r="Y268">
        <v>67117164</v>
      </c>
      <c r="Z268" t="s">
        <v>1332</v>
      </c>
    </row>
    <row r="269" spans="1:26" x14ac:dyDescent="0.3">
      <c r="A269" t="s">
        <v>852</v>
      </c>
      <c r="B269" s="1">
        <v>45898</v>
      </c>
      <c r="C269">
        <v>13021919</v>
      </c>
      <c r="D269" t="s">
        <v>1333</v>
      </c>
      <c r="E269" t="s">
        <v>854</v>
      </c>
      <c r="F269" t="s">
        <v>1334</v>
      </c>
      <c r="G269">
        <v>25</v>
      </c>
      <c r="H269" t="s">
        <v>28</v>
      </c>
      <c r="I269">
        <v>51.865200000000002</v>
      </c>
      <c r="J269">
        <v>1296.6300000000001</v>
      </c>
      <c r="K269">
        <v>51.87</v>
      </c>
      <c r="L269" t="s">
        <v>1102</v>
      </c>
      <c r="M269" t="s">
        <v>1103</v>
      </c>
      <c r="N269" t="s">
        <v>113</v>
      </c>
      <c r="O269" t="s">
        <v>32</v>
      </c>
      <c r="P269">
        <v>25</v>
      </c>
      <c r="Q269" t="s">
        <v>28</v>
      </c>
      <c r="R269">
        <v>1125</v>
      </c>
      <c r="S269">
        <v>45</v>
      </c>
      <c r="T269" t="s">
        <v>286</v>
      </c>
      <c r="U269" t="s">
        <v>1232</v>
      </c>
      <c r="V269">
        <v>13</v>
      </c>
      <c r="W269">
        <v>1302</v>
      </c>
      <c r="X269" t="s">
        <v>738</v>
      </c>
      <c r="Y269">
        <v>66947803</v>
      </c>
      <c r="Z269" t="s">
        <v>858</v>
      </c>
    </row>
    <row r="270" spans="1:26" x14ac:dyDescent="0.3">
      <c r="A270" t="s">
        <v>852</v>
      </c>
      <c r="B270" s="1">
        <v>45904</v>
      </c>
      <c r="C270">
        <v>13021919</v>
      </c>
      <c r="D270" t="s">
        <v>1335</v>
      </c>
      <c r="E270" t="s">
        <v>1336</v>
      </c>
      <c r="F270" t="s">
        <v>1337</v>
      </c>
      <c r="G270">
        <v>1</v>
      </c>
      <c r="H270" t="s">
        <v>28</v>
      </c>
      <c r="I270">
        <v>14.83</v>
      </c>
      <c r="J270">
        <v>14.83</v>
      </c>
      <c r="K270">
        <v>14.83</v>
      </c>
      <c r="L270" t="s">
        <v>1338</v>
      </c>
      <c r="M270" t="s">
        <v>1339</v>
      </c>
      <c r="N270" t="s">
        <v>669</v>
      </c>
      <c r="O270" t="s">
        <v>202</v>
      </c>
      <c r="P270">
        <v>1</v>
      </c>
      <c r="Q270" t="s">
        <v>28</v>
      </c>
      <c r="R270">
        <v>1556</v>
      </c>
      <c r="S270">
        <v>1556</v>
      </c>
      <c r="T270" t="s">
        <v>114</v>
      </c>
      <c r="U270" t="s">
        <v>1232</v>
      </c>
      <c r="V270">
        <v>13</v>
      </c>
      <c r="W270">
        <v>1302</v>
      </c>
      <c r="X270" t="s">
        <v>764</v>
      </c>
      <c r="Y270">
        <v>69004441</v>
      </c>
      <c r="Z270" t="s">
        <v>1340</v>
      </c>
    </row>
    <row r="271" spans="1:26" x14ac:dyDescent="0.3">
      <c r="A271" t="s">
        <v>816</v>
      </c>
      <c r="B271" s="1">
        <v>45908</v>
      </c>
      <c r="C271">
        <v>12099190</v>
      </c>
      <c r="D271" t="s">
        <v>172</v>
      </c>
      <c r="E271" t="s">
        <v>876</v>
      </c>
      <c r="F271" t="s">
        <v>1341</v>
      </c>
      <c r="G271">
        <v>92.05</v>
      </c>
      <c r="H271" t="s">
        <v>28</v>
      </c>
      <c r="I271">
        <v>105.34046713742531</v>
      </c>
      <c r="J271">
        <v>9696.59</v>
      </c>
      <c r="K271">
        <v>105.34</v>
      </c>
      <c r="L271" t="s">
        <v>1338</v>
      </c>
      <c r="M271" t="s">
        <v>1339</v>
      </c>
      <c r="N271" t="s">
        <v>201</v>
      </c>
      <c r="O271" t="s">
        <v>202</v>
      </c>
      <c r="P271">
        <v>92.05</v>
      </c>
      <c r="Q271" t="s">
        <v>28</v>
      </c>
      <c r="R271">
        <v>907744.63</v>
      </c>
      <c r="S271">
        <v>9861.43</v>
      </c>
      <c r="T271" t="s">
        <v>114</v>
      </c>
      <c r="U271" t="s">
        <v>1236</v>
      </c>
      <c r="V271">
        <v>12</v>
      </c>
      <c r="W271">
        <v>1209</v>
      </c>
      <c r="X271" t="s">
        <v>764</v>
      </c>
      <c r="Y271">
        <v>69894580</v>
      </c>
      <c r="Z271" t="s">
        <v>879</v>
      </c>
    </row>
    <row r="272" spans="1:26" x14ac:dyDescent="0.3">
      <c r="A272" t="s">
        <v>816</v>
      </c>
      <c r="B272" s="1">
        <v>45912</v>
      </c>
      <c r="C272">
        <v>12099190</v>
      </c>
      <c r="D272" t="s">
        <v>1078</v>
      </c>
      <c r="E272" t="s">
        <v>830</v>
      </c>
      <c r="F272" t="s">
        <v>1110</v>
      </c>
      <c r="G272">
        <v>4</v>
      </c>
      <c r="H272" t="s">
        <v>28</v>
      </c>
      <c r="I272">
        <v>33.532499999999999</v>
      </c>
      <c r="J272">
        <v>134.13</v>
      </c>
      <c r="K272">
        <v>33.53</v>
      </c>
      <c r="L272" t="s">
        <v>57</v>
      </c>
      <c r="M272" t="s">
        <v>58</v>
      </c>
      <c r="N272" t="s">
        <v>59</v>
      </c>
      <c r="O272" t="s">
        <v>60</v>
      </c>
      <c r="P272">
        <v>4</v>
      </c>
      <c r="Q272" t="s">
        <v>28</v>
      </c>
      <c r="R272">
        <v>142.63999999999999</v>
      </c>
      <c r="S272">
        <v>35.659999999999997</v>
      </c>
      <c r="T272" t="s">
        <v>33</v>
      </c>
      <c r="U272" t="s">
        <v>1236</v>
      </c>
      <c r="V272">
        <v>12</v>
      </c>
      <c r="W272">
        <v>1209</v>
      </c>
      <c r="X272" t="s">
        <v>764</v>
      </c>
      <c r="Y272">
        <v>70936144</v>
      </c>
      <c r="Z272" t="s">
        <v>832</v>
      </c>
    </row>
    <row r="273" spans="1:26" x14ac:dyDescent="0.3">
      <c r="A273" t="s">
        <v>816</v>
      </c>
      <c r="B273" s="1">
        <v>45914</v>
      </c>
      <c r="C273">
        <v>12099190</v>
      </c>
      <c r="D273" t="s">
        <v>1342</v>
      </c>
      <c r="E273" t="s">
        <v>1343</v>
      </c>
      <c r="F273" t="s">
        <v>1214</v>
      </c>
      <c r="G273">
        <v>75</v>
      </c>
      <c r="H273" t="s">
        <v>28</v>
      </c>
      <c r="I273">
        <v>1.1328</v>
      </c>
      <c r="J273">
        <v>84.96</v>
      </c>
      <c r="K273">
        <v>1.1299999999999999</v>
      </c>
      <c r="L273" t="s">
        <v>358</v>
      </c>
      <c r="M273" t="s">
        <v>58</v>
      </c>
      <c r="N273" t="s">
        <v>359</v>
      </c>
      <c r="O273" t="s">
        <v>60</v>
      </c>
      <c r="P273">
        <v>75</v>
      </c>
      <c r="Q273" t="s">
        <v>28</v>
      </c>
      <c r="R273">
        <v>90.75</v>
      </c>
      <c r="S273">
        <v>1.21</v>
      </c>
      <c r="T273" t="s">
        <v>33</v>
      </c>
      <c r="U273" t="s">
        <v>1236</v>
      </c>
      <c r="V273">
        <v>12</v>
      </c>
      <c r="W273">
        <v>1209</v>
      </c>
      <c r="X273" t="s">
        <v>764</v>
      </c>
      <c r="Y273">
        <v>71168694</v>
      </c>
      <c r="Z273" t="s">
        <v>1344</v>
      </c>
    </row>
    <row r="274" spans="1:26" x14ac:dyDescent="0.3">
      <c r="A274" t="s">
        <v>816</v>
      </c>
      <c r="B274" s="1">
        <v>45919</v>
      </c>
      <c r="C274">
        <v>12099990</v>
      </c>
      <c r="D274" t="s">
        <v>1229</v>
      </c>
      <c r="E274" t="s">
        <v>256</v>
      </c>
      <c r="F274" t="s">
        <v>1345</v>
      </c>
      <c r="G274">
        <v>35</v>
      </c>
      <c r="H274" t="s">
        <v>28</v>
      </c>
      <c r="I274">
        <v>8.3625714285714281</v>
      </c>
      <c r="J274">
        <v>292.69</v>
      </c>
      <c r="K274">
        <v>8.36</v>
      </c>
      <c r="L274" t="s">
        <v>264</v>
      </c>
      <c r="M274" t="s">
        <v>265</v>
      </c>
      <c r="N274" t="s">
        <v>51</v>
      </c>
      <c r="O274" t="s">
        <v>32</v>
      </c>
      <c r="P274">
        <v>35</v>
      </c>
      <c r="Q274" t="s">
        <v>28</v>
      </c>
      <c r="R274">
        <v>301.35000000000002</v>
      </c>
      <c r="S274">
        <v>8.61</v>
      </c>
      <c r="T274" t="s">
        <v>33</v>
      </c>
      <c r="U274" t="s">
        <v>600</v>
      </c>
      <c r="V274">
        <v>12</v>
      </c>
      <c r="W274">
        <v>1209</v>
      </c>
      <c r="X274" t="s">
        <v>764</v>
      </c>
      <c r="Y274">
        <v>69644839</v>
      </c>
      <c r="Z274" t="s">
        <v>259</v>
      </c>
    </row>
    <row r="275" spans="1:26" x14ac:dyDescent="0.3">
      <c r="A275" t="s">
        <v>852</v>
      </c>
      <c r="B275" s="1">
        <v>45936</v>
      </c>
      <c r="C275">
        <v>13021919</v>
      </c>
      <c r="D275" t="s">
        <v>1346</v>
      </c>
      <c r="E275" t="s">
        <v>1053</v>
      </c>
      <c r="F275" t="s">
        <v>79</v>
      </c>
      <c r="G275">
        <v>50</v>
      </c>
      <c r="H275" t="s">
        <v>28</v>
      </c>
      <c r="I275">
        <v>13.081</v>
      </c>
      <c r="J275">
        <v>654.04999999999995</v>
      </c>
      <c r="K275">
        <v>13.08</v>
      </c>
      <c r="L275" t="s">
        <v>826</v>
      </c>
      <c r="M275" t="s">
        <v>827</v>
      </c>
      <c r="N275" t="s">
        <v>669</v>
      </c>
      <c r="O275" t="s">
        <v>202</v>
      </c>
      <c r="P275">
        <v>50</v>
      </c>
      <c r="Q275" t="s">
        <v>28</v>
      </c>
      <c r="R275">
        <v>675</v>
      </c>
      <c r="S275">
        <v>13.5</v>
      </c>
      <c r="T275" t="s">
        <v>33</v>
      </c>
      <c r="U275" t="s">
        <v>1232</v>
      </c>
      <c r="V275">
        <v>13</v>
      </c>
      <c r="W275">
        <v>1302</v>
      </c>
      <c r="X275" t="s">
        <v>788</v>
      </c>
      <c r="Y275">
        <v>79117789</v>
      </c>
      <c r="Z275" t="s">
        <v>1054</v>
      </c>
    </row>
    <row r="276" spans="1:26" x14ac:dyDescent="0.3">
      <c r="A276" t="s">
        <v>816</v>
      </c>
      <c r="B276" s="1">
        <v>45936</v>
      </c>
      <c r="C276">
        <v>12099990</v>
      </c>
      <c r="D276" t="s">
        <v>1347</v>
      </c>
      <c r="E276" t="s">
        <v>167</v>
      </c>
      <c r="F276" t="s">
        <v>1348</v>
      </c>
      <c r="G276">
        <v>176</v>
      </c>
      <c r="H276" t="s">
        <v>28</v>
      </c>
      <c r="I276">
        <v>11.318125</v>
      </c>
      <c r="J276">
        <v>1991.99</v>
      </c>
      <c r="K276">
        <v>11.32</v>
      </c>
      <c r="L276" t="s">
        <v>712</v>
      </c>
      <c r="M276" t="s">
        <v>88</v>
      </c>
      <c r="N276" t="s">
        <v>113</v>
      </c>
      <c r="O276" t="s">
        <v>32</v>
      </c>
      <c r="P276">
        <v>176</v>
      </c>
      <c r="Q276" t="s">
        <v>28</v>
      </c>
      <c r="R276">
        <v>2805.44</v>
      </c>
      <c r="S276">
        <v>15.94</v>
      </c>
      <c r="T276" t="s">
        <v>90</v>
      </c>
      <c r="U276" t="s">
        <v>600</v>
      </c>
      <c r="V276">
        <v>12</v>
      </c>
      <c r="W276">
        <v>1209</v>
      </c>
      <c r="X276" t="s">
        <v>788</v>
      </c>
      <c r="Y276">
        <v>80079058</v>
      </c>
      <c r="Z276" t="s">
        <v>170</v>
      </c>
    </row>
    <row r="277" spans="1:26" x14ac:dyDescent="0.3">
      <c r="A277" t="s">
        <v>807</v>
      </c>
      <c r="B277" s="1">
        <v>45938</v>
      </c>
      <c r="C277">
        <v>20081999</v>
      </c>
      <c r="D277" t="s">
        <v>1349</v>
      </c>
      <c r="E277" t="s">
        <v>838</v>
      </c>
      <c r="F277" t="s">
        <v>1350</v>
      </c>
      <c r="G277">
        <v>15000</v>
      </c>
      <c r="H277" t="s">
        <v>28</v>
      </c>
      <c r="I277">
        <v>1.3922099999999999</v>
      </c>
      <c r="J277">
        <v>20883.150000000001</v>
      </c>
      <c r="K277">
        <v>1392.21</v>
      </c>
      <c r="L277" t="s">
        <v>782</v>
      </c>
      <c r="M277" t="s">
        <v>58</v>
      </c>
      <c r="N277" t="s">
        <v>783</v>
      </c>
      <c r="O277" t="s">
        <v>60</v>
      </c>
      <c r="P277">
        <v>15</v>
      </c>
      <c r="Q277" t="s">
        <v>43</v>
      </c>
      <c r="R277">
        <v>21000</v>
      </c>
      <c r="S277">
        <v>1400</v>
      </c>
      <c r="T277" t="s">
        <v>33</v>
      </c>
      <c r="U277" t="s">
        <v>690</v>
      </c>
      <c r="V277">
        <v>20</v>
      </c>
      <c r="W277">
        <v>2008</v>
      </c>
      <c r="X277" t="s">
        <v>788</v>
      </c>
      <c r="Y277">
        <v>84666992</v>
      </c>
      <c r="Z277" t="s">
        <v>840</v>
      </c>
    </row>
    <row r="278" spans="1:26" x14ac:dyDescent="0.3">
      <c r="A278" t="s">
        <v>852</v>
      </c>
      <c r="B278" s="1">
        <v>45938</v>
      </c>
      <c r="C278">
        <v>13021919</v>
      </c>
      <c r="D278" t="s">
        <v>1351</v>
      </c>
      <c r="E278" t="s">
        <v>854</v>
      </c>
      <c r="F278" t="s">
        <v>1352</v>
      </c>
      <c r="G278">
        <v>25</v>
      </c>
      <c r="H278" t="s">
        <v>28</v>
      </c>
      <c r="I278">
        <v>52.437600000000003</v>
      </c>
      <c r="J278">
        <v>1310.94</v>
      </c>
      <c r="K278">
        <v>52.44</v>
      </c>
      <c r="L278" t="s">
        <v>1102</v>
      </c>
      <c r="M278" t="s">
        <v>1103</v>
      </c>
      <c r="N278" t="s">
        <v>113</v>
      </c>
      <c r="O278" t="s">
        <v>32</v>
      </c>
      <c r="P278">
        <v>25</v>
      </c>
      <c r="Q278" t="s">
        <v>28</v>
      </c>
      <c r="R278">
        <v>1125</v>
      </c>
      <c r="S278">
        <v>45</v>
      </c>
      <c r="T278" t="s">
        <v>286</v>
      </c>
      <c r="U278" t="s">
        <v>1232</v>
      </c>
      <c r="V278">
        <v>13</v>
      </c>
      <c r="W278">
        <v>1302</v>
      </c>
      <c r="X278" t="s">
        <v>788</v>
      </c>
      <c r="Y278">
        <v>80114212</v>
      </c>
      <c r="Z278" t="s">
        <v>858</v>
      </c>
    </row>
    <row r="279" spans="1:26" x14ac:dyDescent="0.3">
      <c r="A279" t="s">
        <v>816</v>
      </c>
      <c r="B279" s="1">
        <v>45938</v>
      </c>
      <c r="C279">
        <v>12099190</v>
      </c>
      <c r="D279" t="s">
        <v>177</v>
      </c>
      <c r="E279" t="s">
        <v>604</v>
      </c>
      <c r="F279" t="s">
        <v>1353</v>
      </c>
      <c r="G279">
        <v>300</v>
      </c>
      <c r="H279" t="s">
        <v>28</v>
      </c>
      <c r="I279">
        <v>3.6240666666666672</v>
      </c>
      <c r="J279">
        <v>1087.22</v>
      </c>
      <c r="K279">
        <v>3.62</v>
      </c>
      <c r="L279" t="s">
        <v>149</v>
      </c>
      <c r="M279" t="s">
        <v>150</v>
      </c>
      <c r="N279" t="s">
        <v>174</v>
      </c>
      <c r="O279" t="s">
        <v>32</v>
      </c>
      <c r="P279">
        <v>300</v>
      </c>
      <c r="Q279" t="s">
        <v>28</v>
      </c>
      <c r="R279">
        <v>1200</v>
      </c>
      <c r="S279">
        <v>4</v>
      </c>
      <c r="T279" t="s">
        <v>33</v>
      </c>
      <c r="U279" t="s">
        <v>1236</v>
      </c>
      <c r="V279">
        <v>12</v>
      </c>
      <c r="W279">
        <v>1209</v>
      </c>
      <c r="X279" t="s">
        <v>788</v>
      </c>
      <c r="Y279">
        <v>80074795</v>
      </c>
      <c r="Z279" t="s">
        <v>606</v>
      </c>
    </row>
    <row r="280" spans="1:26" x14ac:dyDescent="0.3">
      <c r="A280" t="s">
        <v>816</v>
      </c>
      <c r="B280" s="1">
        <v>45940</v>
      </c>
      <c r="C280">
        <v>12099990</v>
      </c>
      <c r="D280" t="s">
        <v>1295</v>
      </c>
      <c r="E280" t="s">
        <v>101</v>
      </c>
      <c r="F280" t="s">
        <v>1296</v>
      </c>
      <c r="G280">
        <v>45</v>
      </c>
      <c r="H280" t="s">
        <v>28</v>
      </c>
      <c r="I280">
        <v>2.8331111111111111</v>
      </c>
      <c r="J280">
        <v>127.49</v>
      </c>
      <c r="K280">
        <v>2.83</v>
      </c>
      <c r="L280" t="s">
        <v>103</v>
      </c>
      <c r="M280" t="s">
        <v>104</v>
      </c>
      <c r="N280" t="s">
        <v>1297</v>
      </c>
      <c r="O280" t="s">
        <v>32</v>
      </c>
      <c r="P280">
        <v>45</v>
      </c>
      <c r="Q280" t="s">
        <v>28</v>
      </c>
      <c r="R280">
        <v>135</v>
      </c>
      <c r="S280">
        <v>3</v>
      </c>
      <c r="T280" t="s">
        <v>33</v>
      </c>
      <c r="U280" t="s">
        <v>600</v>
      </c>
      <c r="V280">
        <v>12</v>
      </c>
      <c r="W280">
        <v>1209</v>
      </c>
      <c r="X280" t="s">
        <v>788</v>
      </c>
      <c r="Y280">
        <v>80178150</v>
      </c>
      <c r="Z280" t="s">
        <v>107</v>
      </c>
    </row>
    <row r="281" spans="1:26" x14ac:dyDescent="0.3">
      <c r="A281" t="s">
        <v>852</v>
      </c>
      <c r="B281" s="1">
        <v>45940</v>
      </c>
      <c r="C281">
        <v>13021919</v>
      </c>
      <c r="D281" t="s">
        <v>1354</v>
      </c>
      <c r="E281" t="s">
        <v>942</v>
      </c>
      <c r="F281" t="s">
        <v>943</v>
      </c>
      <c r="G281">
        <v>25</v>
      </c>
      <c r="H281" t="s">
        <v>28</v>
      </c>
      <c r="I281">
        <v>43.005600000000001</v>
      </c>
      <c r="J281">
        <v>1075.1400000000001</v>
      </c>
      <c r="K281">
        <v>43.01</v>
      </c>
      <c r="L281" t="s">
        <v>1171</v>
      </c>
      <c r="M281" t="s">
        <v>945</v>
      </c>
      <c r="N281" t="s">
        <v>294</v>
      </c>
      <c r="O281" t="s">
        <v>202</v>
      </c>
      <c r="P281">
        <v>25</v>
      </c>
      <c r="Q281" t="s">
        <v>28</v>
      </c>
      <c r="R281">
        <v>1175</v>
      </c>
      <c r="S281">
        <v>47</v>
      </c>
      <c r="T281" t="s">
        <v>33</v>
      </c>
      <c r="U281" t="s">
        <v>1232</v>
      </c>
      <c r="V281">
        <v>13</v>
      </c>
      <c r="W281">
        <v>1302</v>
      </c>
      <c r="X281" t="s">
        <v>788</v>
      </c>
      <c r="Y281">
        <v>79582967</v>
      </c>
      <c r="Z281" t="s">
        <v>946</v>
      </c>
    </row>
    <row r="282" spans="1:26" x14ac:dyDescent="0.3">
      <c r="A282" t="s">
        <v>816</v>
      </c>
      <c r="B282" s="1">
        <v>45944</v>
      </c>
      <c r="C282">
        <v>12099190</v>
      </c>
      <c r="D282" t="s">
        <v>536</v>
      </c>
      <c r="E282" t="s">
        <v>1355</v>
      </c>
      <c r="F282" t="s">
        <v>1356</v>
      </c>
      <c r="G282">
        <v>125</v>
      </c>
      <c r="H282" t="s">
        <v>28</v>
      </c>
      <c r="I282">
        <v>4.5404799999999996</v>
      </c>
      <c r="J282">
        <v>567.55999999999995</v>
      </c>
      <c r="K282">
        <v>4540.4799999999996</v>
      </c>
      <c r="L282" t="s">
        <v>1075</v>
      </c>
      <c r="M282" t="s">
        <v>1076</v>
      </c>
      <c r="N282" t="s">
        <v>1357</v>
      </c>
      <c r="O282" t="s">
        <v>32</v>
      </c>
      <c r="P282">
        <v>0.125</v>
      </c>
      <c r="Q282" t="s">
        <v>43</v>
      </c>
      <c r="R282">
        <v>615.75</v>
      </c>
      <c r="S282">
        <v>4926</v>
      </c>
      <c r="T282" t="s">
        <v>33</v>
      </c>
      <c r="U282" t="s">
        <v>1236</v>
      </c>
      <c r="V282">
        <v>12</v>
      </c>
      <c r="W282">
        <v>1209</v>
      </c>
      <c r="X282" t="s">
        <v>788</v>
      </c>
      <c r="Y282">
        <v>85371411</v>
      </c>
      <c r="Z282" t="s">
        <v>1358</v>
      </c>
    </row>
    <row r="283" spans="1:26" x14ac:dyDescent="0.3">
      <c r="A283" t="s">
        <v>816</v>
      </c>
      <c r="B283" s="1">
        <v>45944</v>
      </c>
      <c r="C283">
        <v>12099190</v>
      </c>
      <c r="D283" t="s">
        <v>177</v>
      </c>
      <c r="E283" t="s">
        <v>830</v>
      </c>
      <c r="F283" t="s">
        <v>1110</v>
      </c>
      <c r="G283">
        <v>2</v>
      </c>
      <c r="H283" t="s">
        <v>28</v>
      </c>
      <c r="I283">
        <v>119.035</v>
      </c>
      <c r="J283">
        <v>238.07</v>
      </c>
      <c r="K283">
        <v>119.04</v>
      </c>
      <c r="L283" t="s">
        <v>57</v>
      </c>
      <c r="M283" t="s">
        <v>58</v>
      </c>
      <c r="N283" t="s">
        <v>59</v>
      </c>
      <c r="O283" t="s">
        <v>60</v>
      </c>
      <c r="P283">
        <v>2</v>
      </c>
      <c r="Q283" t="s">
        <v>28</v>
      </c>
      <c r="R283">
        <v>256.45999999999998</v>
      </c>
      <c r="S283">
        <v>128.22999999999999</v>
      </c>
      <c r="T283" t="s">
        <v>33</v>
      </c>
      <c r="U283" t="s">
        <v>1236</v>
      </c>
      <c r="V283">
        <v>12</v>
      </c>
      <c r="W283">
        <v>1209</v>
      </c>
      <c r="X283" t="s">
        <v>788</v>
      </c>
      <c r="Y283">
        <v>81472056</v>
      </c>
      <c r="Z283" t="s">
        <v>832</v>
      </c>
    </row>
    <row r="284" spans="1:26" x14ac:dyDescent="0.3">
      <c r="A284" t="s">
        <v>816</v>
      </c>
      <c r="B284" s="1">
        <v>45946</v>
      </c>
      <c r="C284">
        <v>12099990</v>
      </c>
      <c r="D284" t="s">
        <v>1359</v>
      </c>
      <c r="E284" t="s">
        <v>627</v>
      </c>
      <c r="F284" t="s">
        <v>628</v>
      </c>
      <c r="G284">
        <v>66</v>
      </c>
      <c r="H284" t="s">
        <v>28</v>
      </c>
      <c r="I284">
        <v>7.7845454545454542</v>
      </c>
      <c r="J284">
        <v>513.78</v>
      </c>
      <c r="K284">
        <v>7.78</v>
      </c>
      <c r="L284" t="s">
        <v>629</v>
      </c>
      <c r="M284" t="s">
        <v>228</v>
      </c>
      <c r="N284" t="s">
        <v>113</v>
      </c>
      <c r="O284" t="s">
        <v>32</v>
      </c>
      <c r="P284">
        <v>66</v>
      </c>
      <c r="Q284" t="s">
        <v>28</v>
      </c>
      <c r="R284">
        <v>831.6</v>
      </c>
      <c r="S284">
        <v>12.6</v>
      </c>
      <c r="T284" t="s">
        <v>230</v>
      </c>
      <c r="U284" t="s">
        <v>600</v>
      </c>
      <c r="V284">
        <v>12</v>
      </c>
      <c r="W284">
        <v>1209</v>
      </c>
      <c r="X284" t="s">
        <v>788</v>
      </c>
      <c r="Y284">
        <v>81653961</v>
      </c>
      <c r="Z284" t="s">
        <v>632</v>
      </c>
    </row>
    <row r="285" spans="1:26" x14ac:dyDescent="0.3">
      <c r="A285" t="s">
        <v>816</v>
      </c>
      <c r="B285" s="1">
        <v>45955</v>
      </c>
      <c r="C285">
        <v>12099910</v>
      </c>
      <c r="D285" t="s">
        <v>177</v>
      </c>
      <c r="E285" t="s">
        <v>1360</v>
      </c>
      <c r="F285" t="s">
        <v>1361</v>
      </c>
      <c r="G285">
        <v>25</v>
      </c>
      <c r="H285" t="s">
        <v>28</v>
      </c>
      <c r="I285">
        <v>5.1727999999999996</v>
      </c>
      <c r="J285">
        <v>129.32</v>
      </c>
      <c r="K285">
        <v>5.17</v>
      </c>
      <c r="L285" t="s">
        <v>149</v>
      </c>
      <c r="M285" t="s">
        <v>150</v>
      </c>
      <c r="N285" t="s">
        <v>174</v>
      </c>
      <c r="O285" t="s">
        <v>32</v>
      </c>
      <c r="P285">
        <v>25</v>
      </c>
      <c r="Q285" t="s">
        <v>28</v>
      </c>
      <c r="R285">
        <v>137.5</v>
      </c>
      <c r="S285">
        <v>5.5</v>
      </c>
      <c r="T285" t="s">
        <v>33</v>
      </c>
      <c r="U285" t="s">
        <v>1362</v>
      </c>
      <c r="V285">
        <v>12</v>
      </c>
      <c r="W285">
        <v>1209</v>
      </c>
      <c r="X285" t="s">
        <v>788</v>
      </c>
      <c r="Y285">
        <v>82518144</v>
      </c>
      <c r="Z285" t="s">
        <v>1363</v>
      </c>
    </row>
  </sheetData>
  <autoFilter ref="A1:Z28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
  <sheetViews>
    <sheetView workbookViewId="0">
      <pane ySplit="1" topLeftCell="A2" activePane="bottomLeft" state="frozen"/>
      <selection pane="bottomLeft"/>
    </sheetView>
  </sheetViews>
  <sheetFormatPr defaultRowHeight="14.4" x14ac:dyDescent="0.3"/>
  <cols>
    <col min="1" max="1" width="42" customWidth="1"/>
    <col min="2" max="2" width="21" customWidth="1"/>
    <col min="3" max="3" width="10" customWidth="1"/>
    <col min="4" max="4" width="42" customWidth="1"/>
    <col min="5" max="5" width="41" customWidth="1"/>
    <col min="6" max="6" width="24" customWidth="1"/>
    <col min="7" max="7" width="14" customWidth="1"/>
    <col min="8" max="8" width="15" customWidth="1"/>
    <col min="9" max="9" width="22" customWidth="1"/>
    <col min="10" max="10" width="26" customWidth="1"/>
    <col min="11" max="11" width="23" customWidth="1"/>
    <col min="12" max="12" width="21" customWidth="1"/>
    <col min="13" max="13" width="24" customWidth="1"/>
    <col min="14" max="14" width="16" customWidth="1"/>
    <col min="15" max="15" width="15" customWidth="1"/>
    <col min="16" max="17" width="10" customWidth="1"/>
    <col min="18" max="18" width="13" customWidth="1"/>
    <col min="19" max="19" width="12" customWidth="1"/>
    <col min="20" max="20" width="15" customWidth="1"/>
    <col min="21" max="21" width="42" customWidth="1"/>
    <col min="22" max="24" width="10" customWidth="1"/>
    <col min="25" max="25" width="11" customWidth="1"/>
    <col min="26" max="26" width="12" customWidth="1"/>
  </cols>
  <sheetData>
    <row r="1" spans="1:26" ht="30" customHeight="1" x14ac:dyDescent="0.3">
      <c r="A1" s="2" t="s">
        <v>1364</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row>
    <row r="2" spans="1:26" x14ac:dyDescent="0.3">
      <c r="A2" t="s">
        <v>1365</v>
      </c>
      <c r="B2" s="1">
        <v>44862</v>
      </c>
      <c r="C2">
        <v>12099910</v>
      </c>
      <c r="D2" t="s">
        <v>159</v>
      </c>
      <c r="E2" t="s">
        <v>160</v>
      </c>
      <c r="F2" t="s">
        <v>161</v>
      </c>
      <c r="G2">
        <v>19.2</v>
      </c>
      <c r="H2" t="s">
        <v>28</v>
      </c>
      <c r="I2">
        <v>6.3361719383617201</v>
      </c>
      <c r="J2">
        <v>121.654501216545</v>
      </c>
      <c r="K2">
        <v>6.3360000000000003</v>
      </c>
      <c r="L2" t="s">
        <v>66</v>
      </c>
      <c r="M2" t="s">
        <v>162</v>
      </c>
      <c r="N2" t="s">
        <v>42</v>
      </c>
      <c r="O2" t="s">
        <v>32</v>
      </c>
      <c r="P2">
        <v>19.2</v>
      </c>
      <c r="Q2" t="s">
        <v>28</v>
      </c>
      <c r="R2">
        <v>128.06</v>
      </c>
      <c r="S2">
        <v>6.67</v>
      </c>
      <c r="T2" t="s">
        <v>33</v>
      </c>
      <c r="U2" t="s">
        <v>163</v>
      </c>
      <c r="V2">
        <v>12</v>
      </c>
      <c r="W2">
        <v>1209</v>
      </c>
      <c r="X2" t="s">
        <v>164</v>
      </c>
      <c r="Y2">
        <v>54279814</v>
      </c>
      <c r="Z2" t="s">
        <v>165</v>
      </c>
    </row>
    <row r="3" spans="1:26" x14ac:dyDescent="0.3">
      <c r="A3" t="s">
        <v>1365</v>
      </c>
      <c r="B3" s="1">
        <v>44867</v>
      </c>
      <c r="C3">
        <v>12099990</v>
      </c>
      <c r="D3" t="s">
        <v>159</v>
      </c>
      <c r="E3" t="s">
        <v>160</v>
      </c>
      <c r="F3" t="s">
        <v>161</v>
      </c>
      <c r="G3">
        <v>19.2</v>
      </c>
      <c r="H3" t="s">
        <v>28</v>
      </c>
      <c r="I3">
        <v>6.3361719383617201</v>
      </c>
      <c r="J3">
        <v>121.654501216545</v>
      </c>
      <c r="K3">
        <v>6.3360000000000003</v>
      </c>
      <c r="L3" t="s">
        <v>66</v>
      </c>
      <c r="M3" t="s">
        <v>162</v>
      </c>
      <c r="N3" t="s">
        <v>42</v>
      </c>
      <c r="O3" t="s">
        <v>32</v>
      </c>
      <c r="P3">
        <v>19.2</v>
      </c>
      <c r="Q3" t="s">
        <v>28</v>
      </c>
      <c r="R3">
        <v>127.87</v>
      </c>
      <c r="S3">
        <v>6.66</v>
      </c>
      <c r="T3" t="s">
        <v>33</v>
      </c>
      <c r="U3" t="s">
        <v>163</v>
      </c>
      <c r="V3">
        <v>12</v>
      </c>
      <c r="W3">
        <v>1209</v>
      </c>
      <c r="X3" t="s">
        <v>171</v>
      </c>
      <c r="Y3">
        <v>58701299</v>
      </c>
      <c r="Z3" t="s">
        <v>165</v>
      </c>
    </row>
    <row r="4" spans="1:26" x14ac:dyDescent="0.3">
      <c r="A4" t="s">
        <v>1365</v>
      </c>
      <c r="B4" s="1">
        <v>45352</v>
      </c>
      <c r="C4">
        <v>12099990</v>
      </c>
      <c r="D4" t="s">
        <v>319</v>
      </c>
      <c r="E4" t="s">
        <v>256</v>
      </c>
      <c r="F4" t="s">
        <v>257</v>
      </c>
      <c r="G4">
        <v>25</v>
      </c>
      <c r="H4" t="s">
        <v>28</v>
      </c>
      <c r="I4">
        <v>5.5820000000000007</v>
      </c>
      <c r="J4">
        <v>139.55000000000001</v>
      </c>
      <c r="K4">
        <v>5.58</v>
      </c>
      <c r="L4" t="s">
        <v>189</v>
      </c>
      <c r="M4" t="s">
        <v>190</v>
      </c>
      <c r="N4" t="s">
        <v>51</v>
      </c>
      <c r="O4" t="s">
        <v>32</v>
      </c>
      <c r="P4">
        <v>25</v>
      </c>
      <c r="Q4" t="s">
        <v>28</v>
      </c>
      <c r="R4">
        <v>143</v>
      </c>
      <c r="S4">
        <v>5.72</v>
      </c>
      <c r="T4" t="s">
        <v>33</v>
      </c>
      <c r="U4" t="s">
        <v>163</v>
      </c>
      <c r="V4">
        <v>12</v>
      </c>
      <c r="W4">
        <v>1209</v>
      </c>
      <c r="X4" t="s">
        <v>407</v>
      </c>
      <c r="Y4">
        <v>103093025</v>
      </c>
      <c r="Z4" t="s">
        <v>259</v>
      </c>
    </row>
    <row r="5" spans="1:26" x14ac:dyDescent="0.3">
      <c r="A5" t="s">
        <v>1365</v>
      </c>
      <c r="B5" s="1">
        <v>45455</v>
      </c>
      <c r="C5">
        <v>12099990</v>
      </c>
      <c r="D5" t="s">
        <v>457</v>
      </c>
      <c r="E5" t="s">
        <v>256</v>
      </c>
      <c r="F5" t="s">
        <v>257</v>
      </c>
      <c r="G5">
        <v>50</v>
      </c>
      <c r="H5" t="s">
        <v>28</v>
      </c>
      <c r="I5">
        <v>5.5884</v>
      </c>
      <c r="J5">
        <v>279.42</v>
      </c>
      <c r="K5">
        <v>5.59</v>
      </c>
      <c r="L5" t="s">
        <v>189</v>
      </c>
      <c r="M5" t="s">
        <v>190</v>
      </c>
      <c r="N5" t="s">
        <v>51</v>
      </c>
      <c r="O5" t="s">
        <v>32</v>
      </c>
      <c r="P5">
        <v>50</v>
      </c>
      <c r="Q5" t="s">
        <v>28</v>
      </c>
      <c r="R5">
        <v>286</v>
      </c>
      <c r="S5">
        <v>5.72</v>
      </c>
      <c r="T5" t="s">
        <v>33</v>
      </c>
      <c r="U5" t="s">
        <v>163</v>
      </c>
      <c r="V5">
        <v>12</v>
      </c>
      <c r="W5">
        <v>1209</v>
      </c>
      <c r="X5" t="s">
        <v>454</v>
      </c>
      <c r="Y5">
        <v>317731023</v>
      </c>
      <c r="Z5" t="s">
        <v>259</v>
      </c>
    </row>
    <row r="6" spans="1:26" x14ac:dyDescent="0.3">
      <c r="A6" t="s">
        <v>1365</v>
      </c>
      <c r="B6" s="1">
        <v>45505</v>
      </c>
      <c r="C6">
        <v>12099990</v>
      </c>
      <c r="D6" t="s">
        <v>485</v>
      </c>
      <c r="E6" t="s">
        <v>64</v>
      </c>
      <c r="F6" t="s">
        <v>486</v>
      </c>
      <c r="G6">
        <v>72</v>
      </c>
      <c r="H6" t="s">
        <v>28</v>
      </c>
      <c r="I6">
        <v>8.33</v>
      </c>
      <c r="J6">
        <v>599.76</v>
      </c>
      <c r="K6">
        <v>8.33</v>
      </c>
      <c r="L6" t="s">
        <v>189</v>
      </c>
      <c r="M6" t="s">
        <v>190</v>
      </c>
      <c r="N6" t="s">
        <v>89</v>
      </c>
      <c r="O6" t="s">
        <v>32</v>
      </c>
      <c r="P6">
        <v>72</v>
      </c>
      <c r="Q6" t="s">
        <v>28</v>
      </c>
      <c r="R6">
        <v>612</v>
      </c>
      <c r="S6">
        <v>8.5</v>
      </c>
      <c r="T6" t="s">
        <v>33</v>
      </c>
      <c r="U6" t="s">
        <v>163</v>
      </c>
      <c r="V6">
        <v>12</v>
      </c>
      <c r="W6">
        <v>1209</v>
      </c>
      <c r="X6" t="s">
        <v>487</v>
      </c>
      <c r="Y6">
        <v>335170630</v>
      </c>
      <c r="Z6" t="s">
        <v>68</v>
      </c>
    </row>
    <row r="7" spans="1:26" x14ac:dyDescent="0.3">
      <c r="A7" t="s">
        <v>1365</v>
      </c>
      <c r="B7" s="1">
        <v>45511</v>
      </c>
      <c r="C7">
        <v>12099990</v>
      </c>
      <c r="D7" t="s">
        <v>485</v>
      </c>
      <c r="E7" t="s">
        <v>64</v>
      </c>
      <c r="F7" t="s">
        <v>486</v>
      </c>
      <c r="G7">
        <v>72</v>
      </c>
      <c r="H7" t="s">
        <v>28</v>
      </c>
      <c r="I7">
        <v>8.2831944444444439</v>
      </c>
      <c r="J7">
        <v>596.39</v>
      </c>
      <c r="K7">
        <v>8.2799999999999994</v>
      </c>
      <c r="L7" t="s">
        <v>189</v>
      </c>
      <c r="M7" t="s">
        <v>190</v>
      </c>
      <c r="N7" t="s">
        <v>89</v>
      </c>
      <c r="O7" t="s">
        <v>32</v>
      </c>
      <c r="P7">
        <v>72</v>
      </c>
      <c r="Q7" t="s">
        <v>28</v>
      </c>
      <c r="R7">
        <v>612</v>
      </c>
      <c r="S7">
        <v>8.5</v>
      </c>
      <c r="T7" t="s">
        <v>33</v>
      </c>
      <c r="U7" t="s">
        <v>163</v>
      </c>
      <c r="V7">
        <v>12</v>
      </c>
      <c r="W7">
        <v>1209</v>
      </c>
      <c r="X7" t="s">
        <v>487</v>
      </c>
      <c r="Y7">
        <v>335170575</v>
      </c>
      <c r="Z7" t="s">
        <v>68</v>
      </c>
    </row>
    <row r="8" spans="1:26" x14ac:dyDescent="0.3">
      <c r="A8" t="s">
        <v>1365</v>
      </c>
      <c r="B8" s="1">
        <v>45552</v>
      </c>
      <c r="C8">
        <v>12099990</v>
      </c>
      <c r="D8" t="s">
        <v>319</v>
      </c>
      <c r="E8" t="s">
        <v>256</v>
      </c>
      <c r="F8" t="s">
        <v>516</v>
      </c>
      <c r="G8">
        <v>50</v>
      </c>
      <c r="H8" t="s">
        <v>28</v>
      </c>
      <c r="I8">
        <v>5.6594000000000007</v>
      </c>
      <c r="J8">
        <v>282.97000000000003</v>
      </c>
      <c r="K8">
        <v>5.66</v>
      </c>
      <c r="L8" t="s">
        <v>189</v>
      </c>
      <c r="M8" t="s">
        <v>190</v>
      </c>
      <c r="N8" t="s">
        <v>51</v>
      </c>
      <c r="O8" t="s">
        <v>32</v>
      </c>
      <c r="P8">
        <v>50</v>
      </c>
      <c r="Q8" t="s">
        <v>28</v>
      </c>
      <c r="R8">
        <v>289.5</v>
      </c>
      <c r="S8">
        <v>5.79</v>
      </c>
      <c r="T8" t="s">
        <v>33</v>
      </c>
      <c r="U8" t="s">
        <v>163</v>
      </c>
      <c r="V8">
        <v>12</v>
      </c>
      <c r="W8">
        <v>1209</v>
      </c>
      <c r="X8" t="s">
        <v>504</v>
      </c>
      <c r="Y8">
        <v>342172474</v>
      </c>
      <c r="Z8" t="s">
        <v>259</v>
      </c>
    </row>
    <row r="9" spans="1:26" x14ac:dyDescent="0.3">
      <c r="A9" t="s">
        <v>1365</v>
      </c>
      <c r="B9" s="1">
        <v>45630</v>
      </c>
      <c r="C9">
        <v>12099990</v>
      </c>
      <c r="D9" t="s">
        <v>457</v>
      </c>
      <c r="E9" t="s">
        <v>256</v>
      </c>
      <c r="F9" t="s">
        <v>516</v>
      </c>
      <c r="G9">
        <v>75</v>
      </c>
      <c r="H9" t="s">
        <v>28</v>
      </c>
      <c r="I9">
        <v>4.3538666666666668</v>
      </c>
      <c r="J9">
        <v>326.54000000000002</v>
      </c>
      <c r="K9">
        <v>4.3499999999999996</v>
      </c>
      <c r="L9" t="s">
        <v>189</v>
      </c>
      <c r="M9" t="s">
        <v>190</v>
      </c>
      <c r="N9" t="s">
        <v>51</v>
      </c>
      <c r="O9" t="s">
        <v>32</v>
      </c>
      <c r="P9">
        <v>75</v>
      </c>
      <c r="Q9" t="s">
        <v>28</v>
      </c>
      <c r="R9">
        <v>334.5</v>
      </c>
      <c r="S9">
        <v>4.46</v>
      </c>
      <c r="T9" t="s">
        <v>33</v>
      </c>
      <c r="U9" t="s">
        <v>163</v>
      </c>
      <c r="V9">
        <v>12</v>
      </c>
      <c r="W9">
        <v>1209</v>
      </c>
      <c r="X9" t="s">
        <v>554</v>
      </c>
      <c r="Y9">
        <v>356000683</v>
      </c>
      <c r="Z9" t="s">
        <v>259</v>
      </c>
    </row>
    <row r="10" spans="1:26" x14ac:dyDescent="0.3">
      <c r="A10" t="s">
        <v>1365</v>
      </c>
      <c r="B10" s="1">
        <v>45689</v>
      </c>
      <c r="C10">
        <v>12099990</v>
      </c>
      <c r="D10" t="s">
        <v>457</v>
      </c>
      <c r="E10" t="s">
        <v>256</v>
      </c>
      <c r="F10" t="s">
        <v>516</v>
      </c>
      <c r="G10">
        <v>100</v>
      </c>
      <c r="H10" t="s">
        <v>28</v>
      </c>
      <c r="I10">
        <v>5.6582000000000008</v>
      </c>
      <c r="J10">
        <v>565.82000000000005</v>
      </c>
      <c r="K10">
        <v>5.66</v>
      </c>
      <c r="L10" t="s">
        <v>189</v>
      </c>
      <c r="M10" t="s">
        <v>190</v>
      </c>
      <c r="N10" t="s">
        <v>51</v>
      </c>
      <c r="O10" t="s">
        <v>32</v>
      </c>
      <c r="P10">
        <v>100</v>
      </c>
      <c r="Q10" t="s">
        <v>28</v>
      </c>
      <c r="R10">
        <v>579</v>
      </c>
      <c r="S10">
        <v>5.79</v>
      </c>
      <c r="T10" t="s">
        <v>33</v>
      </c>
      <c r="U10" t="s">
        <v>600</v>
      </c>
      <c r="V10">
        <v>12</v>
      </c>
      <c r="W10">
        <v>1209</v>
      </c>
      <c r="X10" t="s">
        <v>598</v>
      </c>
      <c r="Y10">
        <v>5955149</v>
      </c>
      <c r="Z10" t="s">
        <v>259</v>
      </c>
    </row>
  </sheetData>
  <autoFilter ref="A1:Z1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1"/>
  <sheetViews>
    <sheetView workbookViewId="0">
      <pane ySplit="1" topLeftCell="A2" activePane="bottomLeft" state="frozen"/>
      <selection pane="bottomLeft"/>
    </sheetView>
  </sheetViews>
  <sheetFormatPr defaultRowHeight="14.4" x14ac:dyDescent="0.3"/>
  <cols>
    <col min="1" max="1" width="42" customWidth="1"/>
    <col min="2" max="2" width="21" customWidth="1"/>
    <col min="3" max="3" width="10" customWidth="1"/>
    <col min="4" max="4" width="42" customWidth="1"/>
    <col min="5" max="5" width="29" customWidth="1"/>
    <col min="6" max="6" width="19" customWidth="1"/>
    <col min="7" max="7" width="14" customWidth="1"/>
    <col min="8" max="8" width="15" customWidth="1"/>
    <col min="9" max="9" width="22" customWidth="1"/>
    <col min="10" max="10" width="26" customWidth="1"/>
    <col min="11" max="11" width="23" customWidth="1"/>
    <col min="12" max="12" width="21" customWidth="1"/>
    <col min="13" max="13" width="24" customWidth="1"/>
    <col min="14" max="14" width="16" customWidth="1"/>
    <col min="15" max="15" width="15" customWidth="1"/>
    <col min="16" max="17" width="10" customWidth="1"/>
    <col min="18" max="18" width="13" customWidth="1"/>
    <col min="19" max="19" width="12" customWidth="1"/>
    <col min="20" max="20" width="15" customWidth="1"/>
    <col min="21" max="21" width="42" customWidth="1"/>
    <col min="22" max="24" width="10" customWidth="1"/>
    <col min="25" max="25" width="11" customWidth="1"/>
    <col min="26" max="26" width="12" customWidth="1"/>
  </cols>
  <sheetData>
    <row r="1" spans="1:26" ht="30" customHeight="1" x14ac:dyDescent="0.3">
      <c r="A1" s="2" t="s">
        <v>1366</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row>
    <row r="2" spans="1:26" x14ac:dyDescent="0.3">
      <c r="A2" t="s">
        <v>1367</v>
      </c>
      <c r="B2" s="1">
        <v>45649</v>
      </c>
      <c r="C2">
        <v>20081920</v>
      </c>
      <c r="D2" t="s">
        <v>565</v>
      </c>
      <c r="E2" t="s">
        <v>127</v>
      </c>
      <c r="F2" t="s">
        <v>79</v>
      </c>
      <c r="G2">
        <v>1000</v>
      </c>
      <c r="H2" t="s">
        <v>28</v>
      </c>
      <c r="I2">
        <v>4.9632100000000001</v>
      </c>
      <c r="J2">
        <v>4963.21</v>
      </c>
      <c r="K2">
        <v>4.96</v>
      </c>
      <c r="L2" t="s">
        <v>80</v>
      </c>
      <c r="M2" t="s">
        <v>81</v>
      </c>
      <c r="N2" t="s">
        <v>51</v>
      </c>
      <c r="O2" t="s">
        <v>32</v>
      </c>
      <c r="P2">
        <v>1000</v>
      </c>
      <c r="Q2" t="s">
        <v>28</v>
      </c>
      <c r="R2">
        <v>5500</v>
      </c>
      <c r="S2">
        <v>5.5</v>
      </c>
      <c r="T2" t="s">
        <v>33</v>
      </c>
      <c r="U2" t="s">
        <v>44</v>
      </c>
      <c r="V2">
        <v>20</v>
      </c>
      <c r="W2">
        <v>2008</v>
      </c>
      <c r="X2" t="s">
        <v>554</v>
      </c>
      <c r="Y2">
        <v>358055214</v>
      </c>
      <c r="Z2" t="s">
        <v>130</v>
      </c>
    </row>
    <row r="3" spans="1:26" x14ac:dyDescent="0.3">
      <c r="A3" t="s">
        <v>1367</v>
      </c>
      <c r="B3" s="1">
        <v>45649</v>
      </c>
      <c r="C3">
        <v>20081920</v>
      </c>
      <c r="D3" t="s">
        <v>565</v>
      </c>
      <c r="E3" t="s">
        <v>127</v>
      </c>
      <c r="F3" t="s">
        <v>79</v>
      </c>
      <c r="G3">
        <v>1000</v>
      </c>
      <c r="H3" t="s">
        <v>28</v>
      </c>
      <c r="I3">
        <v>4.9632100000000001</v>
      </c>
      <c r="J3">
        <v>4963.21</v>
      </c>
      <c r="K3">
        <v>4.96</v>
      </c>
      <c r="L3" t="s">
        <v>80</v>
      </c>
      <c r="M3" t="s">
        <v>81</v>
      </c>
      <c r="N3" t="s">
        <v>51</v>
      </c>
      <c r="O3" t="s">
        <v>32</v>
      </c>
      <c r="P3">
        <v>1000</v>
      </c>
      <c r="Q3" t="s">
        <v>28</v>
      </c>
      <c r="R3">
        <v>4970</v>
      </c>
      <c r="S3">
        <v>4.97</v>
      </c>
      <c r="T3" t="s">
        <v>33</v>
      </c>
      <c r="U3" t="s">
        <v>44</v>
      </c>
      <c r="V3">
        <v>20</v>
      </c>
      <c r="W3">
        <v>2008</v>
      </c>
      <c r="X3" t="s">
        <v>554</v>
      </c>
      <c r="Y3">
        <v>358055117</v>
      </c>
      <c r="Z3" t="s">
        <v>130</v>
      </c>
    </row>
    <row r="4" spans="1:26" x14ac:dyDescent="0.3">
      <c r="A4" t="s">
        <v>1367</v>
      </c>
      <c r="B4" s="1">
        <v>45697</v>
      </c>
      <c r="C4">
        <v>20081920</v>
      </c>
      <c r="D4" t="s">
        <v>132</v>
      </c>
      <c r="E4" t="s">
        <v>313</v>
      </c>
      <c r="F4" t="s">
        <v>607</v>
      </c>
      <c r="G4">
        <v>1250</v>
      </c>
      <c r="H4" t="s">
        <v>28</v>
      </c>
      <c r="I4">
        <v>1.623048</v>
      </c>
      <c r="J4">
        <v>2028.81</v>
      </c>
      <c r="K4">
        <v>1.62</v>
      </c>
      <c r="L4" t="s">
        <v>322</v>
      </c>
      <c r="M4" t="s">
        <v>316</v>
      </c>
      <c r="N4" t="s">
        <v>323</v>
      </c>
      <c r="O4" t="s">
        <v>60</v>
      </c>
      <c r="P4">
        <v>1250</v>
      </c>
      <c r="Q4" t="s">
        <v>28</v>
      </c>
      <c r="R4">
        <v>2037.5</v>
      </c>
      <c r="S4">
        <v>1.63</v>
      </c>
      <c r="T4" t="s">
        <v>33</v>
      </c>
      <c r="U4" t="s">
        <v>576</v>
      </c>
      <c r="V4">
        <v>20</v>
      </c>
      <c r="W4">
        <v>2008</v>
      </c>
      <c r="X4" t="s">
        <v>598</v>
      </c>
      <c r="Y4">
        <v>9110894</v>
      </c>
      <c r="Z4" t="s">
        <v>318</v>
      </c>
    </row>
    <row r="5" spans="1:26" x14ac:dyDescent="0.3">
      <c r="A5" t="s">
        <v>1367</v>
      </c>
      <c r="B5" s="1">
        <v>45697</v>
      </c>
      <c r="C5">
        <v>20081920</v>
      </c>
      <c r="D5" t="s">
        <v>132</v>
      </c>
      <c r="E5" t="s">
        <v>313</v>
      </c>
      <c r="F5" t="s">
        <v>607</v>
      </c>
      <c r="G5">
        <v>1250</v>
      </c>
      <c r="H5" t="s">
        <v>28</v>
      </c>
      <c r="I5">
        <v>1.623048</v>
      </c>
      <c r="J5">
        <v>2028.81</v>
      </c>
      <c r="K5">
        <v>1.62</v>
      </c>
      <c r="L5" t="s">
        <v>322</v>
      </c>
      <c r="M5" t="s">
        <v>316</v>
      </c>
      <c r="N5" t="s">
        <v>323</v>
      </c>
      <c r="O5" t="s">
        <v>60</v>
      </c>
      <c r="P5">
        <v>1250</v>
      </c>
      <c r="Q5" t="s">
        <v>28</v>
      </c>
      <c r="R5">
        <v>176250</v>
      </c>
      <c r="S5">
        <v>141</v>
      </c>
      <c r="T5" t="s">
        <v>114</v>
      </c>
      <c r="U5" t="s">
        <v>576</v>
      </c>
      <c r="V5">
        <v>20</v>
      </c>
      <c r="W5">
        <v>2008</v>
      </c>
      <c r="X5" t="s">
        <v>598</v>
      </c>
      <c r="Y5">
        <v>9701656</v>
      </c>
      <c r="Z5" t="s">
        <v>318</v>
      </c>
    </row>
    <row r="6" spans="1:26" x14ac:dyDescent="0.3">
      <c r="A6" t="s">
        <v>1367</v>
      </c>
      <c r="B6" s="1">
        <v>45713</v>
      </c>
      <c r="C6">
        <v>20081990</v>
      </c>
      <c r="D6" t="s">
        <v>625</v>
      </c>
      <c r="E6" t="s">
        <v>127</v>
      </c>
      <c r="F6" t="s">
        <v>79</v>
      </c>
      <c r="G6">
        <v>200</v>
      </c>
      <c r="H6" t="s">
        <v>28</v>
      </c>
      <c r="I6">
        <v>3.9426000000000001</v>
      </c>
      <c r="J6">
        <v>788.52</v>
      </c>
      <c r="K6">
        <v>3.94</v>
      </c>
      <c r="L6" t="s">
        <v>128</v>
      </c>
      <c r="M6" t="s">
        <v>129</v>
      </c>
      <c r="N6" t="s">
        <v>51</v>
      </c>
      <c r="O6" t="s">
        <v>32</v>
      </c>
      <c r="P6">
        <v>200</v>
      </c>
      <c r="Q6" t="s">
        <v>28</v>
      </c>
      <c r="R6">
        <v>804</v>
      </c>
      <c r="S6">
        <v>4.0199999999999996</v>
      </c>
      <c r="T6" t="s">
        <v>33</v>
      </c>
      <c r="U6" t="s">
        <v>618</v>
      </c>
      <c r="V6">
        <v>20</v>
      </c>
      <c r="W6">
        <v>2008</v>
      </c>
      <c r="X6" t="s">
        <v>598</v>
      </c>
      <c r="Y6">
        <v>8220379</v>
      </c>
      <c r="Z6" t="s">
        <v>130</v>
      </c>
    </row>
    <row r="7" spans="1:26" x14ac:dyDescent="0.3">
      <c r="A7" t="s">
        <v>1367</v>
      </c>
      <c r="B7" s="1">
        <v>45713</v>
      </c>
      <c r="C7">
        <v>20081990</v>
      </c>
      <c r="D7" t="s">
        <v>625</v>
      </c>
      <c r="E7" t="s">
        <v>127</v>
      </c>
      <c r="F7" t="s">
        <v>79</v>
      </c>
      <c r="G7">
        <v>200</v>
      </c>
      <c r="H7" t="s">
        <v>28</v>
      </c>
      <c r="I7">
        <v>3.9426000000000001</v>
      </c>
      <c r="J7">
        <v>788.52</v>
      </c>
      <c r="K7">
        <v>3.94</v>
      </c>
      <c r="L7" t="s">
        <v>128</v>
      </c>
      <c r="M7" t="s">
        <v>129</v>
      </c>
      <c r="N7" t="s">
        <v>51</v>
      </c>
      <c r="O7" t="s">
        <v>32</v>
      </c>
      <c r="P7">
        <v>200</v>
      </c>
      <c r="Q7" t="s">
        <v>28</v>
      </c>
      <c r="R7">
        <v>840</v>
      </c>
      <c r="S7">
        <v>4.2</v>
      </c>
      <c r="T7" t="s">
        <v>33</v>
      </c>
      <c r="U7" t="s">
        <v>618</v>
      </c>
      <c r="V7">
        <v>20</v>
      </c>
      <c r="W7">
        <v>2008</v>
      </c>
      <c r="X7" t="s">
        <v>598</v>
      </c>
      <c r="Y7">
        <v>8475658</v>
      </c>
      <c r="Z7" t="s">
        <v>130</v>
      </c>
    </row>
    <row r="8" spans="1:26" x14ac:dyDescent="0.3">
      <c r="A8" t="s">
        <v>1367</v>
      </c>
      <c r="B8" s="1">
        <v>45717</v>
      </c>
      <c r="C8">
        <v>12019000</v>
      </c>
      <c r="D8" t="s">
        <v>626</v>
      </c>
      <c r="E8" t="s">
        <v>627</v>
      </c>
      <c r="F8" t="s">
        <v>628</v>
      </c>
      <c r="G8">
        <v>30</v>
      </c>
      <c r="H8" t="s">
        <v>28</v>
      </c>
      <c r="I8">
        <v>7.5006666666666666</v>
      </c>
      <c r="J8">
        <v>225.02</v>
      </c>
      <c r="K8">
        <v>7.5</v>
      </c>
      <c r="L8" t="s">
        <v>629</v>
      </c>
      <c r="M8" t="s">
        <v>228</v>
      </c>
      <c r="N8" t="s">
        <v>113</v>
      </c>
      <c r="O8" t="s">
        <v>32</v>
      </c>
      <c r="P8">
        <v>30</v>
      </c>
      <c r="Q8" t="s">
        <v>28</v>
      </c>
      <c r="R8">
        <v>378</v>
      </c>
      <c r="S8">
        <v>12.6</v>
      </c>
      <c r="T8" t="s">
        <v>230</v>
      </c>
      <c r="U8" t="s">
        <v>630</v>
      </c>
      <c r="V8">
        <v>12</v>
      </c>
      <c r="W8">
        <v>1201</v>
      </c>
      <c r="X8" t="s">
        <v>631</v>
      </c>
      <c r="Y8">
        <v>10049293</v>
      </c>
      <c r="Z8" t="s">
        <v>632</v>
      </c>
    </row>
    <row r="9" spans="1:26" x14ac:dyDescent="0.3">
      <c r="A9" t="s">
        <v>1367</v>
      </c>
      <c r="B9" s="1">
        <v>45717</v>
      </c>
      <c r="C9">
        <v>12019000</v>
      </c>
      <c r="D9" t="s">
        <v>626</v>
      </c>
      <c r="E9" t="s">
        <v>627</v>
      </c>
      <c r="F9" t="s">
        <v>628</v>
      </c>
      <c r="G9">
        <v>30</v>
      </c>
      <c r="H9" t="s">
        <v>28</v>
      </c>
      <c r="I9">
        <v>7.5006666666666666</v>
      </c>
      <c r="J9">
        <v>225.02</v>
      </c>
      <c r="K9">
        <v>7.5</v>
      </c>
      <c r="L9" t="s">
        <v>629</v>
      </c>
      <c r="M9" t="s">
        <v>228</v>
      </c>
      <c r="N9" t="s">
        <v>113</v>
      </c>
      <c r="O9" t="s">
        <v>32</v>
      </c>
      <c r="P9">
        <v>30</v>
      </c>
      <c r="Q9" t="s">
        <v>28</v>
      </c>
      <c r="R9">
        <v>229.5</v>
      </c>
      <c r="S9">
        <v>7.65</v>
      </c>
      <c r="T9" t="s">
        <v>33</v>
      </c>
      <c r="U9" t="s">
        <v>630</v>
      </c>
      <c r="V9">
        <v>12</v>
      </c>
      <c r="W9">
        <v>1201</v>
      </c>
      <c r="X9" t="s">
        <v>631</v>
      </c>
      <c r="Y9">
        <v>10653434</v>
      </c>
      <c r="Z9" t="s">
        <v>632</v>
      </c>
    </row>
    <row r="10" spans="1:26" x14ac:dyDescent="0.3">
      <c r="A10" t="s">
        <v>1367</v>
      </c>
      <c r="B10" s="1">
        <v>45937</v>
      </c>
      <c r="C10">
        <v>20081991</v>
      </c>
      <c r="D10" t="s">
        <v>786</v>
      </c>
      <c r="E10" t="s">
        <v>581</v>
      </c>
      <c r="F10" t="s">
        <v>79</v>
      </c>
      <c r="G10">
        <v>600</v>
      </c>
      <c r="H10" t="s">
        <v>28</v>
      </c>
      <c r="I10">
        <v>1.274</v>
      </c>
      <c r="J10">
        <v>764.4</v>
      </c>
      <c r="K10">
        <v>1.27</v>
      </c>
      <c r="L10" t="s">
        <v>342</v>
      </c>
      <c r="M10" t="s">
        <v>343</v>
      </c>
      <c r="N10" t="s">
        <v>787</v>
      </c>
      <c r="O10" t="s">
        <v>32</v>
      </c>
      <c r="P10">
        <v>600</v>
      </c>
      <c r="Q10" t="s">
        <v>28</v>
      </c>
      <c r="R10">
        <v>822</v>
      </c>
      <c r="S10">
        <v>1.37</v>
      </c>
      <c r="T10" t="s">
        <v>33</v>
      </c>
      <c r="U10" t="s">
        <v>690</v>
      </c>
      <c r="V10">
        <v>20</v>
      </c>
      <c r="W10">
        <v>2008</v>
      </c>
      <c r="X10" t="s">
        <v>788</v>
      </c>
      <c r="Y10">
        <v>84579728</v>
      </c>
      <c r="Z10" t="s">
        <v>584</v>
      </c>
    </row>
    <row r="11" spans="1:26" x14ac:dyDescent="0.3">
      <c r="A11" t="s">
        <v>1367</v>
      </c>
      <c r="B11" s="1">
        <v>45937</v>
      </c>
      <c r="C11">
        <v>20081991</v>
      </c>
      <c r="D11" t="s">
        <v>786</v>
      </c>
      <c r="E11" t="s">
        <v>581</v>
      </c>
      <c r="F11" t="s">
        <v>79</v>
      </c>
      <c r="G11">
        <v>600</v>
      </c>
      <c r="H11" t="s">
        <v>28</v>
      </c>
      <c r="I11">
        <v>1.274</v>
      </c>
      <c r="J11">
        <v>764.4</v>
      </c>
      <c r="K11">
        <v>1.27</v>
      </c>
      <c r="L11" t="s">
        <v>583</v>
      </c>
      <c r="M11" t="s">
        <v>343</v>
      </c>
      <c r="N11" t="s">
        <v>787</v>
      </c>
      <c r="O11" t="s">
        <v>32</v>
      </c>
      <c r="P11">
        <v>600</v>
      </c>
      <c r="Q11" t="s">
        <v>28</v>
      </c>
      <c r="R11">
        <v>822</v>
      </c>
      <c r="S11">
        <v>1.37</v>
      </c>
      <c r="U11" t="s">
        <v>690</v>
      </c>
      <c r="V11">
        <v>20</v>
      </c>
      <c r="W11">
        <v>2008</v>
      </c>
      <c r="X11" t="s">
        <v>788</v>
      </c>
      <c r="Y11">
        <v>84515944</v>
      </c>
      <c r="Z11" t="s">
        <v>584</v>
      </c>
    </row>
  </sheetData>
  <autoFilter ref="A1:Z1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pane ySplit="1" topLeftCell="A2" activePane="bottomLeft" state="frozen"/>
      <selection pane="bottomLeft"/>
    </sheetView>
  </sheetViews>
  <sheetFormatPr defaultRowHeight="14.4" x14ac:dyDescent="0.3"/>
  <cols>
    <col min="1" max="1" width="40" customWidth="1"/>
    <col min="2" max="2" width="10" customWidth="1"/>
  </cols>
  <sheetData>
    <row r="1" spans="1:2" ht="30" customHeight="1" x14ac:dyDescent="0.3">
      <c r="A1" s="2" t="s">
        <v>1368</v>
      </c>
      <c r="B1" s="2" t="s">
        <v>1369</v>
      </c>
    </row>
    <row r="2" spans="1:2" x14ac:dyDescent="0.3">
      <c r="A2" t="s">
        <v>1370</v>
      </c>
      <c r="B2">
        <v>724</v>
      </c>
    </row>
    <row r="3" spans="1:2" x14ac:dyDescent="0.3">
      <c r="A3" t="s">
        <v>1371</v>
      </c>
      <c r="B3">
        <v>54</v>
      </c>
    </row>
    <row r="4" spans="1:2" x14ac:dyDescent="0.3">
      <c r="A4" t="s">
        <v>1372</v>
      </c>
      <c r="B4">
        <v>0</v>
      </c>
    </row>
    <row r="5" spans="1:2" x14ac:dyDescent="0.3">
      <c r="A5" t="s">
        <v>1373</v>
      </c>
      <c r="B5">
        <v>440</v>
      </c>
    </row>
    <row r="6" spans="1:2" x14ac:dyDescent="0.3">
      <c r="A6" t="s">
        <v>1374</v>
      </c>
      <c r="B6">
        <v>284</v>
      </c>
    </row>
    <row r="7" spans="1:2" x14ac:dyDescent="0.3">
      <c r="A7" t="s">
        <v>1375</v>
      </c>
      <c r="B7">
        <v>9</v>
      </c>
    </row>
    <row r="8" spans="1:2" x14ac:dyDescent="0.3">
      <c r="A8" t="s">
        <v>1376</v>
      </c>
      <c r="B8">
        <v>5</v>
      </c>
    </row>
    <row r="9" spans="1:2" x14ac:dyDescent="0.3">
      <c r="A9" t="s">
        <v>1377</v>
      </c>
      <c r="B9">
        <v>10</v>
      </c>
    </row>
    <row r="10" spans="1:2" x14ac:dyDescent="0.3">
      <c r="A10" t="s">
        <v>1378</v>
      </c>
      <c r="B10">
        <v>25</v>
      </c>
    </row>
  </sheetData>
  <autoFilter ref="A1:B1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I1145"/>
  <sheetViews>
    <sheetView tabSelected="1" topLeftCell="C860" zoomScale="92" workbookViewId="0">
      <selection activeCell="F1050" sqref="F1050"/>
    </sheetView>
  </sheetViews>
  <sheetFormatPr defaultRowHeight="14.4" x14ac:dyDescent="0.3"/>
  <cols>
    <col min="2" max="2" width="58.33203125" customWidth="1"/>
    <col min="3" max="3" width="48.6640625" bestFit="1" customWidth="1"/>
    <col min="4" max="4" width="24.33203125" bestFit="1" customWidth="1"/>
    <col min="5" max="5" width="17.109375" customWidth="1"/>
    <col min="6" max="6" width="10.88671875" customWidth="1"/>
    <col min="7" max="7" width="13" customWidth="1"/>
    <col min="8" max="8" width="33.88671875" bestFit="1" customWidth="1"/>
    <col min="9" max="9" width="33.77734375" bestFit="1" customWidth="1"/>
    <col min="10" max="10" width="12.44140625" customWidth="1"/>
    <col min="11" max="11" width="39" bestFit="1" customWidth="1"/>
    <col min="12" max="12" width="12.21875" customWidth="1"/>
    <col min="13" max="13" width="15" bestFit="1" customWidth="1"/>
    <col min="14" max="14" width="16" bestFit="1" customWidth="1"/>
    <col min="15" max="15" width="13.44140625" customWidth="1"/>
    <col min="16" max="16" width="19.77734375" customWidth="1"/>
    <col min="17" max="17" width="25" customWidth="1"/>
    <col min="18" max="18" width="25.109375" customWidth="1"/>
    <col min="19" max="19" width="16.21875" bestFit="1" customWidth="1"/>
    <col min="20" max="20" width="29.88671875" customWidth="1"/>
    <col min="21" max="21" width="22" bestFit="1" customWidth="1"/>
    <col min="22" max="22" width="15.44140625" customWidth="1"/>
    <col min="23" max="23" width="13.44140625" bestFit="1" customWidth="1"/>
    <col min="24" max="24" width="24.33203125" customWidth="1"/>
    <col min="25" max="25" width="46.21875" customWidth="1"/>
    <col min="26" max="26" width="20" customWidth="1"/>
    <col min="27" max="27" width="16.21875" customWidth="1"/>
    <col min="28" max="28" width="17" bestFit="1" customWidth="1"/>
    <col min="29" max="29" width="41.33203125" bestFit="1" customWidth="1"/>
    <col min="30" max="30" width="22.44140625" bestFit="1" customWidth="1"/>
    <col min="31" max="31" width="21.33203125" bestFit="1" customWidth="1"/>
    <col min="32" max="32" width="24.88671875" customWidth="1"/>
    <col min="33" max="33" width="16.88671875" bestFit="1" customWidth="1"/>
    <col min="34" max="34" width="14.33203125" customWidth="1"/>
    <col min="35" max="35" width="21.21875" customWidth="1"/>
    <col min="36" max="36" width="16.77734375" customWidth="1"/>
    <col min="37" max="37" width="16.44140625" bestFit="1" customWidth="1"/>
    <col min="38" max="38" width="29.5546875" bestFit="1" customWidth="1"/>
    <col min="39" max="39" width="24" bestFit="1" customWidth="1"/>
    <col min="40" max="40" width="14.44140625" bestFit="1" customWidth="1"/>
    <col min="41" max="41" width="18" bestFit="1" customWidth="1"/>
    <col min="42" max="42" width="40.44140625" bestFit="1" customWidth="1"/>
    <col min="43" max="43" width="27.88671875" bestFit="1" customWidth="1"/>
    <col min="44" max="44" width="19.21875" bestFit="1" customWidth="1"/>
    <col min="45" max="45" width="19.44140625" bestFit="1" customWidth="1"/>
    <col min="46" max="46" width="17.21875" bestFit="1" customWidth="1"/>
    <col min="47" max="47" width="25.88671875" bestFit="1" customWidth="1"/>
    <col min="48" max="48" width="17.88671875" bestFit="1" customWidth="1"/>
    <col min="49" max="49" width="16.77734375" bestFit="1" customWidth="1"/>
    <col min="50" max="50" width="21" bestFit="1" customWidth="1"/>
    <col min="51" max="51" width="24.5546875" bestFit="1" customWidth="1"/>
    <col min="52" max="52" width="31" bestFit="1" customWidth="1"/>
    <col min="53" max="53" width="24.77734375" bestFit="1" customWidth="1"/>
    <col min="54" max="54" width="14.33203125" bestFit="1" customWidth="1"/>
    <col min="55" max="55" width="23.88671875" bestFit="1" customWidth="1"/>
    <col min="56" max="56" width="14.21875" bestFit="1" customWidth="1"/>
    <col min="57" max="57" width="20.88671875" bestFit="1" customWidth="1"/>
    <col min="58" max="58" width="14.5546875" bestFit="1" customWidth="1"/>
    <col min="59" max="59" width="20.109375" bestFit="1" customWidth="1"/>
    <col min="60" max="60" width="16.5546875" bestFit="1" customWidth="1"/>
    <col min="61" max="61" width="14.21875" bestFit="1" customWidth="1"/>
    <col min="62" max="62" width="26.21875" bestFit="1" customWidth="1"/>
    <col min="63" max="63" width="20.6640625" bestFit="1" customWidth="1"/>
    <col min="64" max="64" width="12.5546875" bestFit="1" customWidth="1"/>
    <col min="65" max="65" width="15.33203125" bestFit="1" customWidth="1"/>
    <col min="66" max="66" width="18.33203125" bestFit="1" customWidth="1"/>
    <col min="67" max="67" width="17.109375" bestFit="1" customWidth="1"/>
    <col min="68" max="68" width="22.33203125" bestFit="1" customWidth="1"/>
    <col min="69" max="69" width="17.77734375" bestFit="1" customWidth="1"/>
    <col min="70" max="70" width="5.88671875" customWidth="1"/>
    <col min="71" max="71" width="13.6640625" bestFit="1" customWidth="1"/>
    <col min="72" max="72" width="23.5546875" bestFit="1" customWidth="1"/>
    <col min="73" max="73" width="14.88671875" bestFit="1" customWidth="1"/>
    <col min="74" max="74" width="21.5546875" bestFit="1" customWidth="1"/>
    <col min="75" max="75" width="18.33203125" bestFit="1" customWidth="1"/>
    <col min="76" max="76" width="43.6640625" bestFit="1" customWidth="1"/>
    <col min="77" max="77" width="9.88671875" bestFit="1" customWidth="1"/>
    <col min="78" max="78" width="30.109375" bestFit="1" customWidth="1"/>
    <col min="79" max="79" width="16.5546875" bestFit="1" customWidth="1"/>
    <col min="80" max="80" width="17.5546875" bestFit="1" customWidth="1"/>
    <col min="81" max="81" width="19.6640625" bestFit="1" customWidth="1"/>
    <col min="82" max="82" width="27.33203125" bestFit="1" customWidth="1"/>
    <col min="83" max="83" width="17.5546875" bestFit="1" customWidth="1"/>
    <col min="84" max="84" width="26.21875" bestFit="1" customWidth="1"/>
    <col min="85" max="85" width="46.77734375" bestFit="1" customWidth="1"/>
    <col min="86" max="86" width="26.88671875" bestFit="1" customWidth="1"/>
    <col min="87" max="87" width="16" bestFit="1" customWidth="1"/>
    <col min="88" max="88" width="17.21875" bestFit="1" customWidth="1"/>
    <col min="89" max="89" width="17" bestFit="1" customWidth="1"/>
    <col min="90" max="90" width="12.5546875" bestFit="1" customWidth="1"/>
    <col min="91" max="91" width="16" bestFit="1" customWidth="1"/>
    <col min="92" max="92" width="21.5546875" bestFit="1" customWidth="1"/>
    <col min="93" max="93" width="9.88671875" bestFit="1" customWidth="1"/>
    <col min="94" max="94" width="15.5546875" bestFit="1" customWidth="1"/>
    <col min="95" max="95" width="33.77734375" bestFit="1" customWidth="1"/>
    <col min="96" max="96" width="12.5546875" bestFit="1" customWidth="1"/>
    <col min="97" max="97" width="14.44140625" bestFit="1" customWidth="1"/>
    <col min="98" max="98" width="21.88671875" bestFit="1" customWidth="1"/>
    <col min="99" max="99" width="12" bestFit="1" customWidth="1"/>
    <col min="100" max="100" width="19.77734375" bestFit="1" customWidth="1"/>
    <col min="101" max="101" width="21.88671875" bestFit="1" customWidth="1"/>
    <col min="102" max="102" width="27.88671875" bestFit="1" customWidth="1"/>
    <col min="103" max="103" width="13.77734375" bestFit="1" customWidth="1"/>
    <col min="104" max="104" width="16" bestFit="1" customWidth="1"/>
    <col min="105" max="105" width="18.21875" bestFit="1" customWidth="1"/>
    <col min="106" max="106" width="27.6640625" bestFit="1" customWidth="1"/>
    <col min="107" max="107" width="20.77734375" bestFit="1" customWidth="1"/>
    <col min="108" max="108" width="19.21875" bestFit="1" customWidth="1"/>
    <col min="109" max="109" width="20.77734375" bestFit="1" customWidth="1"/>
    <col min="110" max="110" width="12.44140625" bestFit="1" customWidth="1"/>
    <col min="111" max="111" width="30.109375" bestFit="1" customWidth="1"/>
    <col min="112" max="112" width="24" bestFit="1" customWidth="1"/>
    <col min="113" max="113" width="13" bestFit="1" customWidth="1"/>
  </cols>
  <sheetData>
    <row r="1" spans="1:4" x14ac:dyDescent="0.3">
      <c r="A1" t="s">
        <v>1389</v>
      </c>
      <c r="C1" s="14" t="s">
        <v>1387</v>
      </c>
    </row>
    <row r="3" spans="1:4" x14ac:dyDescent="0.3">
      <c r="B3" s="12" t="s">
        <v>1379</v>
      </c>
      <c r="C3" t="s">
        <v>1386</v>
      </c>
      <c r="D3" s="14" t="s">
        <v>1388</v>
      </c>
    </row>
    <row r="4" spans="1:4" x14ac:dyDescent="0.3">
      <c r="B4" s="13" t="s">
        <v>1382</v>
      </c>
      <c r="C4">
        <v>40630.086738347309</v>
      </c>
    </row>
    <row r="5" spans="1:4" x14ac:dyDescent="0.3">
      <c r="B5" s="13" t="s">
        <v>1383</v>
      </c>
      <c r="C5">
        <v>105464.64</v>
      </c>
      <c r="D5" s="18">
        <f>(GETPIVOTDATA("Estimated  F.O.B Value $",$B$3,"Years",2023)-GETPIVOTDATA("Estimated  F.O.B Value $",$B$3,"Years",2022))/GETPIVOTDATA("Estimated  F.O.B Value $",$B$3,"Years",2022)</f>
        <v>1.5957276606170971</v>
      </c>
    </row>
    <row r="6" spans="1:4" x14ac:dyDescent="0.3">
      <c r="B6" s="13" t="s">
        <v>1384</v>
      </c>
      <c r="C6">
        <v>247325.4199999999</v>
      </c>
      <c r="D6" s="18">
        <f>(GETPIVOTDATA("Estimated  F.O.B Value $",$B$3,"Years",2024)-GETPIVOTDATA("Estimated  F.O.B Value $",$B$3,"Years",2023))/GETPIVOTDATA("Estimated  F.O.B Value $",$B$3,"Years",2023)</f>
        <v>1.3451027756791272</v>
      </c>
    </row>
    <row r="7" spans="1:4" x14ac:dyDescent="0.3">
      <c r="B7" s="13" t="s">
        <v>1385</v>
      </c>
      <c r="C7">
        <v>385940.93967056723</v>
      </c>
      <c r="D7" s="18">
        <f>(GETPIVOTDATA("Estimated  F.O.B Value $",$B$3,"Years",2025)-GETPIVOTDATA("Estimated  F.O.B Value $",$B$3,"Years",2024))/GETPIVOTDATA("Estimated  F.O.B Value $",$B$3,"Years",2024)</f>
        <v>0.56045803812065653</v>
      </c>
    </row>
    <row r="8" spans="1:4" x14ac:dyDescent="0.3">
      <c r="B8" s="13" t="s">
        <v>1381</v>
      </c>
      <c r="C8">
        <v>779361.08640891453</v>
      </c>
    </row>
    <row r="13" spans="1:4" x14ac:dyDescent="0.3">
      <c r="A13" t="s">
        <v>1390</v>
      </c>
      <c r="C13" s="14" t="s">
        <v>1391</v>
      </c>
    </row>
    <row r="15" spans="1:4" x14ac:dyDescent="0.3">
      <c r="B15" s="12" t="s">
        <v>1379</v>
      </c>
      <c r="C15" t="s">
        <v>1392</v>
      </c>
      <c r="D15" s="14" t="s">
        <v>1388</v>
      </c>
    </row>
    <row r="16" spans="1:4" x14ac:dyDescent="0.3">
      <c r="B16" s="13" t="s">
        <v>1382</v>
      </c>
      <c r="C16">
        <v>10282.000000000002</v>
      </c>
    </row>
    <row r="17" spans="1:4" x14ac:dyDescent="0.3">
      <c r="B17" s="13" t="s">
        <v>1383</v>
      </c>
      <c r="C17">
        <v>20157.650000000001</v>
      </c>
      <c r="D17" s="18">
        <f>(GETPIVOTDATA("Standard Qty",$B$15,"Years",2023)-GETPIVOTDATA("Standard Qty",$B$15,"Years",2022))/GETPIVOTDATA("Standard Qty",$B$15,"Years",2022)</f>
        <v>0.96047947870064165</v>
      </c>
    </row>
    <row r="18" spans="1:4" x14ac:dyDescent="0.3">
      <c r="B18" s="13" t="s">
        <v>1384</v>
      </c>
      <c r="C18">
        <v>90835.35</v>
      </c>
      <c r="D18" s="18">
        <f>(GETPIVOTDATA("Standard Qty",$B$15,"Years",2024)-GETPIVOTDATA("Standard Qty",$B$15,"Years",2023))/GETPIVOTDATA("Standard Qty",$B$15,"Years",2023)</f>
        <v>3.5062470079597574</v>
      </c>
    </row>
    <row r="19" spans="1:4" x14ac:dyDescent="0.3">
      <c r="B19" s="13" t="s">
        <v>1385</v>
      </c>
      <c r="C19">
        <v>205573.41</v>
      </c>
      <c r="D19" s="18">
        <f>(GETPIVOTDATA("Standard Qty",$B$15,"Years",2025)-GETPIVOTDATA("Standard Qty",$B$15,"Years",2024))/GETPIVOTDATA("Standard Qty",$B$15,"Years",2024)</f>
        <v>1.2631432586542573</v>
      </c>
    </row>
    <row r="20" spans="1:4" x14ac:dyDescent="0.3">
      <c r="B20" s="13" t="s">
        <v>1381</v>
      </c>
      <c r="C20">
        <v>326848.41000000003</v>
      </c>
    </row>
    <row r="24" spans="1:4" x14ac:dyDescent="0.3">
      <c r="A24" t="s">
        <v>1393</v>
      </c>
      <c r="C24" s="14" t="s">
        <v>1394</v>
      </c>
    </row>
    <row r="26" spans="1:4" x14ac:dyDescent="0.3">
      <c r="B26" s="12" t="s">
        <v>1380</v>
      </c>
      <c r="C26" t="s">
        <v>1395</v>
      </c>
    </row>
    <row r="27" spans="1:4" x14ac:dyDescent="0.3">
      <c r="B27" s="13" t="s">
        <v>1382</v>
      </c>
      <c r="C27" s="10">
        <v>6.2657961649126177</v>
      </c>
    </row>
    <row r="28" spans="1:4" x14ac:dyDescent="0.3">
      <c r="B28" s="13" t="s">
        <v>1383</v>
      </c>
      <c r="C28" s="10">
        <v>6.1332426775924898</v>
      </c>
    </row>
    <row r="29" spans="1:4" x14ac:dyDescent="0.3">
      <c r="B29" s="13" t="s">
        <v>1384</v>
      </c>
      <c r="C29" s="10">
        <v>4.3284726912402061</v>
      </c>
    </row>
    <row r="30" spans="1:4" x14ac:dyDescent="0.3">
      <c r="B30" s="13" t="s">
        <v>1385</v>
      </c>
      <c r="C30" s="10">
        <v>5.3437337497993722</v>
      </c>
    </row>
    <row r="31" spans="1:4" x14ac:dyDescent="0.3">
      <c r="B31" s="13" t="s">
        <v>1381</v>
      </c>
      <c r="C31" s="10">
        <v>5.2397336611194643</v>
      </c>
    </row>
    <row r="38" spans="1:9" x14ac:dyDescent="0.3">
      <c r="A38" t="s">
        <v>1396</v>
      </c>
      <c r="C38" s="14" t="s">
        <v>1397</v>
      </c>
    </row>
    <row r="40" spans="1:9" x14ac:dyDescent="0.3">
      <c r="B40" s="12" t="s">
        <v>1380</v>
      </c>
      <c r="C40" t="s">
        <v>1401</v>
      </c>
      <c r="D40" t="s">
        <v>1399</v>
      </c>
      <c r="E40" t="s">
        <v>1400</v>
      </c>
    </row>
    <row r="41" spans="1:9" x14ac:dyDescent="0.3">
      <c r="B41" s="13" t="s">
        <v>316</v>
      </c>
      <c r="C41" s="15">
        <v>413375.37999999995</v>
      </c>
      <c r="D41">
        <v>228350.16</v>
      </c>
      <c r="E41">
        <v>163</v>
      </c>
      <c r="H41" s="19" t="s">
        <v>1423</v>
      </c>
      <c r="I41" s="19" t="s">
        <v>1424</v>
      </c>
    </row>
    <row r="42" spans="1:9" x14ac:dyDescent="0.3">
      <c r="B42" s="13" t="s">
        <v>41</v>
      </c>
      <c r="C42" s="15">
        <v>58659.631313141777</v>
      </c>
      <c r="D42">
        <v>23308</v>
      </c>
      <c r="E42">
        <v>31</v>
      </c>
      <c r="H42" s="21" t="s">
        <v>316</v>
      </c>
      <c r="I42" s="21" t="s">
        <v>316</v>
      </c>
    </row>
    <row r="43" spans="1:9" x14ac:dyDescent="0.3">
      <c r="B43" s="13" t="s">
        <v>58</v>
      </c>
      <c r="C43" s="15">
        <v>22245.644772405809</v>
      </c>
      <c r="D43">
        <v>17550</v>
      </c>
      <c r="E43">
        <v>4</v>
      </c>
      <c r="H43" s="21" t="s">
        <v>335</v>
      </c>
      <c r="I43" s="21" t="s">
        <v>41</v>
      </c>
    </row>
    <row r="44" spans="1:9" x14ac:dyDescent="0.3">
      <c r="B44" s="13" t="s">
        <v>335</v>
      </c>
      <c r="C44" s="15">
        <v>68351.179999999993</v>
      </c>
      <c r="D44">
        <v>12750</v>
      </c>
      <c r="E44">
        <v>4</v>
      </c>
      <c r="H44" s="21" t="s">
        <v>50</v>
      </c>
      <c r="I44" s="21" t="s">
        <v>58</v>
      </c>
    </row>
    <row r="45" spans="1:9" x14ac:dyDescent="0.3">
      <c r="B45" s="13" t="s">
        <v>50</v>
      </c>
      <c r="C45" s="15">
        <v>63650.155129417384</v>
      </c>
      <c r="D45">
        <v>11763</v>
      </c>
      <c r="E45">
        <v>33</v>
      </c>
      <c r="H45" s="21" t="s">
        <v>41</v>
      </c>
      <c r="I45" s="21" t="s">
        <v>335</v>
      </c>
    </row>
    <row r="46" spans="1:9" x14ac:dyDescent="0.3">
      <c r="B46" s="13" t="s">
        <v>81</v>
      </c>
      <c r="C46" s="15">
        <v>38120.980000000003</v>
      </c>
      <c r="D46">
        <v>9095.2000000000007</v>
      </c>
      <c r="E46">
        <v>17</v>
      </c>
      <c r="H46" s="21" t="s">
        <v>81</v>
      </c>
      <c r="I46" s="21" t="s">
        <v>50</v>
      </c>
    </row>
    <row r="47" spans="1:9" x14ac:dyDescent="0.3">
      <c r="B47" s="13" t="s">
        <v>572</v>
      </c>
      <c r="C47" s="15">
        <v>16221.449999999999</v>
      </c>
      <c r="D47">
        <v>4000</v>
      </c>
      <c r="E47">
        <v>2</v>
      </c>
    </row>
    <row r="48" spans="1:9" x14ac:dyDescent="0.3">
      <c r="B48" s="13" t="s">
        <v>617</v>
      </c>
      <c r="C48" s="15">
        <v>14090.939999999999</v>
      </c>
      <c r="D48">
        <v>4000</v>
      </c>
      <c r="E48">
        <v>2</v>
      </c>
    </row>
    <row r="49" spans="2:5" x14ac:dyDescent="0.3">
      <c r="B49" s="13" t="s">
        <v>343</v>
      </c>
      <c r="C49" s="15">
        <v>6167.1699999999992</v>
      </c>
      <c r="D49">
        <v>1898</v>
      </c>
      <c r="E49">
        <v>10</v>
      </c>
    </row>
    <row r="50" spans="2:5" x14ac:dyDescent="0.3">
      <c r="B50" s="13" t="s">
        <v>67</v>
      </c>
      <c r="C50" s="15">
        <v>8892.2145799432201</v>
      </c>
      <c r="D50">
        <v>1421.7000000000003</v>
      </c>
      <c r="E50">
        <v>25</v>
      </c>
    </row>
    <row r="51" spans="2:5" x14ac:dyDescent="0.3">
      <c r="B51" s="13" t="s">
        <v>129</v>
      </c>
      <c r="C51" s="15">
        <v>5370.0599999999995</v>
      </c>
      <c r="D51">
        <v>1250</v>
      </c>
      <c r="E51">
        <v>6</v>
      </c>
    </row>
    <row r="52" spans="2:5" x14ac:dyDescent="0.3">
      <c r="B52" s="13" t="s">
        <v>370</v>
      </c>
      <c r="C52" s="15">
        <v>1672.42</v>
      </c>
      <c r="D52">
        <v>1200</v>
      </c>
      <c r="E52">
        <v>1</v>
      </c>
    </row>
    <row r="53" spans="2:5" x14ac:dyDescent="0.3">
      <c r="B53" s="13" t="s">
        <v>150</v>
      </c>
      <c r="C53" s="15">
        <v>5943.6503684879281</v>
      </c>
      <c r="D53">
        <v>1120</v>
      </c>
      <c r="E53">
        <v>15</v>
      </c>
    </row>
    <row r="54" spans="2:5" x14ac:dyDescent="0.3">
      <c r="B54" s="13" t="s">
        <v>443</v>
      </c>
      <c r="C54" s="15">
        <v>5563.43</v>
      </c>
      <c r="D54">
        <v>1100</v>
      </c>
      <c r="E54">
        <v>2</v>
      </c>
    </row>
    <row r="55" spans="2:5" x14ac:dyDescent="0.3">
      <c r="B55" s="13" t="s">
        <v>30</v>
      </c>
      <c r="C55" s="15">
        <v>5830.8566855649842</v>
      </c>
      <c r="D55">
        <v>995.5</v>
      </c>
      <c r="E55">
        <v>10</v>
      </c>
    </row>
    <row r="56" spans="2:5" x14ac:dyDescent="0.3">
      <c r="B56" s="13" t="s">
        <v>112</v>
      </c>
      <c r="C56" s="15">
        <v>5529.6929816693391</v>
      </c>
      <c r="D56">
        <v>976.75</v>
      </c>
      <c r="E56">
        <v>11</v>
      </c>
    </row>
    <row r="57" spans="2:5" x14ac:dyDescent="0.3">
      <c r="B57" s="13" t="s">
        <v>104</v>
      </c>
      <c r="C57" s="15">
        <v>6229.8008515815081</v>
      </c>
      <c r="D57">
        <v>835</v>
      </c>
      <c r="E57">
        <v>10</v>
      </c>
    </row>
    <row r="58" spans="2:5" x14ac:dyDescent="0.3">
      <c r="B58" s="13" t="s">
        <v>136</v>
      </c>
      <c r="C58" s="15">
        <v>3712.7664803049547</v>
      </c>
      <c r="D58">
        <v>799.5</v>
      </c>
      <c r="E58">
        <v>30</v>
      </c>
    </row>
    <row r="59" spans="2:5" x14ac:dyDescent="0.3">
      <c r="B59" s="13" t="s">
        <v>190</v>
      </c>
      <c r="C59" s="15">
        <v>4086.17</v>
      </c>
      <c r="D59">
        <v>634.20000000000005</v>
      </c>
      <c r="E59">
        <v>12</v>
      </c>
    </row>
    <row r="60" spans="2:5" x14ac:dyDescent="0.3">
      <c r="B60" s="13" t="s">
        <v>544</v>
      </c>
      <c r="C60" s="15">
        <v>5325.3</v>
      </c>
      <c r="D60">
        <v>600</v>
      </c>
      <c r="E60">
        <v>1</v>
      </c>
    </row>
    <row r="61" spans="2:5" x14ac:dyDescent="0.3">
      <c r="B61" s="13" t="s">
        <v>659</v>
      </c>
      <c r="C61" s="15">
        <v>3466.05</v>
      </c>
      <c r="D61">
        <v>550</v>
      </c>
      <c r="E61">
        <v>2</v>
      </c>
    </row>
    <row r="62" spans="2:5" x14ac:dyDescent="0.3">
      <c r="B62" s="13" t="s">
        <v>88</v>
      </c>
      <c r="C62" s="15">
        <v>1912.41</v>
      </c>
      <c r="D62">
        <v>498</v>
      </c>
      <c r="E62">
        <v>9</v>
      </c>
    </row>
    <row r="63" spans="2:5" x14ac:dyDescent="0.3">
      <c r="B63" s="13" t="s">
        <v>236</v>
      </c>
      <c r="C63" s="15">
        <v>2010.03</v>
      </c>
      <c r="D63">
        <v>300</v>
      </c>
      <c r="E63">
        <v>2</v>
      </c>
    </row>
    <row r="64" spans="2:5" x14ac:dyDescent="0.3">
      <c r="B64" s="13" t="s">
        <v>265</v>
      </c>
      <c r="C64" s="15">
        <v>1564.07</v>
      </c>
      <c r="D64">
        <v>295</v>
      </c>
      <c r="E64">
        <v>6</v>
      </c>
    </row>
    <row r="65" spans="2:5" x14ac:dyDescent="0.3">
      <c r="B65" s="13" t="s">
        <v>285</v>
      </c>
      <c r="C65" s="15">
        <v>2257.5299999999997</v>
      </c>
      <c r="D65">
        <v>288</v>
      </c>
      <c r="E65">
        <v>2</v>
      </c>
    </row>
    <row r="66" spans="2:5" x14ac:dyDescent="0.3">
      <c r="B66" s="13" t="s">
        <v>157</v>
      </c>
      <c r="C66" s="15">
        <v>1887.4353621346888</v>
      </c>
      <c r="D66">
        <v>266.3</v>
      </c>
      <c r="E66">
        <v>7</v>
      </c>
    </row>
    <row r="67" spans="2:5" x14ac:dyDescent="0.3">
      <c r="B67" s="13" t="s">
        <v>400</v>
      </c>
      <c r="C67" s="15">
        <v>1247.1100000000001</v>
      </c>
      <c r="D67">
        <v>210</v>
      </c>
      <c r="E67">
        <v>3</v>
      </c>
    </row>
    <row r="68" spans="2:5" x14ac:dyDescent="0.3">
      <c r="B68" s="13" t="s">
        <v>252</v>
      </c>
      <c r="C68" s="15">
        <v>1742.59</v>
      </c>
      <c r="D68">
        <v>206</v>
      </c>
      <c r="E68">
        <v>3</v>
      </c>
    </row>
    <row r="69" spans="2:5" x14ac:dyDescent="0.3">
      <c r="B69" s="13" t="s">
        <v>228</v>
      </c>
      <c r="C69" s="15">
        <v>1473.01</v>
      </c>
      <c r="D69">
        <v>171.6</v>
      </c>
      <c r="E69">
        <v>3</v>
      </c>
    </row>
    <row r="70" spans="2:5" x14ac:dyDescent="0.3">
      <c r="B70" s="13" t="s">
        <v>497</v>
      </c>
      <c r="C70" s="15">
        <v>665.52</v>
      </c>
      <c r="D70">
        <v>125</v>
      </c>
      <c r="E70">
        <v>2</v>
      </c>
    </row>
    <row r="71" spans="2:5" x14ac:dyDescent="0.3">
      <c r="B71" s="13" t="s">
        <v>162</v>
      </c>
      <c r="C71" s="15">
        <v>767.73900243309004</v>
      </c>
      <c r="D71">
        <v>92.4</v>
      </c>
      <c r="E71">
        <v>5</v>
      </c>
    </row>
    <row r="72" spans="2:5" x14ac:dyDescent="0.3">
      <c r="B72" s="13" t="s">
        <v>211</v>
      </c>
      <c r="C72" s="15">
        <v>514.62</v>
      </c>
      <c r="D72">
        <v>87.4</v>
      </c>
      <c r="E72">
        <v>2</v>
      </c>
    </row>
    <row r="73" spans="2:5" x14ac:dyDescent="0.3">
      <c r="B73" s="13" t="s">
        <v>653</v>
      </c>
      <c r="C73" s="15">
        <v>220.23</v>
      </c>
      <c r="D73">
        <v>50</v>
      </c>
      <c r="E73">
        <v>1</v>
      </c>
    </row>
    <row r="74" spans="2:5" x14ac:dyDescent="0.3">
      <c r="B74" s="13" t="s">
        <v>123</v>
      </c>
      <c r="C74" s="15">
        <v>151.99888182973316</v>
      </c>
      <c r="D74">
        <v>41</v>
      </c>
      <c r="E74">
        <v>2</v>
      </c>
    </row>
    <row r="75" spans="2:5" x14ac:dyDescent="0.3">
      <c r="B75" s="13" t="s">
        <v>509</v>
      </c>
      <c r="C75" s="15">
        <v>188.91</v>
      </c>
      <c r="D75">
        <v>11.7</v>
      </c>
      <c r="E75">
        <v>1</v>
      </c>
    </row>
    <row r="76" spans="2:5" x14ac:dyDescent="0.3">
      <c r="B76" s="13" t="s">
        <v>726</v>
      </c>
      <c r="C76" s="15">
        <v>252.94</v>
      </c>
      <c r="D76">
        <v>9</v>
      </c>
      <c r="E76">
        <v>1</v>
      </c>
    </row>
    <row r="77" spans="2:5" x14ac:dyDescent="0.3">
      <c r="B77" s="13" t="s">
        <v>1381</v>
      </c>
      <c r="C77" s="15">
        <v>779361.08640891465</v>
      </c>
      <c r="D77">
        <v>326848.40999999997</v>
      </c>
      <c r="E77">
        <v>440</v>
      </c>
    </row>
    <row r="81" spans="1:8" x14ac:dyDescent="0.3">
      <c r="A81" t="s">
        <v>1402</v>
      </c>
      <c r="C81" s="14" t="s">
        <v>1403</v>
      </c>
    </row>
    <row r="83" spans="1:8" x14ac:dyDescent="0.3">
      <c r="B83" s="12" t="s">
        <v>1404</v>
      </c>
      <c r="C83" t="s">
        <v>1386</v>
      </c>
    </row>
    <row r="84" spans="1:8" x14ac:dyDescent="0.3">
      <c r="B84" s="13" t="s">
        <v>379</v>
      </c>
      <c r="C84" s="15">
        <v>244045.55</v>
      </c>
      <c r="H84" s="23" t="s">
        <v>1425</v>
      </c>
    </row>
    <row r="85" spans="1:8" x14ac:dyDescent="0.3">
      <c r="B85" s="13" t="s">
        <v>315</v>
      </c>
      <c r="C85" s="15">
        <v>100044.83000000002</v>
      </c>
      <c r="H85" s="22" t="s">
        <v>379</v>
      </c>
    </row>
    <row r="86" spans="1:8" x14ac:dyDescent="0.3">
      <c r="B86" s="13" t="s">
        <v>334</v>
      </c>
      <c r="C86" s="15">
        <v>68351.179999999993</v>
      </c>
      <c r="H86" s="22" t="s">
        <v>315</v>
      </c>
    </row>
    <row r="87" spans="1:8" x14ac:dyDescent="0.3">
      <c r="B87" s="13" t="s">
        <v>40</v>
      </c>
      <c r="C87" s="15">
        <v>58659.631313141777</v>
      </c>
      <c r="H87" s="22" t="s">
        <v>334</v>
      </c>
    </row>
    <row r="88" spans="1:8" x14ac:dyDescent="0.3">
      <c r="B88" s="13" t="s">
        <v>75</v>
      </c>
      <c r="C88" s="15">
        <v>54909.838512399991</v>
      </c>
      <c r="H88" s="22" t="s">
        <v>40</v>
      </c>
    </row>
    <row r="89" spans="1:8" x14ac:dyDescent="0.3">
      <c r="B89" s="13" t="s">
        <v>322</v>
      </c>
      <c r="C89" s="15">
        <v>36216.490000000005</v>
      </c>
      <c r="H89" s="22" t="s">
        <v>75</v>
      </c>
    </row>
    <row r="90" spans="1:8" x14ac:dyDescent="0.3">
      <c r="B90" s="13" t="s">
        <v>476</v>
      </c>
      <c r="C90" s="15">
        <v>32642.42</v>
      </c>
      <c r="H90" s="22" t="s">
        <v>322</v>
      </c>
    </row>
    <row r="91" spans="1:8" x14ac:dyDescent="0.3">
      <c r="B91" s="13" t="s">
        <v>80</v>
      </c>
      <c r="C91" s="15">
        <v>26826.239999999998</v>
      </c>
      <c r="H91" s="22" t="s">
        <v>476</v>
      </c>
    </row>
    <row r="92" spans="1:8" x14ac:dyDescent="0.3">
      <c r="B92" s="13" t="s">
        <v>782</v>
      </c>
      <c r="C92" s="15">
        <v>18637.650000000001</v>
      </c>
      <c r="H92" s="22" t="s">
        <v>80</v>
      </c>
    </row>
    <row r="93" spans="1:8" x14ac:dyDescent="0.3">
      <c r="B93" s="13" t="s">
        <v>571</v>
      </c>
      <c r="C93" s="15">
        <v>16221.449999999999</v>
      </c>
      <c r="H93" s="22" t="s">
        <v>782</v>
      </c>
    </row>
    <row r="94" spans="1:8" x14ac:dyDescent="0.3">
      <c r="B94" s="13" t="s">
        <v>616</v>
      </c>
      <c r="C94" s="15">
        <v>14090.939999999999</v>
      </c>
      <c r="H94" s="22" t="s">
        <v>571</v>
      </c>
    </row>
    <row r="95" spans="1:8" x14ac:dyDescent="0.3">
      <c r="B95" s="13" t="s">
        <v>612</v>
      </c>
      <c r="C95" s="15">
        <v>11294.739999999998</v>
      </c>
      <c r="H95" s="22" t="s">
        <v>616</v>
      </c>
    </row>
    <row r="96" spans="1:8" x14ac:dyDescent="0.3">
      <c r="B96" s="13" t="s">
        <v>49</v>
      </c>
      <c r="C96" s="15">
        <v>8679.9666170174096</v>
      </c>
    </row>
    <row r="97" spans="2:3" x14ac:dyDescent="0.3">
      <c r="B97" s="13" t="s">
        <v>278</v>
      </c>
      <c r="C97" s="15">
        <v>8245.2909328621899</v>
      </c>
    </row>
    <row r="98" spans="2:3" x14ac:dyDescent="0.3">
      <c r="B98" s="13" t="s">
        <v>103</v>
      </c>
      <c r="C98" s="15">
        <v>6229.8008515815081</v>
      </c>
    </row>
    <row r="99" spans="2:3" x14ac:dyDescent="0.3">
      <c r="B99" s="13" t="s">
        <v>149</v>
      </c>
      <c r="C99" s="15">
        <v>5943.6503684879281</v>
      </c>
    </row>
    <row r="100" spans="2:3" x14ac:dyDescent="0.3">
      <c r="B100" s="13" t="s">
        <v>29</v>
      </c>
      <c r="C100" s="15">
        <v>5735.0166855649841</v>
      </c>
    </row>
    <row r="101" spans="2:3" x14ac:dyDescent="0.3">
      <c r="B101" s="13" t="s">
        <v>128</v>
      </c>
      <c r="C101" s="15">
        <v>5370.0599999999995</v>
      </c>
    </row>
    <row r="102" spans="2:3" x14ac:dyDescent="0.3">
      <c r="B102" s="13" t="s">
        <v>543</v>
      </c>
      <c r="C102" s="15">
        <v>5325.3</v>
      </c>
    </row>
    <row r="103" spans="2:3" x14ac:dyDescent="0.3">
      <c r="B103" s="13" t="s">
        <v>537</v>
      </c>
      <c r="C103" s="15">
        <v>5073.96</v>
      </c>
    </row>
    <row r="104" spans="2:3" x14ac:dyDescent="0.3">
      <c r="B104" s="13" t="s">
        <v>180</v>
      </c>
      <c r="C104" s="15">
        <v>4506.9887377049181</v>
      </c>
    </row>
    <row r="105" spans="2:3" x14ac:dyDescent="0.3">
      <c r="B105" s="13" t="s">
        <v>189</v>
      </c>
      <c r="C105" s="15">
        <v>4086.17</v>
      </c>
    </row>
    <row r="106" spans="2:3" x14ac:dyDescent="0.3">
      <c r="B106" s="13" t="s">
        <v>658</v>
      </c>
      <c r="C106" s="15">
        <v>3466.05</v>
      </c>
    </row>
    <row r="107" spans="2:3" x14ac:dyDescent="0.3">
      <c r="B107" s="13" t="s">
        <v>465</v>
      </c>
      <c r="C107" s="15">
        <v>3403.17</v>
      </c>
    </row>
    <row r="108" spans="2:3" x14ac:dyDescent="0.3">
      <c r="B108" s="13" t="s">
        <v>57</v>
      </c>
      <c r="C108" s="15">
        <v>3250.9847724058091</v>
      </c>
    </row>
    <row r="109" spans="2:3" x14ac:dyDescent="0.3">
      <c r="B109" s="13" t="s">
        <v>342</v>
      </c>
      <c r="C109" s="15">
        <v>2280.5500000000002</v>
      </c>
    </row>
    <row r="110" spans="2:3" x14ac:dyDescent="0.3">
      <c r="B110" s="13" t="s">
        <v>284</v>
      </c>
      <c r="C110" s="15">
        <v>2257.5299999999997</v>
      </c>
    </row>
    <row r="111" spans="2:3" x14ac:dyDescent="0.3">
      <c r="B111" s="13" t="s">
        <v>639</v>
      </c>
      <c r="C111" s="15">
        <v>2176.5499999999997</v>
      </c>
    </row>
    <row r="112" spans="2:3" x14ac:dyDescent="0.3">
      <c r="B112" s="13" t="s">
        <v>156</v>
      </c>
      <c r="C112" s="15">
        <v>1823.5353621346887</v>
      </c>
    </row>
    <row r="113" spans="2:3" x14ac:dyDescent="0.3">
      <c r="B113" s="13" t="s">
        <v>583</v>
      </c>
      <c r="C113" s="15">
        <v>1710.0700000000002</v>
      </c>
    </row>
    <row r="114" spans="2:3" x14ac:dyDescent="0.3">
      <c r="B114" s="13" t="s">
        <v>369</v>
      </c>
      <c r="C114" s="15">
        <v>1672.42</v>
      </c>
    </row>
    <row r="115" spans="2:3" x14ac:dyDescent="0.3">
      <c r="B115" s="13" t="s">
        <v>289</v>
      </c>
      <c r="C115" s="15">
        <v>1364.27</v>
      </c>
    </row>
    <row r="116" spans="2:3" x14ac:dyDescent="0.3">
      <c r="B116" s="13" t="s">
        <v>264</v>
      </c>
      <c r="C116" s="15">
        <v>1337.6399999999999</v>
      </c>
    </row>
    <row r="117" spans="2:3" x14ac:dyDescent="0.3">
      <c r="B117" s="13" t="s">
        <v>602</v>
      </c>
      <c r="C117" s="15">
        <v>1281.98</v>
      </c>
    </row>
    <row r="118" spans="2:3" x14ac:dyDescent="0.3">
      <c r="B118" s="13" t="s">
        <v>399</v>
      </c>
      <c r="C118" s="15">
        <v>1247.1100000000001</v>
      </c>
    </row>
    <row r="119" spans="2:3" x14ac:dyDescent="0.3">
      <c r="B119" s="13" t="s">
        <v>227</v>
      </c>
      <c r="C119" s="15">
        <v>1022.97</v>
      </c>
    </row>
    <row r="120" spans="2:3" x14ac:dyDescent="0.3">
      <c r="B120" s="13" t="s">
        <v>66</v>
      </c>
      <c r="C120" s="15">
        <v>890.23264951411829</v>
      </c>
    </row>
    <row r="121" spans="2:3" x14ac:dyDescent="0.3">
      <c r="B121" s="13" t="s">
        <v>111</v>
      </c>
      <c r="C121" s="15">
        <v>802.58</v>
      </c>
    </row>
    <row r="122" spans="2:3" x14ac:dyDescent="0.3">
      <c r="B122" s="13" t="s">
        <v>419</v>
      </c>
      <c r="C122" s="15">
        <v>797.31</v>
      </c>
    </row>
    <row r="123" spans="2:3" x14ac:dyDescent="0.3">
      <c r="B123" s="13" t="s">
        <v>496</v>
      </c>
      <c r="C123" s="15">
        <v>665.52</v>
      </c>
    </row>
    <row r="124" spans="2:3" x14ac:dyDescent="0.3">
      <c r="B124" s="13" t="s">
        <v>375</v>
      </c>
      <c r="C124" s="15">
        <v>652.92999999999995</v>
      </c>
    </row>
    <row r="125" spans="2:3" x14ac:dyDescent="0.3">
      <c r="B125" s="13" t="s">
        <v>235</v>
      </c>
      <c r="C125" s="15">
        <v>645.76</v>
      </c>
    </row>
    <row r="126" spans="2:3" x14ac:dyDescent="0.3">
      <c r="B126" s="13" t="s">
        <v>558</v>
      </c>
      <c r="C126" s="15">
        <v>524.43000000000006</v>
      </c>
    </row>
    <row r="127" spans="2:3" x14ac:dyDescent="0.3">
      <c r="B127" s="13" t="s">
        <v>210</v>
      </c>
      <c r="C127" s="15">
        <v>514.62</v>
      </c>
    </row>
    <row r="128" spans="2:3" x14ac:dyDescent="0.3">
      <c r="B128" s="13" t="s">
        <v>442</v>
      </c>
      <c r="C128" s="15">
        <v>489.47</v>
      </c>
    </row>
    <row r="129" spans="2:3" x14ac:dyDescent="0.3">
      <c r="B129" s="13" t="s">
        <v>251</v>
      </c>
      <c r="C129" s="15">
        <v>460.61</v>
      </c>
    </row>
    <row r="130" spans="2:3" x14ac:dyDescent="0.3">
      <c r="B130" s="13" t="s">
        <v>629</v>
      </c>
      <c r="C130" s="15">
        <v>450.04</v>
      </c>
    </row>
    <row r="131" spans="2:3" x14ac:dyDescent="0.3">
      <c r="B131" s="13" t="s">
        <v>501</v>
      </c>
      <c r="C131" s="15">
        <v>426.09</v>
      </c>
    </row>
    <row r="132" spans="2:3" x14ac:dyDescent="0.3">
      <c r="B132" s="13" t="s">
        <v>358</v>
      </c>
      <c r="C132" s="15">
        <v>357.01</v>
      </c>
    </row>
    <row r="133" spans="2:3" x14ac:dyDescent="0.3">
      <c r="B133" s="13" t="s">
        <v>712</v>
      </c>
      <c r="C133" s="15">
        <v>329.46</v>
      </c>
    </row>
    <row r="134" spans="2:3" x14ac:dyDescent="0.3">
      <c r="B134" s="13" t="s">
        <v>725</v>
      </c>
      <c r="C134" s="15">
        <v>252.94</v>
      </c>
    </row>
    <row r="135" spans="2:3" x14ac:dyDescent="0.3">
      <c r="B135" s="13" t="s">
        <v>135</v>
      </c>
      <c r="C135" s="15">
        <v>225.68648030495552</v>
      </c>
    </row>
    <row r="136" spans="2:3" x14ac:dyDescent="0.3">
      <c r="B136" s="13" t="s">
        <v>652</v>
      </c>
      <c r="C136" s="15">
        <v>220.23</v>
      </c>
    </row>
    <row r="137" spans="2:3" x14ac:dyDescent="0.3">
      <c r="B137" s="13" t="s">
        <v>508</v>
      </c>
      <c r="C137" s="15">
        <v>188.91</v>
      </c>
    </row>
    <row r="138" spans="2:3" x14ac:dyDescent="0.3">
      <c r="B138" s="13" t="s">
        <v>143</v>
      </c>
      <c r="C138" s="15">
        <v>165.18424396442191</v>
      </c>
    </row>
    <row r="139" spans="2:3" x14ac:dyDescent="0.3">
      <c r="B139" s="13" t="s">
        <v>122</v>
      </c>
      <c r="C139" s="15">
        <v>151.99888182973316</v>
      </c>
    </row>
    <row r="140" spans="2:3" x14ac:dyDescent="0.3">
      <c r="B140" s="13" t="s">
        <v>87</v>
      </c>
      <c r="C140" s="15">
        <v>132.71</v>
      </c>
    </row>
    <row r="141" spans="2:3" x14ac:dyDescent="0.3">
      <c r="B141" s="13" t="s">
        <v>350</v>
      </c>
      <c r="C141" s="15">
        <v>130.83000000000001</v>
      </c>
    </row>
    <row r="142" spans="2:3" x14ac:dyDescent="0.3">
      <c r="B142" s="13" t="s">
        <v>200</v>
      </c>
      <c r="C142" s="15">
        <v>95.84</v>
      </c>
    </row>
    <row r="143" spans="2:3" x14ac:dyDescent="0.3">
      <c r="B143" s="13" t="s">
        <v>384</v>
      </c>
      <c r="C143" s="15">
        <v>95.6</v>
      </c>
    </row>
    <row r="144" spans="2:3" x14ac:dyDescent="0.3">
      <c r="B144" s="13" t="s">
        <v>785</v>
      </c>
      <c r="C144" s="15">
        <v>63.9</v>
      </c>
    </row>
    <row r="145" spans="1:8" x14ac:dyDescent="0.3">
      <c r="B145" s="13" t="s">
        <v>293</v>
      </c>
      <c r="C145" s="15">
        <v>60.35</v>
      </c>
    </row>
    <row r="146" spans="1:8" x14ac:dyDescent="0.3">
      <c r="B146" s="13" t="s">
        <v>718</v>
      </c>
      <c r="C146" s="15">
        <v>54.94</v>
      </c>
    </row>
    <row r="147" spans="1:8" x14ac:dyDescent="0.3">
      <c r="B147" s="13" t="s">
        <v>239</v>
      </c>
      <c r="C147" s="15">
        <v>32.29</v>
      </c>
    </row>
    <row r="148" spans="1:8" x14ac:dyDescent="0.3">
      <c r="B148" s="13" t="s">
        <v>715</v>
      </c>
      <c r="C148" s="15">
        <v>26.61</v>
      </c>
    </row>
    <row r="149" spans="1:8" x14ac:dyDescent="0.3">
      <c r="B149" s="13" t="s">
        <v>761</v>
      </c>
      <c r="C149" s="15">
        <v>25.01</v>
      </c>
    </row>
    <row r="150" spans="1:8" x14ac:dyDescent="0.3">
      <c r="B150" s="13" t="s">
        <v>1381</v>
      </c>
      <c r="C150" s="15">
        <v>779361.08640891453</v>
      </c>
    </row>
    <row r="154" spans="1:8" x14ac:dyDescent="0.3">
      <c r="A154" t="s">
        <v>1405</v>
      </c>
      <c r="C154" s="14" t="s">
        <v>1406</v>
      </c>
    </row>
    <row r="156" spans="1:8" x14ac:dyDescent="0.3">
      <c r="B156" s="12" t="s">
        <v>1380</v>
      </c>
      <c r="C156" t="s">
        <v>1386</v>
      </c>
      <c r="D156" t="s">
        <v>1392</v>
      </c>
      <c r="E156" t="s">
        <v>1398</v>
      </c>
    </row>
    <row r="157" spans="1:8" x14ac:dyDescent="0.3">
      <c r="B157" s="13" t="s">
        <v>79</v>
      </c>
      <c r="C157">
        <v>166052.13999999998</v>
      </c>
      <c r="D157">
        <v>37109</v>
      </c>
      <c r="E157">
        <v>58</v>
      </c>
    </row>
    <row r="158" spans="1:8" x14ac:dyDescent="0.3">
      <c r="B158" s="13" t="s">
        <v>548</v>
      </c>
      <c r="C158">
        <v>48248.13</v>
      </c>
      <c r="D158">
        <v>35850</v>
      </c>
      <c r="E158">
        <v>9</v>
      </c>
      <c r="H158" s="38"/>
    </row>
    <row r="159" spans="1:8" x14ac:dyDescent="0.3">
      <c r="B159" s="13" t="s">
        <v>74</v>
      </c>
      <c r="C159">
        <v>44789.198512399998</v>
      </c>
      <c r="D159">
        <v>8438</v>
      </c>
      <c r="E159">
        <v>22</v>
      </c>
    </row>
    <row r="160" spans="1:8" x14ac:dyDescent="0.3">
      <c r="B160" s="13" t="s">
        <v>39</v>
      </c>
      <c r="C160">
        <v>34643.841313141762</v>
      </c>
      <c r="D160">
        <v>17000</v>
      </c>
      <c r="E160">
        <v>10</v>
      </c>
    </row>
    <row r="161" spans="2:5" x14ac:dyDescent="0.3">
      <c r="B161" s="13" t="s">
        <v>439</v>
      </c>
      <c r="C161">
        <v>29944.57</v>
      </c>
      <c r="D161">
        <v>18525</v>
      </c>
      <c r="E161">
        <v>4</v>
      </c>
    </row>
    <row r="162" spans="2:5" x14ac:dyDescent="0.3">
      <c r="B162" s="13" t="s">
        <v>314</v>
      </c>
      <c r="C162">
        <v>28832.079999999998</v>
      </c>
      <c r="D162">
        <v>9750</v>
      </c>
      <c r="E162">
        <v>9</v>
      </c>
    </row>
    <row r="163" spans="2:5" x14ac:dyDescent="0.3">
      <c r="B163" s="13" t="s">
        <v>636</v>
      </c>
      <c r="C163">
        <v>19211.45</v>
      </c>
      <c r="D163">
        <v>2725</v>
      </c>
      <c r="E163">
        <v>3</v>
      </c>
    </row>
    <row r="164" spans="2:5" x14ac:dyDescent="0.3">
      <c r="B164" s="13" t="s">
        <v>781</v>
      </c>
      <c r="C164">
        <v>18637.650000000001</v>
      </c>
      <c r="D164">
        <v>15000</v>
      </c>
      <c r="E164">
        <v>1</v>
      </c>
    </row>
    <row r="165" spans="2:5" x14ac:dyDescent="0.3">
      <c r="B165" s="13" t="s">
        <v>321</v>
      </c>
      <c r="C165">
        <v>17918.030000000002</v>
      </c>
      <c r="D165">
        <v>4030</v>
      </c>
      <c r="E165">
        <v>5</v>
      </c>
    </row>
    <row r="166" spans="2:5" x14ac:dyDescent="0.3">
      <c r="B166" s="13" t="s">
        <v>534</v>
      </c>
      <c r="C166">
        <v>17124.48</v>
      </c>
      <c r="D166">
        <v>11300</v>
      </c>
      <c r="E166">
        <v>7</v>
      </c>
    </row>
    <row r="167" spans="2:5" x14ac:dyDescent="0.3">
      <c r="B167" s="13" t="s">
        <v>430</v>
      </c>
      <c r="C167">
        <v>15464.65</v>
      </c>
      <c r="D167">
        <v>11500</v>
      </c>
      <c r="E167">
        <v>9</v>
      </c>
    </row>
    <row r="168" spans="2:5" x14ac:dyDescent="0.3">
      <c r="B168" s="13" t="s">
        <v>540</v>
      </c>
      <c r="C168">
        <v>14920.1</v>
      </c>
      <c r="D168">
        <v>9750</v>
      </c>
      <c r="E168">
        <v>4</v>
      </c>
    </row>
    <row r="169" spans="2:5" x14ac:dyDescent="0.3">
      <c r="B169" s="13" t="s">
        <v>489</v>
      </c>
      <c r="C169">
        <v>13714.179999999998</v>
      </c>
      <c r="D169">
        <v>8500</v>
      </c>
      <c r="E169">
        <v>4</v>
      </c>
    </row>
    <row r="170" spans="2:5" x14ac:dyDescent="0.3">
      <c r="B170" s="13" t="s">
        <v>205</v>
      </c>
      <c r="C170">
        <v>13333.93</v>
      </c>
      <c r="D170">
        <v>1940</v>
      </c>
      <c r="E170">
        <v>11</v>
      </c>
    </row>
    <row r="171" spans="2:5" x14ac:dyDescent="0.3">
      <c r="B171" s="13" t="s">
        <v>475</v>
      </c>
      <c r="C171">
        <v>13113.259999999998</v>
      </c>
      <c r="D171">
        <v>3000</v>
      </c>
      <c r="E171">
        <v>2</v>
      </c>
    </row>
    <row r="172" spans="2:5" x14ac:dyDescent="0.3">
      <c r="B172" s="13" t="s">
        <v>404</v>
      </c>
      <c r="C172">
        <v>12237.27</v>
      </c>
      <c r="D172">
        <v>7500</v>
      </c>
      <c r="E172">
        <v>4</v>
      </c>
    </row>
    <row r="173" spans="2:5" x14ac:dyDescent="0.3">
      <c r="B173" s="13" t="s">
        <v>48</v>
      </c>
      <c r="C173">
        <v>10783.926617017409</v>
      </c>
      <c r="D173">
        <v>1990</v>
      </c>
      <c r="E173">
        <v>4</v>
      </c>
    </row>
    <row r="174" spans="2:5" x14ac:dyDescent="0.3">
      <c r="B174" s="13" t="s">
        <v>533</v>
      </c>
      <c r="C174">
        <v>10112.85</v>
      </c>
      <c r="D174">
        <v>7050</v>
      </c>
      <c r="E174">
        <v>6</v>
      </c>
    </row>
    <row r="175" spans="2:5" x14ac:dyDescent="0.3">
      <c r="B175" s="13" t="s">
        <v>512</v>
      </c>
      <c r="C175">
        <v>10040.049999999999</v>
      </c>
      <c r="D175">
        <v>2000</v>
      </c>
      <c r="E175">
        <v>1</v>
      </c>
    </row>
    <row r="176" spans="2:5" x14ac:dyDescent="0.3">
      <c r="B176" s="13" t="s">
        <v>638</v>
      </c>
      <c r="C176">
        <v>9910.2800000000007</v>
      </c>
      <c r="D176">
        <v>6000</v>
      </c>
      <c r="E176">
        <v>3</v>
      </c>
    </row>
    <row r="177" spans="2:5" x14ac:dyDescent="0.3">
      <c r="B177" s="13" t="s">
        <v>569</v>
      </c>
      <c r="C177">
        <v>9435.1299999999992</v>
      </c>
      <c r="D177">
        <v>6000</v>
      </c>
      <c r="E177">
        <v>3</v>
      </c>
    </row>
    <row r="178" spans="2:5" x14ac:dyDescent="0.3">
      <c r="B178" s="13" t="s">
        <v>555</v>
      </c>
      <c r="C178">
        <v>9192.11</v>
      </c>
      <c r="D178">
        <v>2000</v>
      </c>
      <c r="E178">
        <v>1</v>
      </c>
    </row>
    <row r="179" spans="2:5" x14ac:dyDescent="0.3">
      <c r="B179" s="13" t="s">
        <v>378</v>
      </c>
      <c r="C179">
        <v>8813.73</v>
      </c>
      <c r="D179">
        <v>2700</v>
      </c>
      <c r="E179">
        <v>3</v>
      </c>
    </row>
    <row r="180" spans="2:5" x14ac:dyDescent="0.3">
      <c r="B180" s="13" t="s">
        <v>521</v>
      </c>
      <c r="C180">
        <v>8794.010000000002</v>
      </c>
      <c r="D180">
        <v>5700</v>
      </c>
      <c r="E180">
        <v>5</v>
      </c>
    </row>
    <row r="181" spans="2:5" x14ac:dyDescent="0.3">
      <c r="B181" s="13" t="s">
        <v>579</v>
      </c>
      <c r="C181">
        <v>8262.9499999999989</v>
      </c>
      <c r="D181">
        <v>5500</v>
      </c>
      <c r="E181">
        <v>5</v>
      </c>
    </row>
    <row r="182" spans="2:5" x14ac:dyDescent="0.3">
      <c r="B182" s="13" t="s">
        <v>479</v>
      </c>
      <c r="C182">
        <v>7367.8499999999985</v>
      </c>
      <c r="D182">
        <v>4500</v>
      </c>
      <c r="E182">
        <v>5</v>
      </c>
    </row>
    <row r="183" spans="2:5" x14ac:dyDescent="0.3">
      <c r="B183" s="13" t="s">
        <v>519</v>
      </c>
      <c r="C183">
        <v>7139.02</v>
      </c>
      <c r="D183">
        <v>5000</v>
      </c>
      <c r="E183">
        <v>5</v>
      </c>
    </row>
    <row r="184" spans="2:5" x14ac:dyDescent="0.3">
      <c r="B184" s="13" t="s">
        <v>737</v>
      </c>
      <c r="C184">
        <v>6356.37</v>
      </c>
      <c r="D184">
        <v>4500</v>
      </c>
      <c r="E184">
        <v>2</v>
      </c>
    </row>
    <row r="185" spans="2:5" x14ac:dyDescent="0.3">
      <c r="B185" s="13" t="s">
        <v>758</v>
      </c>
      <c r="C185">
        <v>5846.75</v>
      </c>
      <c r="D185">
        <v>5000</v>
      </c>
      <c r="E185">
        <v>1</v>
      </c>
    </row>
    <row r="186" spans="2:5" x14ac:dyDescent="0.3">
      <c r="B186" s="13" t="s">
        <v>778</v>
      </c>
      <c r="C186">
        <v>5496.73</v>
      </c>
      <c r="D186">
        <v>1500</v>
      </c>
      <c r="E186">
        <v>1</v>
      </c>
    </row>
    <row r="187" spans="2:5" x14ac:dyDescent="0.3">
      <c r="B187" s="13" t="s">
        <v>329</v>
      </c>
      <c r="C187">
        <v>5472.4</v>
      </c>
      <c r="D187">
        <v>2400</v>
      </c>
      <c r="E187">
        <v>4</v>
      </c>
    </row>
    <row r="188" spans="2:5" x14ac:dyDescent="0.3">
      <c r="B188" s="13" t="s">
        <v>505</v>
      </c>
      <c r="C188">
        <v>5248.08</v>
      </c>
      <c r="D188">
        <v>3175</v>
      </c>
      <c r="E188">
        <v>2</v>
      </c>
    </row>
    <row r="189" spans="2:5" x14ac:dyDescent="0.3">
      <c r="B189" s="13" t="s">
        <v>593</v>
      </c>
      <c r="C189">
        <v>4943.26</v>
      </c>
      <c r="D189">
        <v>3000</v>
      </c>
      <c r="E189">
        <v>1</v>
      </c>
    </row>
    <row r="190" spans="2:5" x14ac:dyDescent="0.3">
      <c r="B190" s="13" t="s">
        <v>364</v>
      </c>
      <c r="C190">
        <v>4608.6000000000004</v>
      </c>
      <c r="D190">
        <v>800</v>
      </c>
      <c r="E190">
        <v>2</v>
      </c>
    </row>
    <row r="191" spans="2:5" x14ac:dyDescent="0.3">
      <c r="B191" s="13" t="s">
        <v>427</v>
      </c>
      <c r="C191">
        <v>4589.62</v>
      </c>
      <c r="D191">
        <v>2500</v>
      </c>
      <c r="E191">
        <v>2</v>
      </c>
    </row>
    <row r="192" spans="2:5" x14ac:dyDescent="0.3">
      <c r="B192" s="13" t="s">
        <v>705</v>
      </c>
      <c r="C192">
        <v>4571.71</v>
      </c>
      <c r="D192">
        <v>4000</v>
      </c>
      <c r="E192">
        <v>1</v>
      </c>
    </row>
    <row r="193" spans="2:5" x14ac:dyDescent="0.3">
      <c r="B193" s="13" t="s">
        <v>607</v>
      </c>
      <c r="C193">
        <v>4057.62</v>
      </c>
      <c r="D193">
        <v>2500</v>
      </c>
      <c r="E193">
        <v>2</v>
      </c>
    </row>
    <row r="194" spans="2:5" x14ac:dyDescent="0.3">
      <c r="B194" s="13" t="s">
        <v>244</v>
      </c>
      <c r="C194">
        <v>3869.08</v>
      </c>
      <c r="D194">
        <v>3250</v>
      </c>
      <c r="E194">
        <v>5</v>
      </c>
    </row>
    <row r="195" spans="2:5" x14ac:dyDescent="0.3">
      <c r="B195" s="13" t="s">
        <v>655</v>
      </c>
      <c r="C195">
        <v>3825.09</v>
      </c>
      <c r="D195">
        <v>3000</v>
      </c>
      <c r="E195">
        <v>1</v>
      </c>
    </row>
    <row r="196" spans="2:5" x14ac:dyDescent="0.3">
      <c r="B196" s="13" t="s">
        <v>341</v>
      </c>
      <c r="C196">
        <v>3692.7000000000003</v>
      </c>
      <c r="D196">
        <v>550</v>
      </c>
      <c r="E196">
        <v>6</v>
      </c>
    </row>
    <row r="197" spans="2:5" x14ac:dyDescent="0.3">
      <c r="B197" s="13" t="s">
        <v>734</v>
      </c>
      <c r="C197">
        <v>3602.25</v>
      </c>
      <c r="D197">
        <v>2500</v>
      </c>
      <c r="E197">
        <v>1</v>
      </c>
    </row>
    <row r="198" spans="2:5" x14ac:dyDescent="0.3">
      <c r="B198" s="13" t="s">
        <v>354</v>
      </c>
      <c r="C198">
        <v>3579.04</v>
      </c>
      <c r="D198">
        <v>520</v>
      </c>
      <c r="E198">
        <v>2</v>
      </c>
    </row>
    <row r="199" spans="2:5" x14ac:dyDescent="0.3">
      <c r="B199" s="13" t="s">
        <v>707</v>
      </c>
      <c r="C199">
        <v>3492.0200000000004</v>
      </c>
      <c r="D199">
        <v>2850</v>
      </c>
      <c r="E199">
        <v>2</v>
      </c>
    </row>
    <row r="200" spans="2:5" x14ac:dyDescent="0.3">
      <c r="B200" s="13" t="s">
        <v>611</v>
      </c>
      <c r="C200">
        <v>3393.29</v>
      </c>
      <c r="D200">
        <v>1500</v>
      </c>
      <c r="E200">
        <v>1</v>
      </c>
    </row>
    <row r="201" spans="2:5" x14ac:dyDescent="0.3">
      <c r="B201" s="13" t="s">
        <v>514</v>
      </c>
      <c r="C201">
        <v>3357.3100000000004</v>
      </c>
      <c r="D201">
        <v>2450</v>
      </c>
      <c r="E201">
        <v>3</v>
      </c>
    </row>
    <row r="202" spans="2:5" x14ac:dyDescent="0.3">
      <c r="B202" s="13" t="s">
        <v>302</v>
      </c>
      <c r="C202">
        <v>3253.82</v>
      </c>
      <c r="D202">
        <v>450</v>
      </c>
      <c r="E202">
        <v>2</v>
      </c>
    </row>
    <row r="203" spans="2:5" x14ac:dyDescent="0.3">
      <c r="B203" s="13" t="s">
        <v>56</v>
      </c>
      <c r="C203">
        <v>3250.9847724058091</v>
      </c>
      <c r="D203">
        <v>2500</v>
      </c>
      <c r="E203">
        <v>2</v>
      </c>
    </row>
    <row r="204" spans="2:5" x14ac:dyDescent="0.3">
      <c r="B204" s="13" t="s">
        <v>538</v>
      </c>
      <c r="C204">
        <v>3159.99</v>
      </c>
      <c r="D204">
        <v>2450</v>
      </c>
      <c r="E204">
        <v>5</v>
      </c>
    </row>
    <row r="205" spans="2:5" x14ac:dyDescent="0.3">
      <c r="B205" s="13" t="s">
        <v>634</v>
      </c>
      <c r="C205">
        <v>3064.3999999999996</v>
      </c>
      <c r="D205">
        <v>2000</v>
      </c>
      <c r="E205">
        <v>2</v>
      </c>
    </row>
    <row r="206" spans="2:5" x14ac:dyDescent="0.3">
      <c r="B206" s="13" t="s">
        <v>414</v>
      </c>
      <c r="C206">
        <v>3035.28</v>
      </c>
      <c r="D206">
        <v>500</v>
      </c>
      <c r="E206">
        <v>1</v>
      </c>
    </row>
    <row r="207" spans="2:5" x14ac:dyDescent="0.3">
      <c r="B207" s="13" t="s">
        <v>722</v>
      </c>
      <c r="C207">
        <v>2844.3</v>
      </c>
      <c r="D207">
        <v>412.5</v>
      </c>
      <c r="E207">
        <v>2</v>
      </c>
    </row>
    <row r="208" spans="2:5" x14ac:dyDescent="0.3">
      <c r="B208" s="13" t="s">
        <v>388</v>
      </c>
      <c r="C208">
        <v>2279.11</v>
      </c>
      <c r="D208">
        <v>423</v>
      </c>
      <c r="E208">
        <v>2</v>
      </c>
    </row>
    <row r="209" spans="2:5" x14ac:dyDescent="0.3">
      <c r="B209" s="13" t="s">
        <v>283</v>
      </c>
      <c r="C209">
        <v>2257.5299999999997</v>
      </c>
      <c r="D209">
        <v>288</v>
      </c>
      <c r="E209">
        <v>2</v>
      </c>
    </row>
    <row r="210" spans="2:5" x14ac:dyDescent="0.3">
      <c r="B210" s="13" t="s">
        <v>436</v>
      </c>
      <c r="C210">
        <v>2119.96</v>
      </c>
      <c r="D210">
        <v>1500</v>
      </c>
      <c r="E210">
        <v>8</v>
      </c>
    </row>
    <row r="211" spans="2:5" x14ac:dyDescent="0.3">
      <c r="B211" s="13" t="s">
        <v>148</v>
      </c>
      <c r="C211">
        <v>2020.3303684879284</v>
      </c>
      <c r="D211">
        <v>300</v>
      </c>
      <c r="E211">
        <v>2</v>
      </c>
    </row>
    <row r="212" spans="2:5" x14ac:dyDescent="0.3">
      <c r="B212" s="13" t="s">
        <v>234</v>
      </c>
      <c r="C212">
        <v>2010.03</v>
      </c>
      <c r="D212">
        <v>300</v>
      </c>
      <c r="E212">
        <v>2</v>
      </c>
    </row>
    <row r="213" spans="2:5" x14ac:dyDescent="0.3">
      <c r="B213" s="13" t="s">
        <v>486</v>
      </c>
      <c r="C213">
        <v>1989.95</v>
      </c>
      <c r="D213">
        <v>252</v>
      </c>
      <c r="E213">
        <v>3</v>
      </c>
    </row>
    <row r="214" spans="2:5" x14ac:dyDescent="0.3">
      <c r="B214" s="13" t="s">
        <v>794</v>
      </c>
      <c r="C214">
        <v>1904.18</v>
      </c>
      <c r="D214">
        <v>300</v>
      </c>
      <c r="E214">
        <v>1</v>
      </c>
    </row>
    <row r="215" spans="2:5" x14ac:dyDescent="0.3">
      <c r="B215" s="13" t="s">
        <v>447</v>
      </c>
      <c r="C215">
        <v>1843.87</v>
      </c>
      <c r="D215">
        <v>294</v>
      </c>
      <c r="E215">
        <v>1</v>
      </c>
    </row>
    <row r="216" spans="2:5" x14ac:dyDescent="0.3">
      <c r="B216" s="13" t="s">
        <v>416</v>
      </c>
      <c r="C216">
        <v>1825.61</v>
      </c>
      <c r="D216">
        <v>300</v>
      </c>
      <c r="E216">
        <v>1</v>
      </c>
    </row>
    <row r="217" spans="2:5" x14ac:dyDescent="0.3">
      <c r="B217" s="13" t="s">
        <v>745</v>
      </c>
      <c r="C217">
        <v>1797.89</v>
      </c>
      <c r="D217">
        <v>1550</v>
      </c>
      <c r="E217">
        <v>1</v>
      </c>
    </row>
    <row r="218" spans="2:5" x14ac:dyDescent="0.3">
      <c r="B218" s="13" t="s">
        <v>250</v>
      </c>
      <c r="C218">
        <v>1742.59</v>
      </c>
      <c r="D218">
        <v>206</v>
      </c>
      <c r="E218">
        <v>3</v>
      </c>
    </row>
    <row r="219" spans="2:5" x14ac:dyDescent="0.3">
      <c r="B219" s="13" t="s">
        <v>483</v>
      </c>
      <c r="C219">
        <v>1703.61</v>
      </c>
      <c r="D219">
        <v>1000</v>
      </c>
      <c r="E219">
        <v>1</v>
      </c>
    </row>
    <row r="220" spans="2:5" x14ac:dyDescent="0.3">
      <c r="B220" s="13" t="s">
        <v>482</v>
      </c>
      <c r="C220">
        <v>1703.61</v>
      </c>
      <c r="D220">
        <v>1000</v>
      </c>
      <c r="E220">
        <v>1</v>
      </c>
    </row>
    <row r="221" spans="2:5" x14ac:dyDescent="0.3">
      <c r="B221" s="13" t="s">
        <v>515</v>
      </c>
      <c r="C221">
        <v>1692.34</v>
      </c>
      <c r="D221">
        <v>1000</v>
      </c>
      <c r="E221">
        <v>1</v>
      </c>
    </row>
    <row r="222" spans="2:5" x14ac:dyDescent="0.3">
      <c r="B222" s="13" t="s">
        <v>539</v>
      </c>
      <c r="C222">
        <v>1691.32</v>
      </c>
      <c r="D222">
        <v>1000</v>
      </c>
      <c r="E222">
        <v>1</v>
      </c>
    </row>
    <row r="223" spans="2:5" x14ac:dyDescent="0.3">
      <c r="B223" s="13" t="s">
        <v>368</v>
      </c>
      <c r="C223">
        <v>1672.42</v>
      </c>
      <c r="D223">
        <v>1200</v>
      </c>
      <c r="E223">
        <v>1</v>
      </c>
    </row>
    <row r="224" spans="2:5" x14ac:dyDescent="0.3">
      <c r="B224" s="13" t="s">
        <v>179</v>
      </c>
      <c r="C224">
        <v>1613.69</v>
      </c>
      <c r="D224">
        <v>250</v>
      </c>
      <c r="E224">
        <v>1</v>
      </c>
    </row>
    <row r="225" spans="2:5" x14ac:dyDescent="0.3">
      <c r="B225" s="13" t="s">
        <v>657</v>
      </c>
      <c r="C225">
        <v>1561.87</v>
      </c>
      <c r="D225">
        <v>250</v>
      </c>
      <c r="E225">
        <v>1</v>
      </c>
    </row>
    <row r="226" spans="2:5" x14ac:dyDescent="0.3">
      <c r="B226" s="13" t="s">
        <v>320</v>
      </c>
      <c r="C226">
        <v>1449.54</v>
      </c>
      <c r="D226">
        <v>275</v>
      </c>
      <c r="E226">
        <v>4</v>
      </c>
    </row>
    <row r="227" spans="2:5" x14ac:dyDescent="0.3">
      <c r="B227" s="13" t="s">
        <v>535</v>
      </c>
      <c r="C227">
        <v>1447.6799999999998</v>
      </c>
      <c r="D227">
        <v>1050</v>
      </c>
      <c r="E227">
        <v>2</v>
      </c>
    </row>
    <row r="228" spans="2:5" x14ac:dyDescent="0.3">
      <c r="B228" s="13" t="s">
        <v>750</v>
      </c>
      <c r="C228">
        <v>1301.82</v>
      </c>
      <c r="D228">
        <v>260</v>
      </c>
      <c r="E228">
        <v>3</v>
      </c>
    </row>
    <row r="229" spans="2:5" x14ac:dyDescent="0.3">
      <c r="B229" s="13" t="s">
        <v>273</v>
      </c>
      <c r="C229">
        <v>1242.3800000000001</v>
      </c>
      <c r="D229">
        <v>137.5</v>
      </c>
      <c r="E229">
        <v>3</v>
      </c>
    </row>
    <row r="230" spans="2:5" x14ac:dyDescent="0.3">
      <c r="B230" s="13" t="s">
        <v>471</v>
      </c>
      <c r="C230">
        <v>1120.1199999999999</v>
      </c>
      <c r="D230">
        <v>150</v>
      </c>
      <c r="E230">
        <v>2</v>
      </c>
    </row>
    <row r="231" spans="2:5" x14ac:dyDescent="0.3">
      <c r="B231" s="13" t="s">
        <v>706</v>
      </c>
      <c r="C231">
        <v>1114.3499999999999</v>
      </c>
      <c r="D231">
        <v>975</v>
      </c>
      <c r="E231">
        <v>1</v>
      </c>
    </row>
    <row r="232" spans="2:5" x14ac:dyDescent="0.3">
      <c r="B232" s="13" t="s">
        <v>326</v>
      </c>
      <c r="C232">
        <v>1065.82</v>
      </c>
      <c r="D232">
        <v>120.2</v>
      </c>
      <c r="E232">
        <v>2</v>
      </c>
    </row>
    <row r="233" spans="2:5" x14ac:dyDescent="0.3">
      <c r="B233" s="13" t="s">
        <v>337</v>
      </c>
      <c r="C233">
        <v>1064.0700000000002</v>
      </c>
      <c r="D233">
        <v>209.5</v>
      </c>
      <c r="E233">
        <v>3</v>
      </c>
    </row>
    <row r="234" spans="2:5" x14ac:dyDescent="0.3">
      <c r="B234" s="13" t="s">
        <v>226</v>
      </c>
      <c r="C234">
        <v>1022.97</v>
      </c>
      <c r="D234">
        <v>111.6</v>
      </c>
      <c r="E234">
        <v>1</v>
      </c>
    </row>
    <row r="235" spans="2:5" x14ac:dyDescent="0.3">
      <c r="B235" s="13" t="s">
        <v>459</v>
      </c>
      <c r="C235">
        <v>954.63</v>
      </c>
      <c r="D235">
        <v>175</v>
      </c>
      <c r="E235">
        <v>1</v>
      </c>
    </row>
    <row r="236" spans="2:5" x14ac:dyDescent="0.3">
      <c r="B236" s="13" t="s">
        <v>673</v>
      </c>
      <c r="C236">
        <v>903.98</v>
      </c>
      <c r="D236">
        <v>150</v>
      </c>
      <c r="E236">
        <v>1</v>
      </c>
    </row>
    <row r="237" spans="2:5" x14ac:dyDescent="0.3">
      <c r="B237" s="13" t="s">
        <v>739</v>
      </c>
      <c r="C237">
        <v>896.66</v>
      </c>
      <c r="D237">
        <v>200</v>
      </c>
      <c r="E237">
        <v>1</v>
      </c>
    </row>
    <row r="238" spans="2:5" x14ac:dyDescent="0.3">
      <c r="B238" s="13" t="s">
        <v>642</v>
      </c>
      <c r="C238">
        <v>893.76</v>
      </c>
      <c r="D238">
        <v>100</v>
      </c>
      <c r="E238">
        <v>1</v>
      </c>
    </row>
    <row r="239" spans="2:5" x14ac:dyDescent="0.3">
      <c r="B239" s="13" t="s">
        <v>549</v>
      </c>
      <c r="C239">
        <v>826.43</v>
      </c>
      <c r="D239">
        <v>500</v>
      </c>
      <c r="E239">
        <v>1</v>
      </c>
    </row>
    <row r="240" spans="2:5" x14ac:dyDescent="0.3">
      <c r="B240" s="13" t="s">
        <v>662</v>
      </c>
      <c r="C240">
        <v>816.02</v>
      </c>
      <c r="D240">
        <v>200</v>
      </c>
      <c r="E240">
        <v>4</v>
      </c>
    </row>
    <row r="241" spans="2:5" x14ac:dyDescent="0.3">
      <c r="B241" s="13" t="s">
        <v>624</v>
      </c>
      <c r="C241">
        <v>802.9</v>
      </c>
      <c r="D241">
        <v>500</v>
      </c>
      <c r="E241">
        <v>1</v>
      </c>
    </row>
    <row r="242" spans="2:5" x14ac:dyDescent="0.3">
      <c r="B242" s="13" t="s">
        <v>110</v>
      </c>
      <c r="C242">
        <v>802.58</v>
      </c>
      <c r="D242">
        <v>80</v>
      </c>
      <c r="E242">
        <v>4</v>
      </c>
    </row>
    <row r="243" spans="2:5" x14ac:dyDescent="0.3">
      <c r="B243" s="13" t="s">
        <v>645</v>
      </c>
      <c r="C243">
        <v>802.24</v>
      </c>
      <c r="D243">
        <v>105</v>
      </c>
      <c r="E243">
        <v>1</v>
      </c>
    </row>
    <row r="244" spans="2:5" x14ac:dyDescent="0.3">
      <c r="B244" s="13" t="s">
        <v>620</v>
      </c>
      <c r="C244">
        <v>796.89</v>
      </c>
      <c r="D244">
        <v>500</v>
      </c>
      <c r="E244">
        <v>1</v>
      </c>
    </row>
    <row r="245" spans="2:5" x14ac:dyDescent="0.3">
      <c r="B245" s="13" t="s">
        <v>392</v>
      </c>
      <c r="C245">
        <v>788.41</v>
      </c>
      <c r="D245">
        <v>96</v>
      </c>
      <c r="E245">
        <v>1</v>
      </c>
    </row>
    <row r="246" spans="2:5" x14ac:dyDescent="0.3">
      <c r="B246" s="13" t="s">
        <v>597</v>
      </c>
      <c r="C246">
        <v>772.63</v>
      </c>
      <c r="D246">
        <v>160</v>
      </c>
      <c r="E246">
        <v>2</v>
      </c>
    </row>
    <row r="247" spans="2:5" x14ac:dyDescent="0.3">
      <c r="B247" s="13" t="s">
        <v>741</v>
      </c>
      <c r="C247">
        <v>738.08</v>
      </c>
      <c r="D247">
        <v>175</v>
      </c>
      <c r="E247">
        <v>2</v>
      </c>
    </row>
    <row r="248" spans="2:5" x14ac:dyDescent="0.3">
      <c r="B248" s="13" t="s">
        <v>492</v>
      </c>
      <c r="C248">
        <v>725.16</v>
      </c>
      <c r="D248">
        <v>60</v>
      </c>
      <c r="E248">
        <v>2</v>
      </c>
    </row>
    <row r="249" spans="2:5" x14ac:dyDescent="0.3">
      <c r="B249" s="13" t="s">
        <v>766</v>
      </c>
      <c r="C249">
        <v>706.88</v>
      </c>
      <c r="D249">
        <v>162</v>
      </c>
      <c r="E249">
        <v>4</v>
      </c>
    </row>
    <row r="250" spans="2:5" x14ac:dyDescent="0.3">
      <c r="B250" s="13" t="s">
        <v>765</v>
      </c>
      <c r="C250">
        <v>679.15</v>
      </c>
      <c r="D250">
        <v>500</v>
      </c>
      <c r="E250">
        <v>1</v>
      </c>
    </row>
    <row r="251" spans="2:5" x14ac:dyDescent="0.3">
      <c r="B251" s="13" t="s">
        <v>699</v>
      </c>
      <c r="C251">
        <v>637</v>
      </c>
      <c r="D251">
        <v>100</v>
      </c>
      <c r="E251">
        <v>1</v>
      </c>
    </row>
    <row r="252" spans="2:5" x14ac:dyDescent="0.3">
      <c r="B252" s="13" t="s">
        <v>445</v>
      </c>
      <c r="C252">
        <v>614.8900000000001</v>
      </c>
      <c r="D252">
        <v>400</v>
      </c>
      <c r="E252">
        <v>3</v>
      </c>
    </row>
    <row r="253" spans="2:5" x14ac:dyDescent="0.3">
      <c r="B253" s="13" t="s">
        <v>464</v>
      </c>
      <c r="C253">
        <v>564.76</v>
      </c>
      <c r="D253">
        <v>110</v>
      </c>
      <c r="E253">
        <v>4</v>
      </c>
    </row>
    <row r="254" spans="2:5" x14ac:dyDescent="0.3">
      <c r="B254" s="13" t="s">
        <v>168</v>
      </c>
      <c r="C254">
        <v>553.99085158150842</v>
      </c>
      <c r="D254">
        <v>70</v>
      </c>
      <c r="E254">
        <v>2</v>
      </c>
    </row>
    <row r="255" spans="2:5" x14ac:dyDescent="0.3">
      <c r="B255" s="13" t="s">
        <v>65</v>
      </c>
      <c r="C255">
        <v>514.21364708102828</v>
      </c>
      <c r="D255">
        <v>64</v>
      </c>
      <c r="E255">
        <v>2</v>
      </c>
    </row>
    <row r="256" spans="2:5" x14ac:dyDescent="0.3">
      <c r="B256" s="13" t="s">
        <v>257</v>
      </c>
      <c r="C256">
        <v>490.94000000000005</v>
      </c>
      <c r="D256">
        <v>88</v>
      </c>
      <c r="E256">
        <v>3</v>
      </c>
    </row>
    <row r="257" spans="2:5" x14ac:dyDescent="0.3">
      <c r="B257" s="13" t="s">
        <v>183</v>
      </c>
      <c r="C257">
        <v>464.55</v>
      </c>
      <c r="D257">
        <v>100</v>
      </c>
      <c r="E257">
        <v>1</v>
      </c>
    </row>
    <row r="258" spans="2:5" x14ac:dyDescent="0.3">
      <c r="B258" s="13" t="s">
        <v>277</v>
      </c>
      <c r="C258">
        <v>457.78</v>
      </c>
      <c r="D258">
        <v>50</v>
      </c>
      <c r="E258">
        <v>1</v>
      </c>
    </row>
    <row r="259" spans="2:5" x14ac:dyDescent="0.3">
      <c r="B259" s="13" t="s">
        <v>628</v>
      </c>
      <c r="C259">
        <v>450.04</v>
      </c>
      <c r="D259">
        <v>60</v>
      </c>
      <c r="E259">
        <v>2</v>
      </c>
    </row>
    <row r="260" spans="2:5" x14ac:dyDescent="0.3">
      <c r="B260" s="13" t="s">
        <v>529</v>
      </c>
      <c r="C260">
        <v>437.90999999999997</v>
      </c>
      <c r="D260">
        <v>60</v>
      </c>
      <c r="E260">
        <v>3</v>
      </c>
    </row>
    <row r="261" spans="2:5" x14ac:dyDescent="0.3">
      <c r="B261" s="13" t="s">
        <v>605</v>
      </c>
      <c r="C261">
        <v>437.63</v>
      </c>
      <c r="D261">
        <v>100</v>
      </c>
      <c r="E261">
        <v>1</v>
      </c>
    </row>
    <row r="262" spans="2:5" x14ac:dyDescent="0.3">
      <c r="B262" s="13" t="s">
        <v>500</v>
      </c>
      <c r="C262">
        <v>426.09</v>
      </c>
      <c r="D262">
        <v>145</v>
      </c>
      <c r="E262">
        <v>2</v>
      </c>
    </row>
    <row r="263" spans="2:5" x14ac:dyDescent="0.3">
      <c r="B263" s="13" t="s">
        <v>772</v>
      </c>
      <c r="C263">
        <v>419.17</v>
      </c>
      <c r="D263">
        <v>100</v>
      </c>
      <c r="E263">
        <v>1</v>
      </c>
    </row>
    <row r="264" spans="2:5" x14ac:dyDescent="0.3">
      <c r="B264" s="13" t="s">
        <v>665</v>
      </c>
      <c r="C264">
        <v>393.74</v>
      </c>
      <c r="D264">
        <v>100</v>
      </c>
      <c r="E264">
        <v>1</v>
      </c>
    </row>
    <row r="265" spans="2:5" x14ac:dyDescent="0.3">
      <c r="B265" s="13" t="s">
        <v>102</v>
      </c>
      <c r="C265">
        <v>390.63</v>
      </c>
      <c r="D265">
        <v>45</v>
      </c>
      <c r="E265">
        <v>1</v>
      </c>
    </row>
    <row r="266" spans="2:5" x14ac:dyDescent="0.3">
      <c r="B266" s="13" t="s">
        <v>209</v>
      </c>
      <c r="C266">
        <v>382.67</v>
      </c>
      <c r="D266">
        <v>62.4</v>
      </c>
      <c r="E266">
        <v>1</v>
      </c>
    </row>
    <row r="267" spans="2:5" x14ac:dyDescent="0.3">
      <c r="B267" s="13" t="s">
        <v>357</v>
      </c>
      <c r="C267">
        <v>357.01</v>
      </c>
      <c r="D267">
        <v>50</v>
      </c>
      <c r="E267">
        <v>1</v>
      </c>
    </row>
    <row r="268" spans="2:5" x14ac:dyDescent="0.3">
      <c r="B268" s="13" t="s">
        <v>196</v>
      </c>
      <c r="C268">
        <v>334.83000000000004</v>
      </c>
      <c r="D268">
        <v>56</v>
      </c>
      <c r="E268">
        <v>2</v>
      </c>
    </row>
    <row r="269" spans="2:5" x14ac:dyDescent="0.3">
      <c r="B269" s="13" t="s">
        <v>450</v>
      </c>
      <c r="C269">
        <v>333.62</v>
      </c>
      <c r="D269">
        <v>200</v>
      </c>
      <c r="E269">
        <v>2</v>
      </c>
    </row>
    <row r="270" spans="2:5" x14ac:dyDescent="0.3">
      <c r="B270" s="13" t="s">
        <v>524</v>
      </c>
      <c r="C270">
        <v>323.58999999999997</v>
      </c>
      <c r="D270">
        <v>50</v>
      </c>
      <c r="E270">
        <v>2</v>
      </c>
    </row>
    <row r="271" spans="2:5" x14ac:dyDescent="0.3">
      <c r="B271" s="13" t="s">
        <v>582</v>
      </c>
      <c r="C271">
        <v>308.67</v>
      </c>
      <c r="D271">
        <v>48</v>
      </c>
      <c r="E271">
        <v>1</v>
      </c>
    </row>
    <row r="272" spans="2:5" x14ac:dyDescent="0.3">
      <c r="B272" s="13" t="s">
        <v>398</v>
      </c>
      <c r="C272">
        <v>298.89</v>
      </c>
      <c r="D272">
        <v>50</v>
      </c>
      <c r="E272">
        <v>1</v>
      </c>
    </row>
    <row r="273" spans="2:5" x14ac:dyDescent="0.3">
      <c r="B273" s="13" t="s">
        <v>695</v>
      </c>
      <c r="C273">
        <v>297</v>
      </c>
      <c r="D273">
        <v>25.16</v>
      </c>
      <c r="E273">
        <v>1</v>
      </c>
    </row>
    <row r="274" spans="2:5" x14ac:dyDescent="0.3">
      <c r="B274" s="13" t="s">
        <v>752</v>
      </c>
      <c r="C274">
        <v>268.05</v>
      </c>
      <c r="D274">
        <v>46</v>
      </c>
      <c r="E274">
        <v>4</v>
      </c>
    </row>
    <row r="275" spans="2:5" x14ac:dyDescent="0.3">
      <c r="B275" s="13" t="s">
        <v>789</v>
      </c>
      <c r="C275">
        <v>257.61</v>
      </c>
      <c r="D275">
        <v>50</v>
      </c>
      <c r="E275">
        <v>2</v>
      </c>
    </row>
    <row r="276" spans="2:5" x14ac:dyDescent="0.3">
      <c r="B276" s="13" t="s">
        <v>161</v>
      </c>
      <c r="C276">
        <v>243.30900243309</v>
      </c>
      <c r="D276">
        <v>38.4</v>
      </c>
      <c r="E276">
        <v>2</v>
      </c>
    </row>
    <row r="277" spans="2:5" x14ac:dyDescent="0.3">
      <c r="B277" s="13" t="s">
        <v>651</v>
      </c>
      <c r="C277">
        <v>220.23</v>
      </c>
      <c r="D277">
        <v>50</v>
      </c>
      <c r="E277">
        <v>1</v>
      </c>
    </row>
    <row r="278" spans="2:5" x14ac:dyDescent="0.3">
      <c r="B278" s="13" t="s">
        <v>804</v>
      </c>
      <c r="C278">
        <v>214.67</v>
      </c>
      <c r="D278">
        <v>49.5</v>
      </c>
      <c r="E278">
        <v>1</v>
      </c>
    </row>
    <row r="279" spans="2:5" x14ac:dyDescent="0.3">
      <c r="B279" s="13" t="s">
        <v>575</v>
      </c>
      <c r="C279">
        <v>212.39093286219079</v>
      </c>
      <c r="D279">
        <v>20</v>
      </c>
      <c r="E279">
        <v>1</v>
      </c>
    </row>
    <row r="280" spans="2:5" x14ac:dyDescent="0.3">
      <c r="B280" s="13" t="s">
        <v>775</v>
      </c>
      <c r="C280">
        <v>207.98</v>
      </c>
      <c r="D280">
        <v>39.200000000000003</v>
      </c>
      <c r="E280">
        <v>1</v>
      </c>
    </row>
    <row r="281" spans="2:5" x14ac:dyDescent="0.3">
      <c r="B281" s="13" t="s">
        <v>552</v>
      </c>
      <c r="C281">
        <v>199.77</v>
      </c>
      <c r="D281">
        <v>40</v>
      </c>
      <c r="E281">
        <v>2</v>
      </c>
    </row>
    <row r="282" spans="2:5" x14ac:dyDescent="0.3">
      <c r="B282" s="13" t="s">
        <v>507</v>
      </c>
      <c r="C282">
        <v>188.91</v>
      </c>
      <c r="D282">
        <v>11.7</v>
      </c>
      <c r="E282">
        <v>1</v>
      </c>
    </row>
    <row r="283" spans="2:5" x14ac:dyDescent="0.3">
      <c r="B283" s="13" t="s">
        <v>281</v>
      </c>
      <c r="C283">
        <v>168.66</v>
      </c>
      <c r="D283">
        <v>25</v>
      </c>
      <c r="E283">
        <v>1</v>
      </c>
    </row>
    <row r="284" spans="2:5" x14ac:dyDescent="0.3">
      <c r="B284" s="13" t="s">
        <v>517</v>
      </c>
      <c r="C284">
        <v>166.18</v>
      </c>
      <c r="D284">
        <v>100</v>
      </c>
      <c r="E284">
        <v>1</v>
      </c>
    </row>
    <row r="285" spans="2:5" x14ac:dyDescent="0.3">
      <c r="B285" s="13" t="s">
        <v>142</v>
      </c>
      <c r="C285">
        <v>165.18424396442191</v>
      </c>
      <c r="D285">
        <v>18</v>
      </c>
      <c r="E285">
        <v>1</v>
      </c>
    </row>
    <row r="286" spans="2:5" x14ac:dyDescent="0.3">
      <c r="B286" s="13" t="s">
        <v>674</v>
      </c>
      <c r="C286">
        <v>162.76</v>
      </c>
      <c r="D286">
        <v>100</v>
      </c>
      <c r="E286">
        <v>1</v>
      </c>
    </row>
    <row r="287" spans="2:5" x14ac:dyDescent="0.3">
      <c r="B287" s="13" t="s">
        <v>759</v>
      </c>
      <c r="C287">
        <v>159.16</v>
      </c>
      <c r="D287">
        <v>25</v>
      </c>
      <c r="E287">
        <v>1</v>
      </c>
    </row>
    <row r="288" spans="2:5" x14ac:dyDescent="0.3">
      <c r="B288" s="13" t="s">
        <v>188</v>
      </c>
      <c r="C288">
        <v>155.74</v>
      </c>
      <c r="D288">
        <v>19.2</v>
      </c>
      <c r="E288">
        <v>2</v>
      </c>
    </row>
    <row r="289" spans="2:5" x14ac:dyDescent="0.3">
      <c r="B289" s="13" t="s">
        <v>121</v>
      </c>
      <c r="C289">
        <v>151.99888182973316</v>
      </c>
      <c r="D289">
        <v>41</v>
      </c>
      <c r="E289">
        <v>2</v>
      </c>
    </row>
    <row r="290" spans="2:5" x14ac:dyDescent="0.3">
      <c r="B290" s="13" t="s">
        <v>418</v>
      </c>
      <c r="C290">
        <v>147.69</v>
      </c>
      <c r="D290">
        <v>21</v>
      </c>
      <c r="E290">
        <v>3</v>
      </c>
    </row>
    <row r="291" spans="2:5" x14ac:dyDescent="0.3">
      <c r="B291" s="13" t="s">
        <v>756</v>
      </c>
      <c r="C291">
        <v>140.97</v>
      </c>
      <c r="D291">
        <v>250</v>
      </c>
      <c r="E291">
        <v>1</v>
      </c>
    </row>
    <row r="292" spans="2:5" x14ac:dyDescent="0.3">
      <c r="B292" s="13" t="s">
        <v>380</v>
      </c>
      <c r="C292">
        <v>136.94</v>
      </c>
      <c r="D292">
        <v>19.2</v>
      </c>
      <c r="E292">
        <v>2</v>
      </c>
    </row>
    <row r="293" spans="2:5" x14ac:dyDescent="0.3">
      <c r="B293" s="13" t="s">
        <v>86</v>
      </c>
      <c r="C293">
        <v>132.71</v>
      </c>
      <c r="D293">
        <v>20</v>
      </c>
      <c r="E293">
        <v>1</v>
      </c>
    </row>
    <row r="294" spans="2:5" x14ac:dyDescent="0.3">
      <c r="B294" s="13" t="s">
        <v>98</v>
      </c>
      <c r="C294">
        <v>132.71</v>
      </c>
      <c r="D294">
        <v>12</v>
      </c>
      <c r="E294">
        <v>1</v>
      </c>
    </row>
    <row r="295" spans="2:5" x14ac:dyDescent="0.3">
      <c r="B295" s="13" t="s">
        <v>594</v>
      </c>
      <c r="C295">
        <v>132.30000000000001</v>
      </c>
      <c r="D295">
        <v>25</v>
      </c>
      <c r="E295">
        <v>2</v>
      </c>
    </row>
    <row r="296" spans="2:5" x14ac:dyDescent="0.3">
      <c r="B296" s="13" t="s">
        <v>270</v>
      </c>
      <c r="C296">
        <v>131.94999999999999</v>
      </c>
      <c r="D296">
        <v>25</v>
      </c>
      <c r="E296">
        <v>1</v>
      </c>
    </row>
    <row r="297" spans="2:5" x14ac:dyDescent="0.3">
      <c r="B297" s="13" t="s">
        <v>349</v>
      </c>
      <c r="C297">
        <v>130.83000000000001</v>
      </c>
      <c r="D297">
        <v>10</v>
      </c>
      <c r="E297">
        <v>1</v>
      </c>
    </row>
    <row r="298" spans="2:5" x14ac:dyDescent="0.3">
      <c r="B298" s="13" t="s">
        <v>311</v>
      </c>
      <c r="C298">
        <v>129.01</v>
      </c>
      <c r="D298">
        <v>36</v>
      </c>
      <c r="E298">
        <v>2</v>
      </c>
    </row>
    <row r="299" spans="2:5" x14ac:dyDescent="0.3">
      <c r="B299" s="13" t="s">
        <v>410</v>
      </c>
      <c r="C299">
        <v>111.5</v>
      </c>
      <c r="D299">
        <v>12.5</v>
      </c>
      <c r="E299">
        <v>2</v>
      </c>
    </row>
    <row r="300" spans="2:5" x14ac:dyDescent="0.3">
      <c r="B300" s="13" t="s">
        <v>214</v>
      </c>
      <c r="C300">
        <v>108.82</v>
      </c>
      <c r="D300">
        <v>20</v>
      </c>
      <c r="E300">
        <v>1</v>
      </c>
    </row>
    <row r="301" spans="2:5" x14ac:dyDescent="0.3">
      <c r="B301" s="13" t="s">
        <v>309</v>
      </c>
      <c r="C301">
        <v>107.3</v>
      </c>
      <c r="D301">
        <v>20</v>
      </c>
      <c r="E301">
        <v>1</v>
      </c>
    </row>
    <row r="302" spans="2:5" x14ac:dyDescent="0.3">
      <c r="B302" s="13" t="s">
        <v>199</v>
      </c>
      <c r="C302">
        <v>95.84</v>
      </c>
      <c r="D302">
        <v>12</v>
      </c>
      <c r="E302">
        <v>2</v>
      </c>
    </row>
    <row r="303" spans="2:5" x14ac:dyDescent="0.3">
      <c r="B303" s="13" t="s">
        <v>383</v>
      </c>
      <c r="C303">
        <v>95.6</v>
      </c>
      <c r="D303">
        <v>100</v>
      </c>
      <c r="E303">
        <v>1</v>
      </c>
    </row>
    <row r="304" spans="2:5" x14ac:dyDescent="0.3">
      <c r="B304" s="13" t="s">
        <v>27</v>
      </c>
      <c r="C304">
        <v>94.206685564985094</v>
      </c>
      <c r="D304">
        <v>50</v>
      </c>
      <c r="E304">
        <v>1</v>
      </c>
    </row>
    <row r="305" spans="2:5" x14ac:dyDescent="0.3">
      <c r="B305" s="13" t="s">
        <v>155</v>
      </c>
      <c r="C305">
        <v>88.945362134688693</v>
      </c>
      <c r="D305">
        <v>9.6</v>
      </c>
      <c r="E305">
        <v>1</v>
      </c>
    </row>
    <row r="306" spans="2:5" x14ac:dyDescent="0.3">
      <c r="B306" s="13" t="s">
        <v>701</v>
      </c>
      <c r="C306">
        <v>82.74</v>
      </c>
      <c r="D306">
        <v>50</v>
      </c>
      <c r="E306">
        <v>1</v>
      </c>
    </row>
    <row r="307" spans="2:5" x14ac:dyDescent="0.3">
      <c r="B307" s="13" t="s">
        <v>134</v>
      </c>
      <c r="C307">
        <v>64.326480304955538</v>
      </c>
      <c r="D307">
        <v>14</v>
      </c>
      <c r="E307">
        <v>3</v>
      </c>
    </row>
    <row r="308" spans="2:5" x14ac:dyDescent="0.3">
      <c r="B308" s="13" t="s">
        <v>678</v>
      </c>
      <c r="C308">
        <v>62.6</v>
      </c>
      <c r="D308">
        <v>13</v>
      </c>
      <c r="E308">
        <v>1</v>
      </c>
    </row>
    <row r="309" spans="2:5" x14ac:dyDescent="0.3">
      <c r="B309" s="13" t="s">
        <v>292</v>
      </c>
      <c r="C309">
        <v>60.35</v>
      </c>
      <c r="D309">
        <v>15</v>
      </c>
      <c r="E309">
        <v>1</v>
      </c>
    </row>
    <row r="310" spans="2:5" x14ac:dyDescent="0.3">
      <c r="B310" s="13" t="s">
        <v>567</v>
      </c>
      <c r="C310">
        <v>55.25</v>
      </c>
      <c r="D310">
        <v>5</v>
      </c>
      <c r="E310">
        <v>1</v>
      </c>
    </row>
    <row r="311" spans="2:5" x14ac:dyDescent="0.3">
      <c r="B311" s="13" t="s">
        <v>717</v>
      </c>
      <c r="C311">
        <v>54.94</v>
      </c>
      <c r="D311">
        <v>10</v>
      </c>
      <c r="E311">
        <v>1</v>
      </c>
    </row>
    <row r="312" spans="2:5" x14ac:dyDescent="0.3">
      <c r="B312" s="13" t="s">
        <v>791</v>
      </c>
      <c r="C312">
        <v>52.14</v>
      </c>
      <c r="D312">
        <v>10</v>
      </c>
      <c r="E312">
        <v>1</v>
      </c>
    </row>
    <row r="313" spans="2:5" x14ac:dyDescent="0.3">
      <c r="B313" s="13" t="s">
        <v>587</v>
      </c>
      <c r="C313">
        <v>48.998737704918028</v>
      </c>
      <c r="D313">
        <v>206.25</v>
      </c>
      <c r="E313">
        <v>2</v>
      </c>
    </row>
    <row r="314" spans="2:5" x14ac:dyDescent="0.3">
      <c r="B314" s="13" t="s">
        <v>563</v>
      </c>
      <c r="C314">
        <v>46.55</v>
      </c>
      <c r="D314">
        <v>10</v>
      </c>
      <c r="E314">
        <v>1</v>
      </c>
    </row>
    <row r="315" spans="2:5" x14ac:dyDescent="0.3">
      <c r="B315" s="13" t="s">
        <v>238</v>
      </c>
      <c r="C315">
        <v>32.29</v>
      </c>
      <c r="D315">
        <v>10</v>
      </c>
      <c r="E315">
        <v>1</v>
      </c>
    </row>
    <row r="316" spans="2:5" x14ac:dyDescent="0.3">
      <c r="B316" s="13" t="s">
        <v>799</v>
      </c>
      <c r="C316">
        <v>28.72</v>
      </c>
      <c r="D316">
        <v>17</v>
      </c>
      <c r="E316">
        <v>1</v>
      </c>
    </row>
    <row r="317" spans="2:5" x14ac:dyDescent="0.3">
      <c r="B317" s="13" t="s">
        <v>453</v>
      </c>
      <c r="C317">
        <v>9.49</v>
      </c>
      <c r="D317">
        <v>1</v>
      </c>
      <c r="E317">
        <v>1</v>
      </c>
    </row>
    <row r="318" spans="2:5" x14ac:dyDescent="0.3">
      <c r="B318" s="13" t="s">
        <v>668</v>
      </c>
      <c r="C318">
        <v>0.53</v>
      </c>
      <c r="D318">
        <v>9</v>
      </c>
      <c r="E318">
        <v>1</v>
      </c>
    </row>
    <row r="319" spans="2:5" x14ac:dyDescent="0.3">
      <c r="B319" s="13" t="s">
        <v>1381</v>
      </c>
      <c r="C319">
        <v>779361.0864089143</v>
      </c>
      <c r="D319">
        <v>326848.41000000009</v>
      </c>
      <c r="E319">
        <v>440</v>
      </c>
    </row>
    <row r="322" spans="1:5" x14ac:dyDescent="0.3">
      <c r="A322" t="s">
        <v>1407</v>
      </c>
      <c r="C322" s="16" t="s">
        <v>1408</v>
      </c>
    </row>
    <row r="324" spans="1:5" x14ac:dyDescent="0.3">
      <c r="B324" s="39" t="s">
        <v>1409</v>
      </c>
      <c r="C324" s="39" t="s">
        <v>1386</v>
      </c>
      <c r="D324" s="39" t="s">
        <v>1392</v>
      </c>
      <c r="E324" s="39" t="s">
        <v>1398</v>
      </c>
    </row>
    <row r="325" spans="1:5" x14ac:dyDescent="0.3">
      <c r="B325" s="40">
        <v>45663</v>
      </c>
      <c r="C325">
        <f>SUMIFS(Table1[Estimated  F.O.B Value $],Table1[Month],$B325)</f>
        <v>24.498737704918032</v>
      </c>
      <c r="D325">
        <f>SUMIFS(Table1[Standard Qty],Table1[Month],$B325)</f>
        <v>103.125</v>
      </c>
      <c r="E325">
        <f>COUNTIFS(Table1[Month],$B325)</f>
        <v>1</v>
      </c>
    </row>
    <row r="326" spans="1:5" x14ac:dyDescent="0.3">
      <c r="B326" s="40">
        <v>45662</v>
      </c>
      <c r="C326">
        <f>SUMIFS(Table1[Estimated  F.O.B Value $],Table1[Month],$B326)</f>
        <v>24.5</v>
      </c>
      <c r="D326">
        <f>SUMIFS(Table1[Standard Qty],Table1[Month],$B326)</f>
        <v>103.125</v>
      </c>
      <c r="E326">
        <f>COUNTIFS(Table1[Month],$B326)</f>
        <v>1</v>
      </c>
    </row>
    <row r="327" spans="1:5" x14ac:dyDescent="0.3">
      <c r="B327" s="40">
        <v>45294</v>
      </c>
      <c r="C327">
        <f>SUMIFS(Table1[Estimated  F.O.B Value $],Table1[Month],$B327)</f>
        <v>27.23</v>
      </c>
      <c r="D327">
        <f>SUMIFS(Table1[Standard Qty],Table1[Month],$B327)</f>
        <v>3</v>
      </c>
      <c r="E327">
        <f>COUNTIFS(Table1[Month],$B327)</f>
        <v>1</v>
      </c>
    </row>
    <row r="328" spans="1:5" x14ac:dyDescent="0.3">
      <c r="B328" s="40">
        <v>44931</v>
      </c>
      <c r="C328">
        <f>SUMIFS(Table1[Estimated  F.O.B Value $],Table1[Month],$B328)</f>
        <v>59.79</v>
      </c>
      <c r="D328">
        <f>SUMIFS(Table1[Standard Qty],Table1[Month],$B328)</f>
        <v>8</v>
      </c>
      <c r="E328">
        <f>COUNTIFS(Table1[Month],$B328)</f>
        <v>1</v>
      </c>
    </row>
    <row r="329" spans="1:5" x14ac:dyDescent="0.3">
      <c r="B329" s="40">
        <v>44928</v>
      </c>
      <c r="C329">
        <f>SUMIFS(Table1[Estimated  F.O.B Value $],Table1[Month],$B329)</f>
        <v>71.88</v>
      </c>
      <c r="D329">
        <f>SUMIFS(Table1[Standard Qty],Table1[Month],$B329)</f>
        <v>9.6</v>
      </c>
      <c r="E329">
        <f>COUNTIFS(Table1[Month],$B329)</f>
        <v>1</v>
      </c>
    </row>
    <row r="330" spans="1:5" x14ac:dyDescent="0.3">
      <c r="B330" s="40">
        <v>45292</v>
      </c>
      <c r="C330">
        <f>SUMIFS(Table1[Estimated  F.O.B Value $],Table1[Month],$B330)</f>
        <v>73.040000000000006</v>
      </c>
      <c r="D330">
        <f>SUMIFS(Table1[Standard Qty],Table1[Month],$B330)</f>
        <v>9.6</v>
      </c>
      <c r="E330">
        <f>COUNTIFS(Table1[Month],$B330)</f>
        <v>1</v>
      </c>
    </row>
    <row r="331" spans="1:5" x14ac:dyDescent="0.3">
      <c r="B331" s="40">
        <v>44927</v>
      </c>
      <c r="C331">
        <f>SUMIFS(Table1[Estimated  F.O.B Value $],Table1[Month],$B331)</f>
        <v>83.86</v>
      </c>
      <c r="D331">
        <f>SUMIFS(Table1[Standard Qty],Table1[Month],$B331)</f>
        <v>9.6</v>
      </c>
      <c r="E331">
        <f>COUNTIFS(Table1[Month],$B331)</f>
        <v>1</v>
      </c>
    </row>
    <row r="332" spans="1:5" x14ac:dyDescent="0.3">
      <c r="B332" s="40">
        <v>45667</v>
      </c>
      <c r="C332">
        <f>SUMIFS(Table1[Estimated  F.O.B Value $],Table1[Month],$B332)</f>
        <v>92.61</v>
      </c>
      <c r="D332">
        <f>SUMIFS(Table1[Standard Qty],Table1[Month],$B332)</f>
        <v>12.5</v>
      </c>
      <c r="E332">
        <f>COUNTIFS(Table1[Month],$B332)</f>
        <v>1</v>
      </c>
    </row>
    <row r="333" spans="1:5" x14ac:dyDescent="0.3">
      <c r="B333" s="40">
        <v>45293</v>
      </c>
      <c r="C333">
        <f>SUMIFS(Table1[Estimated  F.O.B Value $],Table1[Month],$B333)</f>
        <v>95.6</v>
      </c>
      <c r="D333">
        <f>SUMIFS(Table1[Standard Qty],Table1[Month],$B333)</f>
        <v>100</v>
      </c>
      <c r="E333">
        <f>COUNTIFS(Table1[Month],$B333)</f>
        <v>1</v>
      </c>
    </row>
    <row r="334" spans="1:5" x14ac:dyDescent="0.3">
      <c r="B334" s="40">
        <v>44929</v>
      </c>
      <c r="C334">
        <f>SUMIFS(Table1[Estimated  F.O.B Value $],Table1[Month],$B334)</f>
        <v>107.62</v>
      </c>
      <c r="D334">
        <f>SUMIFS(Table1[Standard Qty],Table1[Month],$B334)</f>
        <v>16</v>
      </c>
      <c r="E334">
        <f>COUNTIFS(Table1[Month],$B334)</f>
        <v>1</v>
      </c>
    </row>
    <row r="335" spans="1:5" x14ac:dyDescent="0.3">
      <c r="B335" s="40">
        <v>45658</v>
      </c>
      <c r="C335">
        <f>SUMIFS(Table1[Estimated  F.O.B Value $],Table1[Month],$B335)</f>
        <v>212.39093286219079</v>
      </c>
      <c r="D335">
        <f>SUMIFS(Table1[Standard Qty],Table1[Month],$B335)</f>
        <v>20</v>
      </c>
      <c r="E335">
        <f>COUNTIFS(Table1[Month],$B335)</f>
        <v>1</v>
      </c>
    </row>
    <row r="336" spans="1:5" x14ac:dyDescent="0.3">
      <c r="B336" s="40">
        <v>44930</v>
      </c>
      <c r="C336">
        <f>SUMIFS(Table1[Estimated  F.O.B Value $],Table1[Month],$B336)</f>
        <v>227.21</v>
      </c>
      <c r="D336">
        <f>SUMIFS(Table1[Standard Qty],Table1[Month],$B336)</f>
        <v>40</v>
      </c>
      <c r="E336">
        <f>COUNTIFS(Table1[Month],$B336)</f>
        <v>1</v>
      </c>
    </row>
    <row r="337" spans="2:5" x14ac:dyDescent="0.3">
      <c r="B337" s="40">
        <v>45295</v>
      </c>
      <c r="C337">
        <f>SUMIFS(Table1[Estimated  F.O.B Value $],Table1[Month],$B337)</f>
        <v>297.22000000000003</v>
      </c>
      <c r="D337">
        <f>SUMIFS(Table1[Standard Qty],Table1[Month],$B337)</f>
        <v>47.75</v>
      </c>
      <c r="E337">
        <f>COUNTIFS(Table1[Month],$B337)</f>
        <v>1</v>
      </c>
    </row>
    <row r="338" spans="2:5" x14ac:dyDescent="0.3">
      <c r="B338" s="40">
        <v>45299</v>
      </c>
      <c r="C338">
        <f>SUMIFS(Table1[Estimated  F.O.B Value $],Table1[Month],$B338)</f>
        <v>298.89</v>
      </c>
      <c r="D338">
        <f>SUMIFS(Table1[Standard Qty],Table1[Month],$B338)</f>
        <v>50</v>
      </c>
      <c r="E338">
        <f>COUNTIFS(Table1[Month],$B338)</f>
        <v>1</v>
      </c>
    </row>
    <row r="339" spans="2:5" x14ac:dyDescent="0.3">
      <c r="B339" s="40">
        <v>45660</v>
      </c>
      <c r="C339">
        <f>SUMIFS(Table1[Estimated  F.O.B Value $],Table1[Month],$B339)</f>
        <v>308.67</v>
      </c>
      <c r="D339">
        <f>SUMIFS(Table1[Standard Qty],Table1[Month],$B339)</f>
        <v>48</v>
      </c>
      <c r="E339">
        <f>COUNTIFS(Table1[Month],$B339)</f>
        <v>1</v>
      </c>
    </row>
    <row r="340" spans="2:5" x14ac:dyDescent="0.3">
      <c r="B340" s="40">
        <v>45665</v>
      </c>
      <c r="C340">
        <f>SUMIFS(Table1[Estimated  F.O.B Value $],Table1[Month],$B340)</f>
        <v>320.89999999999998</v>
      </c>
      <c r="D340">
        <f>SUMIFS(Table1[Standard Qty],Table1[Month],$B340)</f>
        <v>48</v>
      </c>
      <c r="E340">
        <f>COUNTIFS(Table1[Month],$B340)</f>
        <v>1</v>
      </c>
    </row>
    <row r="341" spans="2:5" x14ac:dyDescent="0.3">
      <c r="B341" s="40">
        <v>44933</v>
      </c>
      <c r="C341">
        <f>SUMIFS(Table1[Estimated  F.O.B Value $],Table1[Month],$B341)</f>
        <v>382.67</v>
      </c>
      <c r="D341">
        <f>SUMIFS(Table1[Standard Qty],Table1[Month],$B341)</f>
        <v>62.4</v>
      </c>
      <c r="E341">
        <f>COUNTIFS(Table1[Month],$B341)</f>
        <v>1</v>
      </c>
    </row>
    <row r="342" spans="2:5" x14ac:dyDescent="0.3">
      <c r="B342" s="40">
        <v>45298</v>
      </c>
      <c r="C342">
        <f>SUMIFS(Table1[Estimated  F.O.B Value $],Table1[Month],$B342)</f>
        <v>770.44</v>
      </c>
      <c r="D342">
        <f>SUMIFS(Table1[Standard Qty],Table1[Month],$B342)</f>
        <v>200</v>
      </c>
      <c r="E342">
        <f>COUNTIFS(Table1[Month],$B342)</f>
        <v>1</v>
      </c>
    </row>
    <row r="343" spans="2:5" x14ac:dyDescent="0.3">
      <c r="B343" s="40">
        <v>45296</v>
      </c>
      <c r="C343">
        <f>SUMIFS(Table1[Estimated  F.O.B Value $],Table1[Month],$B343)</f>
        <v>788.41</v>
      </c>
      <c r="D343">
        <f>SUMIFS(Table1[Standard Qty],Table1[Month],$B343)</f>
        <v>96</v>
      </c>
      <c r="E343">
        <f>COUNTIFS(Table1[Month],$B343)</f>
        <v>1</v>
      </c>
    </row>
    <row r="344" spans="2:5" x14ac:dyDescent="0.3">
      <c r="B344" s="40">
        <v>45659</v>
      </c>
      <c r="C344">
        <f>SUMIFS(Table1[Estimated  F.O.B Value $],Table1[Month],$B344)</f>
        <v>813.78</v>
      </c>
      <c r="D344">
        <f>SUMIFS(Table1[Standard Qty],Table1[Month],$B344)</f>
        <v>500</v>
      </c>
      <c r="E344">
        <f>COUNTIFS(Table1[Month],$B344)</f>
        <v>1</v>
      </c>
    </row>
    <row r="345" spans="2:5" x14ac:dyDescent="0.3">
      <c r="B345" s="40">
        <v>45300</v>
      </c>
      <c r="C345">
        <f>SUMIFS(Table1[Estimated  F.O.B Value $],Table1[Month],$B345)</f>
        <v>922.29</v>
      </c>
      <c r="D345">
        <f>SUMIFS(Table1[Standard Qty],Table1[Month],$B345)</f>
        <v>500</v>
      </c>
      <c r="E345">
        <f>COUNTIFS(Table1[Month],$B345)</f>
        <v>1</v>
      </c>
    </row>
    <row r="346" spans="2:5" x14ac:dyDescent="0.3">
      <c r="B346" s="40">
        <v>45664</v>
      </c>
      <c r="C346">
        <f>SUMIFS(Table1[Estimated  F.O.B Value $],Table1[Month],$B346)</f>
        <v>1182.92</v>
      </c>
      <c r="D346">
        <f>SUMIFS(Table1[Standard Qty],Table1[Month],$B346)</f>
        <v>260</v>
      </c>
      <c r="E346">
        <f>COUNTIFS(Table1[Month],$B346)</f>
        <v>1</v>
      </c>
    </row>
    <row r="347" spans="2:5" x14ac:dyDescent="0.3">
      <c r="B347" s="40">
        <v>45297</v>
      </c>
      <c r="C347">
        <f>SUMIFS(Table1[Estimated  F.O.B Value $],Table1[Month],$B347)</f>
        <v>1365.37</v>
      </c>
      <c r="D347">
        <f>SUMIFS(Table1[Standard Qty],Table1[Month],$B347)</f>
        <v>200</v>
      </c>
      <c r="E347">
        <f>COUNTIFS(Table1[Month],$B347)</f>
        <v>1</v>
      </c>
    </row>
    <row r="348" spans="2:5" x14ac:dyDescent="0.3">
      <c r="B348" s="40">
        <v>44932</v>
      </c>
      <c r="C348">
        <f>SUMIFS(Table1[Estimated  F.O.B Value $],Table1[Month],$B348)</f>
        <v>1644.06</v>
      </c>
      <c r="D348">
        <f>SUMIFS(Table1[Standard Qty],Table1[Month],$B348)</f>
        <v>220</v>
      </c>
      <c r="E348">
        <f>COUNTIFS(Table1[Month],$B348)</f>
        <v>1</v>
      </c>
    </row>
    <row r="349" spans="2:5" x14ac:dyDescent="0.3">
      <c r="B349" s="40">
        <v>45668</v>
      </c>
      <c r="C349">
        <f>SUMIFS(Table1[Estimated  F.O.B Value $],Table1[Month],$B349)</f>
        <v>3505.85</v>
      </c>
      <c r="D349">
        <f>SUMIFS(Table1[Standard Qty],Table1[Month],$B349)</f>
        <v>2500</v>
      </c>
      <c r="E349">
        <f>COUNTIFS(Table1[Month],$B349)</f>
        <v>1</v>
      </c>
    </row>
    <row r="350" spans="2:5" x14ac:dyDescent="0.3">
      <c r="B350" s="40">
        <v>45661</v>
      </c>
      <c r="C350">
        <f>SUMIFS(Table1[Estimated  F.O.B Value $],Table1[Month],$B350)</f>
        <v>3729.28</v>
      </c>
      <c r="D350">
        <f>SUMIFS(Table1[Standard Qty],Table1[Month],$B350)</f>
        <v>2250</v>
      </c>
      <c r="E350">
        <f>COUNTIFS(Table1[Month],$B350)</f>
        <v>1</v>
      </c>
    </row>
    <row r="351" spans="2:5" x14ac:dyDescent="0.3">
      <c r="B351" s="40">
        <v>45666</v>
      </c>
      <c r="C351">
        <f>SUMIFS(Table1[Estimated  F.O.B Value $],Table1[Month],$B351)</f>
        <v>4943.26</v>
      </c>
      <c r="D351">
        <f>SUMIFS(Table1[Standard Qty],Table1[Month],$B351)</f>
        <v>3000</v>
      </c>
      <c r="E351">
        <f>COUNTIFS(Table1[Month],$B351)</f>
        <v>1</v>
      </c>
    </row>
    <row r="352" spans="2:5" x14ac:dyDescent="0.3">
      <c r="B352" s="40">
        <v>44562</v>
      </c>
      <c r="C352">
        <f>SUMIFS(Table1[Estimated  F.O.B Value $],Table1[Month],$B352)</f>
        <v>7603.8368774776554</v>
      </c>
      <c r="D352">
        <f>SUMIFS(Table1[Standard Qty],Table1[Month],$B352)</f>
        <v>2295</v>
      </c>
      <c r="E352">
        <f>COUNTIFS(Table1[Month],$B352)</f>
        <v>3</v>
      </c>
    </row>
    <row r="353" spans="2:5" x14ac:dyDescent="0.3">
      <c r="B353" s="40">
        <v>45669</v>
      </c>
      <c r="C353">
        <f>SUMIFS(Table1[Estimated  F.O.B Value $],Table1[Month],$B353)</f>
        <v>11122.32</v>
      </c>
      <c r="D353">
        <f>SUMIFS(Table1[Standard Qty],Table1[Month],$B353)</f>
        <v>6750</v>
      </c>
      <c r="E353">
        <f>COUNTIFS(Table1[Month],$B353)</f>
        <v>1</v>
      </c>
    </row>
    <row r="354" spans="2:5" x14ac:dyDescent="0.3">
      <c r="B354" s="40">
        <v>44958</v>
      </c>
      <c r="C354">
        <f>SUMIFS(Table1[Estimated  F.O.B Value $],Table1[Month],$B354)</f>
        <v>108.82</v>
      </c>
      <c r="D354">
        <f>SUMIFS(Table1[Standard Qty],Table1[Month],$B354)</f>
        <v>20</v>
      </c>
      <c r="E354">
        <f>COUNTIFS(Table1[Month],$B354)</f>
        <v>1</v>
      </c>
    </row>
    <row r="355" spans="2:5" x14ac:dyDescent="0.3">
      <c r="B355" s="40">
        <v>45700</v>
      </c>
      <c r="C355">
        <f>SUMIFS(Table1[Estimated  F.O.B Value $],Table1[Month],$B355)</f>
        <v>206.29</v>
      </c>
      <c r="D355">
        <f>SUMIFS(Table1[Standard Qty],Table1[Month],$B355)</f>
        <v>9</v>
      </c>
      <c r="E355">
        <f>COUNTIFS(Table1[Month],$B355)</f>
        <v>1</v>
      </c>
    </row>
    <row r="356" spans="2:5" x14ac:dyDescent="0.3">
      <c r="B356" s="40">
        <v>45699</v>
      </c>
      <c r="C356">
        <f>SUMIFS(Table1[Estimated  F.O.B Value $],Table1[Month],$B356)</f>
        <v>225.32</v>
      </c>
      <c r="D356">
        <f>SUMIFS(Table1[Standard Qty],Table1[Month],$B356)</f>
        <v>25</v>
      </c>
      <c r="E356">
        <f>COUNTIFS(Table1[Month],$B356)</f>
        <v>1</v>
      </c>
    </row>
    <row r="357" spans="2:5" x14ac:dyDescent="0.3">
      <c r="B357" s="40">
        <v>45689</v>
      </c>
      <c r="C357">
        <f>SUMIFS(Table1[Estimated  F.O.B Value $],Table1[Month],$B357)</f>
        <v>288.12</v>
      </c>
      <c r="D357">
        <f>SUMIFS(Table1[Standard Qty],Table1[Month],$B357)</f>
        <v>60</v>
      </c>
      <c r="E357">
        <f>COUNTIFS(Table1[Month],$B357)</f>
        <v>1</v>
      </c>
    </row>
    <row r="358" spans="2:5" x14ac:dyDescent="0.3">
      <c r="B358" s="40">
        <v>45694</v>
      </c>
      <c r="C358">
        <f>SUMIFS(Table1[Estimated  F.O.B Value $],Table1[Month],$B358)</f>
        <v>437.63</v>
      </c>
      <c r="D358">
        <f>SUMIFS(Table1[Standard Qty],Table1[Month],$B358)</f>
        <v>100</v>
      </c>
      <c r="E358">
        <f>COUNTIFS(Table1[Month],$B358)</f>
        <v>1</v>
      </c>
    </row>
    <row r="359" spans="2:5" x14ac:dyDescent="0.3">
      <c r="B359" s="40">
        <v>45692</v>
      </c>
      <c r="C359">
        <f>SUMIFS(Table1[Estimated  F.O.B Value $],Table1[Month],$B359)</f>
        <v>475.55</v>
      </c>
      <c r="D359">
        <f>SUMIFS(Table1[Standard Qty],Table1[Month],$B359)</f>
        <v>60</v>
      </c>
      <c r="E359">
        <f>COUNTIFS(Table1[Month],$B359)</f>
        <v>1</v>
      </c>
    </row>
    <row r="360" spans="2:5" x14ac:dyDescent="0.3">
      <c r="B360" s="40">
        <v>45690</v>
      </c>
      <c r="C360">
        <f>SUMIFS(Table1[Estimated  F.O.B Value $],Table1[Month],$B360)</f>
        <v>565.82000000000005</v>
      </c>
      <c r="D360">
        <f>SUMIFS(Table1[Standard Qty],Table1[Month],$B360)</f>
        <v>100</v>
      </c>
      <c r="E360">
        <f>COUNTIFS(Table1[Month],$B360)</f>
        <v>1</v>
      </c>
    </row>
    <row r="361" spans="2:5" x14ac:dyDescent="0.3">
      <c r="B361" s="40">
        <v>44960</v>
      </c>
      <c r="C361">
        <f>SUMIFS(Table1[Estimated  F.O.B Value $],Table1[Month],$B361)</f>
        <v>574.36</v>
      </c>
      <c r="D361">
        <f>SUMIFS(Table1[Standard Qty],Table1[Month],$B361)</f>
        <v>105</v>
      </c>
      <c r="E361">
        <f>COUNTIFS(Table1[Month],$B361)</f>
        <v>1</v>
      </c>
    </row>
    <row r="362" spans="2:5" x14ac:dyDescent="0.3">
      <c r="B362" s="40">
        <v>45709</v>
      </c>
      <c r="C362">
        <f>SUMIFS(Table1[Estimated  F.O.B Value $],Table1[Month],$B362)</f>
        <v>788.52</v>
      </c>
      <c r="D362">
        <f>SUMIFS(Table1[Standard Qty],Table1[Month],$B362)</f>
        <v>200</v>
      </c>
      <c r="E362">
        <f>COUNTIFS(Table1[Month],$B362)</f>
        <v>1</v>
      </c>
    </row>
    <row r="363" spans="2:5" x14ac:dyDescent="0.3">
      <c r="B363" s="40">
        <v>45710</v>
      </c>
      <c r="C363">
        <f>SUMIFS(Table1[Estimated  F.O.B Value $],Table1[Month],$B363)</f>
        <v>788.52</v>
      </c>
      <c r="D363">
        <f>SUMIFS(Table1[Standard Qty],Table1[Month],$B363)</f>
        <v>200</v>
      </c>
      <c r="E363">
        <f>COUNTIFS(Table1[Month],$B363)</f>
        <v>1</v>
      </c>
    </row>
    <row r="364" spans="2:5" x14ac:dyDescent="0.3">
      <c r="B364" s="40">
        <v>45704</v>
      </c>
      <c r="C364">
        <f>SUMIFS(Table1[Estimated  F.O.B Value $],Table1[Month],$B364)</f>
        <v>796.89</v>
      </c>
      <c r="D364">
        <f>SUMIFS(Table1[Standard Qty],Table1[Month],$B364)</f>
        <v>500</v>
      </c>
      <c r="E364">
        <f>COUNTIFS(Table1[Month],$B364)</f>
        <v>1</v>
      </c>
    </row>
    <row r="365" spans="2:5" x14ac:dyDescent="0.3">
      <c r="B365" s="40">
        <v>45708</v>
      </c>
      <c r="C365">
        <f>SUMIFS(Table1[Estimated  F.O.B Value $],Table1[Month],$B365)</f>
        <v>802.9</v>
      </c>
      <c r="D365">
        <f>SUMIFS(Table1[Standard Qty],Table1[Month],$B365)</f>
        <v>500</v>
      </c>
      <c r="E365">
        <f>COUNTIFS(Table1[Month],$B365)</f>
        <v>1</v>
      </c>
    </row>
    <row r="366" spans="2:5" x14ac:dyDescent="0.3">
      <c r="B366" s="40">
        <v>45691</v>
      </c>
      <c r="C366">
        <f>SUMIFS(Table1[Estimated  F.O.B Value $],Table1[Month],$B366)</f>
        <v>806.43</v>
      </c>
      <c r="D366">
        <f>SUMIFS(Table1[Standard Qty],Table1[Month],$B366)</f>
        <v>90</v>
      </c>
      <c r="E366">
        <f>COUNTIFS(Table1[Month],$B366)</f>
        <v>1</v>
      </c>
    </row>
    <row r="367" spans="2:5" x14ac:dyDescent="0.3">
      <c r="B367" s="40">
        <v>45706</v>
      </c>
      <c r="C367">
        <f>SUMIFS(Table1[Estimated  F.O.B Value $],Table1[Month],$B367)</f>
        <v>892.39</v>
      </c>
      <c r="D367">
        <f>SUMIFS(Table1[Standard Qty],Table1[Month],$B367)</f>
        <v>198</v>
      </c>
      <c r="E367">
        <f>COUNTIFS(Table1[Month],$B367)</f>
        <v>1</v>
      </c>
    </row>
    <row r="368" spans="2:5" x14ac:dyDescent="0.3">
      <c r="B368" s="40">
        <v>45707</v>
      </c>
      <c r="C368">
        <f>SUMIFS(Table1[Estimated  F.O.B Value $],Table1[Month],$B368)</f>
        <v>1124.58</v>
      </c>
      <c r="D368">
        <f>SUMIFS(Table1[Standard Qty],Table1[Month],$B368)</f>
        <v>1000</v>
      </c>
      <c r="E368">
        <f>COUNTIFS(Table1[Month],$B368)</f>
        <v>1</v>
      </c>
    </row>
    <row r="369" spans="2:5" x14ac:dyDescent="0.3">
      <c r="B369" s="40">
        <v>44961</v>
      </c>
      <c r="C369">
        <f>SUMIFS(Table1[Estimated  F.O.B Value $],Table1[Month],$B369)</f>
        <v>1474.46</v>
      </c>
      <c r="D369">
        <f>SUMIFS(Table1[Standard Qty],Table1[Month],$B369)</f>
        <v>250</v>
      </c>
      <c r="E369">
        <f>COUNTIFS(Table1[Month],$B369)</f>
        <v>1</v>
      </c>
    </row>
    <row r="370" spans="2:5" x14ac:dyDescent="0.3">
      <c r="B370" s="40">
        <v>45693</v>
      </c>
      <c r="C370">
        <f>SUMIFS(Table1[Estimated  F.O.B Value $],Table1[Month],$B370)</f>
        <v>1647.75</v>
      </c>
      <c r="D370">
        <f>SUMIFS(Table1[Standard Qty],Table1[Month],$B370)</f>
        <v>1000</v>
      </c>
      <c r="E370">
        <f>COUNTIFS(Table1[Month],$B370)</f>
        <v>1</v>
      </c>
    </row>
    <row r="371" spans="2:5" x14ac:dyDescent="0.3">
      <c r="B371" s="40">
        <v>45323</v>
      </c>
      <c r="C371">
        <f>SUMIFS(Table1[Estimated  F.O.B Value $],Table1[Month],$B371)</f>
        <v>1815.65</v>
      </c>
      <c r="D371">
        <f>SUMIFS(Table1[Standard Qty],Table1[Month],$B371)</f>
        <v>315</v>
      </c>
      <c r="E371">
        <f>COUNTIFS(Table1[Month],$B371)</f>
        <v>1</v>
      </c>
    </row>
    <row r="372" spans="2:5" x14ac:dyDescent="0.3">
      <c r="B372" s="40">
        <v>45695</v>
      </c>
      <c r="C372">
        <f>SUMIFS(Table1[Estimated  F.O.B Value $],Table1[Month],$B372)</f>
        <v>2028.81</v>
      </c>
      <c r="D372">
        <f>SUMIFS(Table1[Standard Qty],Table1[Month],$B372)</f>
        <v>1250</v>
      </c>
      <c r="E372">
        <f>COUNTIFS(Table1[Month],$B372)</f>
        <v>1</v>
      </c>
    </row>
    <row r="373" spans="2:5" x14ac:dyDescent="0.3">
      <c r="B373" s="40">
        <v>45696</v>
      </c>
      <c r="C373">
        <f>SUMIFS(Table1[Estimated  F.O.B Value $],Table1[Month],$B373)</f>
        <v>2028.81</v>
      </c>
      <c r="D373">
        <f>SUMIFS(Table1[Standard Qty],Table1[Month],$B373)</f>
        <v>1250</v>
      </c>
      <c r="E373">
        <f>COUNTIFS(Table1[Month],$B373)</f>
        <v>1</v>
      </c>
    </row>
    <row r="374" spans="2:5" x14ac:dyDescent="0.3">
      <c r="B374" s="40">
        <v>45697</v>
      </c>
      <c r="C374">
        <f>SUMIFS(Table1[Estimated  F.O.B Value $],Table1[Month],$B374)</f>
        <v>2043.94</v>
      </c>
      <c r="D374">
        <f>SUMIFS(Table1[Standard Qty],Table1[Month],$B374)</f>
        <v>1000</v>
      </c>
      <c r="E374">
        <f>COUNTIFS(Table1[Month],$B374)</f>
        <v>1</v>
      </c>
    </row>
    <row r="375" spans="2:5" x14ac:dyDescent="0.3">
      <c r="B375" s="40">
        <v>44593</v>
      </c>
      <c r="C375">
        <f>SUMIFS(Table1[Estimated  F.O.B Value $],Table1[Month],$B375)</f>
        <v>2156.6215511353739</v>
      </c>
      <c r="D375">
        <f>SUMIFS(Table1[Standard Qty],Table1[Month],$B375)</f>
        <v>1532</v>
      </c>
      <c r="E375">
        <f>COUNTIFS(Table1[Month],$B375)</f>
        <v>2</v>
      </c>
    </row>
    <row r="376" spans="2:5" x14ac:dyDescent="0.3">
      <c r="B376" s="40">
        <v>45701</v>
      </c>
      <c r="C376">
        <f>SUMIFS(Table1[Estimated  F.O.B Value $],Table1[Month],$B376)</f>
        <v>2434.5700000000002</v>
      </c>
      <c r="D376">
        <f>SUMIFS(Table1[Standard Qty],Table1[Month],$B376)</f>
        <v>1500</v>
      </c>
      <c r="E376">
        <f>COUNTIFS(Table1[Month],$B376)</f>
        <v>1</v>
      </c>
    </row>
    <row r="377" spans="2:5" x14ac:dyDescent="0.3">
      <c r="B377" s="40">
        <v>45703</v>
      </c>
      <c r="C377">
        <f>SUMIFS(Table1[Estimated  F.O.B Value $],Table1[Month],$B377)</f>
        <v>2434.5700000000002</v>
      </c>
      <c r="D377">
        <f>SUMIFS(Table1[Standard Qty],Table1[Month],$B377)</f>
        <v>1500</v>
      </c>
      <c r="E377">
        <f>COUNTIFS(Table1[Month],$B377)</f>
        <v>1</v>
      </c>
    </row>
    <row r="378" spans="2:5" x14ac:dyDescent="0.3">
      <c r="B378" s="40">
        <v>45712</v>
      </c>
      <c r="C378">
        <f>SUMIFS(Table1[Estimated  F.O.B Value $],Table1[Month],$B378)</f>
        <v>2452.96</v>
      </c>
      <c r="D378">
        <f>SUMIFS(Table1[Standard Qty],Table1[Month],$B378)</f>
        <v>1500</v>
      </c>
      <c r="E378">
        <f>COUNTIFS(Table1[Month],$B378)</f>
        <v>1</v>
      </c>
    </row>
    <row r="379" spans="2:5" x14ac:dyDescent="0.3">
      <c r="B379" s="40">
        <v>45705</v>
      </c>
      <c r="C379">
        <f>SUMIFS(Table1[Estimated  F.O.B Value $],Table1[Month],$B379)</f>
        <v>2762.63</v>
      </c>
      <c r="D379">
        <f>SUMIFS(Table1[Standard Qty],Table1[Month],$B379)</f>
        <v>2000</v>
      </c>
      <c r="E379">
        <f>COUNTIFS(Table1[Month],$B379)</f>
        <v>1</v>
      </c>
    </row>
    <row r="380" spans="2:5" x14ac:dyDescent="0.3">
      <c r="B380" s="40">
        <v>45698</v>
      </c>
      <c r="C380">
        <f>SUMIFS(Table1[Estimated  F.O.B Value $],Table1[Month],$B380)</f>
        <v>3393.29</v>
      </c>
      <c r="D380">
        <f>SUMIFS(Table1[Standard Qty],Table1[Month],$B380)</f>
        <v>1500</v>
      </c>
      <c r="E380">
        <f>COUNTIFS(Table1[Month],$B380)</f>
        <v>1</v>
      </c>
    </row>
    <row r="381" spans="2:5" x14ac:dyDescent="0.3">
      <c r="B381" s="40">
        <v>45711</v>
      </c>
      <c r="C381">
        <f>SUMIFS(Table1[Estimated  F.O.B Value $],Table1[Month],$B381)</f>
        <v>4088.26</v>
      </c>
      <c r="D381">
        <f>SUMIFS(Table1[Standard Qty],Table1[Month],$B381)</f>
        <v>2500</v>
      </c>
      <c r="E381">
        <f>COUNTIFS(Table1[Month],$B381)</f>
        <v>1</v>
      </c>
    </row>
    <row r="382" spans="2:5" x14ac:dyDescent="0.3">
      <c r="B382" s="40">
        <v>44959</v>
      </c>
      <c r="C382">
        <f>SUMIFS(Table1[Estimated  F.O.B Value $],Table1[Month],$B382)</f>
        <v>4285.0600000000004</v>
      </c>
      <c r="D382">
        <f>SUMIFS(Table1[Standard Qty],Table1[Month],$B382)</f>
        <v>2000</v>
      </c>
      <c r="E382">
        <f>COUNTIFS(Table1[Month],$B382)</f>
        <v>1</v>
      </c>
    </row>
    <row r="383" spans="2:5" x14ac:dyDescent="0.3">
      <c r="B383" s="40">
        <v>45702</v>
      </c>
      <c r="C383">
        <f>SUMIFS(Table1[Estimated  F.O.B Value $],Table1[Month],$B383)</f>
        <v>5123.8</v>
      </c>
      <c r="D383">
        <f>SUMIFS(Table1[Standard Qty],Table1[Month],$B383)</f>
        <v>1500</v>
      </c>
      <c r="E383">
        <f>COUNTIFS(Table1[Month],$B383)</f>
        <v>1</v>
      </c>
    </row>
    <row r="384" spans="2:5" x14ac:dyDescent="0.3">
      <c r="B384" s="40">
        <v>45359</v>
      </c>
      <c r="C384">
        <f>SUMIFS(Table1[Estimated  F.O.B Value $],Table1[Month],$B384)</f>
        <v>39.729999999999997</v>
      </c>
      <c r="D384">
        <f>SUMIFS(Table1[Standard Qty],Table1[Month],$B384)</f>
        <v>7</v>
      </c>
      <c r="E384">
        <f>COUNTIFS(Table1[Month],$B384)</f>
        <v>1</v>
      </c>
    </row>
    <row r="385" spans="2:5" x14ac:dyDescent="0.3">
      <c r="B385" s="40">
        <v>45354</v>
      </c>
      <c r="C385">
        <f>SUMIFS(Table1[Estimated  F.O.B Value $],Table1[Month],$B385)</f>
        <v>55.58</v>
      </c>
      <c r="D385">
        <f>SUMIFS(Table1[Standard Qty],Table1[Month],$B385)</f>
        <v>6.25</v>
      </c>
      <c r="E385">
        <f>COUNTIFS(Table1[Month],$B385)</f>
        <v>1</v>
      </c>
    </row>
    <row r="386" spans="2:5" x14ac:dyDescent="0.3">
      <c r="B386" s="40">
        <v>45353</v>
      </c>
      <c r="C386">
        <f>SUMIFS(Table1[Estimated  F.O.B Value $],Table1[Month],$B386)</f>
        <v>55.92</v>
      </c>
      <c r="D386">
        <f>SUMIFS(Table1[Standard Qty],Table1[Month],$B386)</f>
        <v>6.25</v>
      </c>
      <c r="E386">
        <f>COUNTIFS(Table1[Month],$B386)</f>
        <v>1</v>
      </c>
    </row>
    <row r="387" spans="2:5" x14ac:dyDescent="0.3">
      <c r="B387" s="40">
        <v>45352</v>
      </c>
      <c r="C387">
        <f>SUMIFS(Table1[Estimated  F.O.B Value $],Table1[Month],$B387)</f>
        <v>139.55000000000001</v>
      </c>
      <c r="D387">
        <f>SUMIFS(Table1[Standard Qty],Table1[Month],$B387)</f>
        <v>25</v>
      </c>
      <c r="E387">
        <f>COUNTIFS(Table1[Month],$B387)</f>
        <v>1</v>
      </c>
    </row>
    <row r="388" spans="2:5" x14ac:dyDescent="0.3">
      <c r="B388" s="40">
        <v>45740</v>
      </c>
      <c r="C388">
        <f>SUMIFS(Table1[Estimated  F.O.B Value $],Table1[Month],$B388)</f>
        <v>206.07</v>
      </c>
      <c r="D388">
        <f>SUMIFS(Table1[Standard Qty],Table1[Month],$B388)</f>
        <v>50</v>
      </c>
      <c r="E388">
        <f>COUNTIFS(Table1[Month],$B388)</f>
        <v>1</v>
      </c>
    </row>
    <row r="389" spans="2:5" x14ac:dyDescent="0.3">
      <c r="B389" s="40">
        <v>45742</v>
      </c>
      <c r="C389">
        <f>SUMIFS(Table1[Estimated  F.O.B Value $],Table1[Month],$B389)</f>
        <v>206.07</v>
      </c>
      <c r="D389">
        <f>SUMIFS(Table1[Standard Qty],Table1[Month],$B389)</f>
        <v>50</v>
      </c>
      <c r="E389">
        <f>COUNTIFS(Table1[Month],$B389)</f>
        <v>1</v>
      </c>
    </row>
    <row r="390" spans="2:5" x14ac:dyDescent="0.3">
      <c r="B390" s="40">
        <v>45734</v>
      </c>
      <c r="C390">
        <f>SUMIFS(Table1[Estimated  F.O.B Value $],Table1[Month],$B390)</f>
        <v>220.23</v>
      </c>
      <c r="D390">
        <f>SUMIFS(Table1[Standard Qty],Table1[Month],$B390)</f>
        <v>50</v>
      </c>
      <c r="E390">
        <f>COUNTIFS(Table1[Month],$B390)</f>
        <v>1</v>
      </c>
    </row>
    <row r="391" spans="2:5" x14ac:dyDescent="0.3">
      <c r="B391" s="40">
        <v>45717</v>
      </c>
      <c r="C391">
        <f>SUMIFS(Table1[Estimated  F.O.B Value $],Table1[Month],$B391)</f>
        <v>225.02</v>
      </c>
      <c r="D391">
        <f>SUMIFS(Table1[Standard Qty],Table1[Month],$B391)</f>
        <v>30</v>
      </c>
      <c r="E391">
        <f>COUNTIFS(Table1[Month],$B391)</f>
        <v>1</v>
      </c>
    </row>
    <row r="392" spans="2:5" x14ac:dyDescent="0.3">
      <c r="B392" s="40">
        <v>45719</v>
      </c>
      <c r="C392">
        <f>SUMIFS(Table1[Estimated  F.O.B Value $],Table1[Month],$B392)</f>
        <v>225.02</v>
      </c>
      <c r="D392">
        <f>SUMIFS(Table1[Standard Qty],Table1[Month],$B392)</f>
        <v>30</v>
      </c>
      <c r="E392">
        <f>COUNTIFS(Table1[Month],$B392)</f>
        <v>1</v>
      </c>
    </row>
    <row r="393" spans="2:5" x14ac:dyDescent="0.3">
      <c r="B393" s="40">
        <v>45724</v>
      </c>
      <c r="C393">
        <f>SUMIFS(Table1[Estimated  F.O.B Value $],Table1[Month],$B393)</f>
        <v>341.66</v>
      </c>
      <c r="D393">
        <f>SUMIFS(Table1[Standard Qty],Table1[Month],$B393)</f>
        <v>200</v>
      </c>
      <c r="E393">
        <f>COUNTIFS(Table1[Month],$B393)</f>
        <v>1</v>
      </c>
    </row>
    <row r="394" spans="2:5" x14ac:dyDescent="0.3">
      <c r="B394" s="40">
        <v>45356</v>
      </c>
      <c r="C394">
        <f>SUMIFS(Table1[Estimated  F.O.B Value $],Table1[Month],$B394)</f>
        <v>382.3</v>
      </c>
      <c r="D394">
        <f>SUMIFS(Table1[Standard Qty],Table1[Month],$B394)</f>
        <v>50</v>
      </c>
      <c r="E394">
        <f>COUNTIFS(Table1[Month],$B394)</f>
        <v>1</v>
      </c>
    </row>
    <row r="395" spans="2:5" x14ac:dyDescent="0.3">
      <c r="B395" s="40">
        <v>45743</v>
      </c>
      <c r="C395">
        <f>SUMIFS(Table1[Estimated  F.O.B Value $],Table1[Month],$B395)</f>
        <v>393.74</v>
      </c>
      <c r="D395">
        <f>SUMIFS(Table1[Standard Qty],Table1[Month],$B395)</f>
        <v>100</v>
      </c>
      <c r="E395">
        <f>COUNTIFS(Table1[Month],$B395)</f>
        <v>1</v>
      </c>
    </row>
    <row r="396" spans="2:5" x14ac:dyDescent="0.3">
      <c r="B396" s="40">
        <v>45364</v>
      </c>
      <c r="C396">
        <f>SUMIFS(Table1[Estimated  F.O.B Value $],Table1[Month],$B396)</f>
        <v>433.56</v>
      </c>
      <c r="D396">
        <f>SUMIFS(Table1[Standard Qty],Table1[Month],$B396)</f>
        <v>57.6</v>
      </c>
      <c r="E396">
        <f>COUNTIFS(Table1[Month],$B396)</f>
        <v>1</v>
      </c>
    </row>
    <row r="397" spans="2:5" x14ac:dyDescent="0.3">
      <c r="B397" s="40">
        <v>45360</v>
      </c>
      <c r="C397">
        <f>SUMIFS(Table1[Estimated  F.O.B Value $],Table1[Month],$B397)</f>
        <v>441.77</v>
      </c>
      <c r="D397">
        <f>SUMIFS(Table1[Standard Qty],Table1[Month],$B397)</f>
        <v>250</v>
      </c>
      <c r="E397">
        <f>COUNTIFS(Table1[Month],$B397)</f>
        <v>1</v>
      </c>
    </row>
    <row r="398" spans="2:5" x14ac:dyDescent="0.3">
      <c r="B398" s="40">
        <v>45729</v>
      </c>
      <c r="C398">
        <f>SUMIFS(Table1[Estimated  F.O.B Value $],Table1[Month],$B398)</f>
        <v>484.51</v>
      </c>
      <c r="D398">
        <f>SUMIFS(Table1[Standard Qty],Table1[Month],$B398)</f>
        <v>100</v>
      </c>
      <c r="E398">
        <f>COUNTIFS(Table1[Month],$B398)</f>
        <v>1</v>
      </c>
    </row>
    <row r="399" spans="2:5" x14ac:dyDescent="0.3">
      <c r="B399" s="40">
        <v>44990</v>
      </c>
      <c r="C399">
        <f>SUMIFS(Table1[Estimated  F.O.B Value $],Table1[Month],$B399)</f>
        <v>645.76</v>
      </c>
      <c r="D399">
        <f>SUMIFS(Table1[Standard Qty],Table1[Month],$B399)</f>
        <v>100</v>
      </c>
      <c r="E399">
        <f>COUNTIFS(Table1[Month],$B399)</f>
        <v>1</v>
      </c>
    </row>
    <row r="400" spans="2:5" x14ac:dyDescent="0.3">
      <c r="B400" s="40">
        <v>44988</v>
      </c>
      <c r="C400">
        <f>SUMIFS(Table1[Estimated  F.O.B Value $],Table1[Month],$B400)</f>
        <v>789.26</v>
      </c>
      <c r="D400">
        <f>SUMIFS(Table1[Standard Qty],Table1[Month],$B400)</f>
        <v>120</v>
      </c>
      <c r="E400">
        <f>COUNTIFS(Table1[Month],$B400)</f>
        <v>1</v>
      </c>
    </row>
    <row r="401" spans="2:5" x14ac:dyDescent="0.3">
      <c r="B401" s="40">
        <v>44986</v>
      </c>
      <c r="C401">
        <f>SUMIFS(Table1[Estimated  F.O.B Value $],Table1[Month],$B401)</f>
        <v>791.19</v>
      </c>
      <c r="D401">
        <f>SUMIFS(Table1[Standard Qty],Table1[Month],$B401)</f>
        <v>120</v>
      </c>
      <c r="E401">
        <f>COUNTIFS(Table1[Month],$B401)</f>
        <v>1</v>
      </c>
    </row>
    <row r="402" spans="2:5" x14ac:dyDescent="0.3">
      <c r="B402" s="40">
        <v>45735</v>
      </c>
      <c r="C402">
        <f>SUMIFS(Table1[Estimated  F.O.B Value $],Table1[Month],$B402)</f>
        <v>793.8</v>
      </c>
      <c r="D402">
        <f>SUMIFS(Table1[Standard Qty],Table1[Month],$B402)</f>
        <v>108</v>
      </c>
      <c r="E402">
        <f>COUNTIFS(Table1[Month],$B402)</f>
        <v>1</v>
      </c>
    </row>
    <row r="403" spans="2:5" x14ac:dyDescent="0.3">
      <c r="B403" s="40">
        <v>45728</v>
      </c>
      <c r="C403">
        <f>SUMIFS(Table1[Estimated  F.O.B Value $],Table1[Month],$B403)</f>
        <v>802.24</v>
      </c>
      <c r="D403">
        <f>SUMIFS(Table1[Standard Qty],Table1[Month],$B403)</f>
        <v>105</v>
      </c>
      <c r="E403">
        <f>COUNTIFS(Table1[Month],$B403)</f>
        <v>1</v>
      </c>
    </row>
    <row r="404" spans="2:5" x14ac:dyDescent="0.3">
      <c r="B404" s="40">
        <v>45726</v>
      </c>
      <c r="C404">
        <f>SUMIFS(Table1[Estimated  F.O.B Value $],Table1[Month],$B404)</f>
        <v>893.76</v>
      </c>
      <c r="D404">
        <f>SUMIFS(Table1[Standard Qty],Table1[Month],$B404)</f>
        <v>100</v>
      </c>
      <c r="E404">
        <f>COUNTIFS(Table1[Month],$B404)</f>
        <v>1</v>
      </c>
    </row>
    <row r="405" spans="2:5" x14ac:dyDescent="0.3">
      <c r="B405" s="40">
        <v>45737</v>
      </c>
      <c r="C405">
        <f>SUMIFS(Table1[Estimated  F.O.B Value $],Table1[Month],$B405)</f>
        <v>901.58</v>
      </c>
      <c r="D405">
        <f>SUMIFS(Table1[Standard Qty],Table1[Month],$B405)</f>
        <v>750</v>
      </c>
      <c r="E405">
        <f>COUNTIFS(Table1[Month],$B405)</f>
        <v>1</v>
      </c>
    </row>
    <row r="406" spans="2:5" x14ac:dyDescent="0.3">
      <c r="B406" s="40">
        <v>45723</v>
      </c>
      <c r="C406">
        <f>SUMIFS(Table1[Estimated  F.O.B Value $],Table1[Month],$B406)</f>
        <v>937.17</v>
      </c>
      <c r="D406">
        <f>SUMIFS(Table1[Standard Qty],Table1[Month],$B406)</f>
        <v>150</v>
      </c>
      <c r="E406">
        <f>COUNTIFS(Table1[Month],$B406)</f>
        <v>1</v>
      </c>
    </row>
    <row r="407" spans="2:5" x14ac:dyDescent="0.3">
      <c r="B407" s="40">
        <v>45730</v>
      </c>
      <c r="C407">
        <f>SUMIFS(Table1[Estimated  F.O.B Value $],Table1[Month],$B407)</f>
        <v>937.17</v>
      </c>
      <c r="D407">
        <f>SUMIFS(Table1[Standard Qty],Table1[Month],$B407)</f>
        <v>150</v>
      </c>
      <c r="E407">
        <f>COUNTIFS(Table1[Month],$B407)</f>
        <v>1</v>
      </c>
    </row>
    <row r="408" spans="2:5" x14ac:dyDescent="0.3">
      <c r="B408" s="40">
        <v>44989</v>
      </c>
      <c r="C408">
        <f>SUMIFS(Table1[Estimated  F.O.B Value $],Table1[Month],$B408)</f>
        <v>1022.97</v>
      </c>
      <c r="D408">
        <f>SUMIFS(Table1[Standard Qty],Table1[Month],$B408)</f>
        <v>111.6</v>
      </c>
      <c r="E408">
        <f>COUNTIFS(Table1[Month],$B408)</f>
        <v>1</v>
      </c>
    </row>
    <row r="409" spans="2:5" x14ac:dyDescent="0.3">
      <c r="B409" s="40">
        <v>45732</v>
      </c>
      <c r="C409">
        <f>SUMIFS(Table1[Estimated  F.O.B Value $],Table1[Month],$B409)</f>
        <v>1225.77</v>
      </c>
      <c r="D409">
        <f>SUMIFS(Table1[Standard Qty],Table1[Month],$B409)</f>
        <v>750</v>
      </c>
      <c r="E409">
        <f>COUNTIFS(Table1[Month],$B409)</f>
        <v>1</v>
      </c>
    </row>
    <row r="410" spans="2:5" x14ac:dyDescent="0.3">
      <c r="B410" s="40">
        <v>45362</v>
      </c>
      <c r="C410">
        <f>SUMIFS(Table1[Estimated  F.O.B Value $],Table1[Month],$B410)</f>
        <v>1375.25</v>
      </c>
      <c r="D410">
        <f>SUMIFS(Table1[Standard Qty],Table1[Month],$B410)</f>
        <v>200</v>
      </c>
      <c r="E410">
        <f>COUNTIFS(Table1[Month],$B410)</f>
        <v>1</v>
      </c>
    </row>
    <row r="411" spans="2:5" x14ac:dyDescent="0.3">
      <c r="B411" s="40">
        <v>44987</v>
      </c>
      <c r="C411">
        <f>SUMIFS(Table1[Estimated  F.O.B Value $],Table1[Month],$B411)</f>
        <v>1452.75</v>
      </c>
      <c r="D411">
        <f>SUMIFS(Table1[Standard Qty],Table1[Month],$B411)</f>
        <v>250</v>
      </c>
      <c r="E411">
        <f>COUNTIFS(Table1[Month],$B411)</f>
        <v>1</v>
      </c>
    </row>
    <row r="412" spans="2:5" x14ac:dyDescent="0.3">
      <c r="B412" s="40">
        <v>45738</v>
      </c>
      <c r="C412">
        <f>SUMIFS(Table1[Estimated  F.O.B Value $],Table1[Month],$B412)</f>
        <v>1561.87</v>
      </c>
      <c r="D412">
        <f>SUMIFS(Table1[Standard Qty],Table1[Month],$B412)</f>
        <v>250</v>
      </c>
      <c r="E412">
        <f>COUNTIFS(Table1[Month],$B412)</f>
        <v>1</v>
      </c>
    </row>
    <row r="413" spans="2:5" x14ac:dyDescent="0.3">
      <c r="B413" s="40">
        <v>45718</v>
      </c>
      <c r="C413">
        <f>SUMIFS(Table1[Estimated  F.O.B Value $],Table1[Month],$B413)</f>
        <v>1635.31</v>
      </c>
      <c r="D413">
        <f>SUMIFS(Table1[Standard Qty],Table1[Month],$B413)</f>
        <v>1000</v>
      </c>
      <c r="E413">
        <f>COUNTIFS(Table1[Month],$B413)</f>
        <v>1</v>
      </c>
    </row>
    <row r="414" spans="2:5" x14ac:dyDescent="0.3">
      <c r="B414" s="40">
        <v>45720</v>
      </c>
      <c r="C414">
        <f>SUMIFS(Table1[Estimated  F.O.B Value $],Table1[Month],$B414)</f>
        <v>1635.31</v>
      </c>
      <c r="D414">
        <f>SUMIFS(Table1[Standard Qty],Table1[Month],$B414)</f>
        <v>1000</v>
      </c>
      <c r="E414">
        <f>COUNTIFS(Table1[Month],$B414)</f>
        <v>1</v>
      </c>
    </row>
    <row r="415" spans="2:5" x14ac:dyDescent="0.3">
      <c r="B415" s="40">
        <v>45363</v>
      </c>
      <c r="C415">
        <f>SUMIFS(Table1[Estimated  F.O.B Value $],Table1[Month],$B415)</f>
        <v>1710.85</v>
      </c>
      <c r="D415">
        <f>SUMIFS(Table1[Standard Qty],Table1[Month],$B415)</f>
        <v>1000</v>
      </c>
      <c r="E415">
        <f>COUNTIFS(Table1[Month],$B415)</f>
        <v>1</v>
      </c>
    </row>
    <row r="416" spans="2:5" x14ac:dyDescent="0.3">
      <c r="B416" s="40">
        <v>45725</v>
      </c>
      <c r="C416">
        <f>SUMIFS(Table1[Estimated  F.O.B Value $],Table1[Month],$B416)</f>
        <v>1739.69</v>
      </c>
      <c r="D416">
        <f>SUMIFS(Table1[Standard Qty],Table1[Month],$B416)</f>
        <v>1000</v>
      </c>
      <c r="E416">
        <f>COUNTIFS(Table1[Month],$B416)</f>
        <v>1</v>
      </c>
    </row>
    <row r="417" spans="2:5" x14ac:dyDescent="0.3">
      <c r="B417" s="40">
        <v>45357</v>
      </c>
      <c r="C417">
        <f>SUMIFS(Table1[Estimated  F.O.B Value $],Table1[Month],$B417)</f>
        <v>1825.61</v>
      </c>
      <c r="D417">
        <f>SUMIFS(Table1[Standard Qty],Table1[Month],$B417)</f>
        <v>300</v>
      </c>
      <c r="E417">
        <f>COUNTIFS(Table1[Month],$B417)</f>
        <v>1</v>
      </c>
    </row>
    <row r="418" spans="2:5" x14ac:dyDescent="0.3">
      <c r="B418" s="40">
        <v>45358</v>
      </c>
      <c r="C418">
        <f>SUMIFS(Table1[Estimated  F.O.B Value $],Table1[Month],$B418)</f>
        <v>2798.63</v>
      </c>
      <c r="D418">
        <f>SUMIFS(Table1[Standard Qty],Table1[Month],$B418)</f>
        <v>505</v>
      </c>
      <c r="E418">
        <f>COUNTIFS(Table1[Month],$B418)</f>
        <v>1</v>
      </c>
    </row>
    <row r="419" spans="2:5" x14ac:dyDescent="0.3">
      <c r="B419" s="40">
        <v>45355</v>
      </c>
      <c r="C419">
        <f>SUMIFS(Table1[Estimated  F.O.B Value $],Table1[Month],$B419)</f>
        <v>3035.28</v>
      </c>
      <c r="D419">
        <f>SUMIFS(Table1[Standard Qty],Table1[Month],$B419)</f>
        <v>500</v>
      </c>
      <c r="E419">
        <f>COUNTIFS(Table1[Month],$B419)</f>
        <v>1</v>
      </c>
    </row>
    <row r="420" spans="2:5" x14ac:dyDescent="0.3">
      <c r="B420" s="40">
        <v>45722</v>
      </c>
      <c r="C420">
        <f>SUMIFS(Table1[Estimated  F.O.B Value $],Table1[Month],$B420)</f>
        <v>3270.61</v>
      </c>
      <c r="D420">
        <f>SUMIFS(Table1[Standard Qty],Table1[Month],$B420)</f>
        <v>2000</v>
      </c>
      <c r="E420">
        <f>COUNTIFS(Table1[Month],$B420)</f>
        <v>1</v>
      </c>
    </row>
    <row r="421" spans="2:5" x14ac:dyDescent="0.3">
      <c r="B421" s="40">
        <v>45731</v>
      </c>
      <c r="C421">
        <f>SUMIFS(Table1[Estimated  F.O.B Value $],Table1[Month],$B421)</f>
        <v>3554.72</v>
      </c>
      <c r="D421">
        <f>SUMIFS(Table1[Standard Qty],Table1[Month],$B421)</f>
        <v>2175</v>
      </c>
      <c r="E421">
        <f>COUNTIFS(Table1[Month],$B421)</f>
        <v>1</v>
      </c>
    </row>
    <row r="422" spans="2:5" x14ac:dyDescent="0.3">
      <c r="B422" s="40">
        <v>45736</v>
      </c>
      <c r="C422">
        <f>SUMIFS(Table1[Estimated  F.O.B Value $],Table1[Month],$B422)</f>
        <v>3825.09</v>
      </c>
      <c r="D422">
        <f>SUMIFS(Table1[Standard Qty],Table1[Month],$B422)</f>
        <v>3000</v>
      </c>
      <c r="E422">
        <f>COUNTIFS(Table1[Month],$B422)</f>
        <v>1</v>
      </c>
    </row>
    <row r="423" spans="2:5" x14ac:dyDescent="0.3">
      <c r="B423" s="40">
        <v>45727</v>
      </c>
      <c r="C423">
        <f>SUMIFS(Table1[Estimated  F.O.B Value $],Table1[Month],$B423)</f>
        <v>4175.25</v>
      </c>
      <c r="D423">
        <f>SUMIFS(Table1[Standard Qty],Table1[Month],$B423)</f>
        <v>3000</v>
      </c>
      <c r="E423">
        <f>COUNTIFS(Table1[Month],$B423)</f>
        <v>1</v>
      </c>
    </row>
    <row r="424" spans="2:5" x14ac:dyDescent="0.3">
      <c r="B424" s="40">
        <v>45721</v>
      </c>
      <c r="C424">
        <f>SUMIFS(Table1[Estimated  F.O.B Value $],Table1[Month],$B424)</f>
        <v>4384.01</v>
      </c>
      <c r="D424">
        <f>SUMIFS(Table1[Standard Qty],Table1[Month],$B424)</f>
        <v>1200</v>
      </c>
      <c r="E424">
        <f>COUNTIFS(Table1[Month],$B424)</f>
        <v>1</v>
      </c>
    </row>
    <row r="425" spans="2:5" x14ac:dyDescent="0.3">
      <c r="B425" s="40">
        <v>45741</v>
      </c>
      <c r="C425">
        <f>SUMIFS(Table1[Estimated  F.O.B Value $],Table1[Month],$B425)</f>
        <v>4931.71</v>
      </c>
      <c r="D425">
        <f>SUMIFS(Table1[Standard Qty],Table1[Month],$B425)</f>
        <v>3000</v>
      </c>
      <c r="E425">
        <f>COUNTIFS(Table1[Month],$B425)</f>
        <v>1</v>
      </c>
    </row>
    <row r="426" spans="2:5" x14ac:dyDescent="0.3">
      <c r="B426" s="40">
        <v>44621</v>
      </c>
      <c r="C426">
        <f>SUMIFS(Table1[Estimated  F.O.B Value $],Table1[Month],$B426)</f>
        <v>6182.8653807514638</v>
      </c>
      <c r="D426">
        <f>SUMIFS(Table1[Standard Qty],Table1[Month],$B426)</f>
        <v>1947</v>
      </c>
      <c r="E426">
        <f>COUNTIFS(Table1[Month],$B426)</f>
        <v>4</v>
      </c>
    </row>
    <row r="427" spans="2:5" x14ac:dyDescent="0.3">
      <c r="B427" s="40">
        <v>45733</v>
      </c>
      <c r="C427">
        <f>SUMIFS(Table1[Estimated  F.O.B Value $],Table1[Month],$B427)</f>
        <v>8461.56</v>
      </c>
      <c r="D427">
        <f>SUMIFS(Table1[Standard Qty],Table1[Month],$B427)</f>
        <v>2000</v>
      </c>
      <c r="E427">
        <f>COUNTIFS(Table1[Month],$B427)</f>
        <v>1</v>
      </c>
    </row>
    <row r="428" spans="2:5" x14ac:dyDescent="0.3">
      <c r="B428" s="40">
        <v>45739</v>
      </c>
      <c r="C428">
        <f>SUMIFS(Table1[Estimated  F.O.B Value $],Table1[Month],$B428)</f>
        <v>8967.14</v>
      </c>
      <c r="D428">
        <f>SUMIFS(Table1[Standard Qty],Table1[Month],$B428)</f>
        <v>2500</v>
      </c>
      <c r="E428">
        <f>COUNTIFS(Table1[Month],$B428)</f>
        <v>1</v>
      </c>
    </row>
    <row r="429" spans="2:5" x14ac:dyDescent="0.3">
      <c r="B429" s="40">
        <v>45361</v>
      </c>
      <c r="C429">
        <f>SUMIFS(Table1[Estimated  F.O.B Value $],Table1[Month],$B429)</f>
        <v>12498.63</v>
      </c>
      <c r="D429">
        <f>SUMIFS(Table1[Standard Qty],Table1[Month],$B429)</f>
        <v>2500</v>
      </c>
      <c r="E429">
        <f>COUNTIFS(Table1[Month],$B429)</f>
        <v>1</v>
      </c>
    </row>
    <row r="430" spans="2:5" x14ac:dyDescent="0.3">
      <c r="B430" s="40">
        <v>45748</v>
      </c>
      <c r="C430">
        <f>SUMIFS(Table1[Estimated  F.O.B Value $],Table1[Month],$B430)</f>
        <v>0.53</v>
      </c>
      <c r="D430">
        <f>SUMIFS(Table1[Standard Qty],Table1[Month],$B430)</f>
        <v>9</v>
      </c>
      <c r="E430">
        <f>COUNTIFS(Table1[Month],$B430)</f>
        <v>1</v>
      </c>
    </row>
    <row r="431" spans="2:5" x14ac:dyDescent="0.3">
      <c r="B431" s="40">
        <v>45017</v>
      </c>
      <c r="C431">
        <f>SUMIFS(Table1[Estimated  F.O.B Value $],Table1[Month],$B431)</f>
        <v>32.29</v>
      </c>
      <c r="D431">
        <f>SUMIFS(Table1[Standard Qty],Table1[Month],$B431)</f>
        <v>10</v>
      </c>
      <c r="E431">
        <f>COUNTIFS(Table1[Month],$B431)</f>
        <v>1</v>
      </c>
    </row>
    <row r="432" spans="2:5" x14ac:dyDescent="0.3">
      <c r="B432" s="40">
        <v>45389</v>
      </c>
      <c r="C432">
        <f>SUMIFS(Table1[Estimated  F.O.B Value $],Table1[Month],$B432)</f>
        <v>53.98</v>
      </c>
      <c r="D432">
        <f>SUMIFS(Table1[Standard Qty],Table1[Month],$B432)</f>
        <v>7</v>
      </c>
      <c r="E432">
        <f>COUNTIFS(Table1[Month],$B432)</f>
        <v>1</v>
      </c>
    </row>
    <row r="433" spans="2:5" x14ac:dyDescent="0.3">
      <c r="B433" s="40">
        <v>45753</v>
      </c>
      <c r="C433">
        <f>SUMIFS(Table1[Estimated  F.O.B Value $],Table1[Month],$B433)</f>
        <v>62.6</v>
      </c>
      <c r="D433">
        <f>SUMIFS(Table1[Standard Qty],Table1[Month],$B433)</f>
        <v>13</v>
      </c>
      <c r="E433">
        <f>COUNTIFS(Table1[Month],$B433)</f>
        <v>1</v>
      </c>
    </row>
    <row r="434" spans="2:5" x14ac:dyDescent="0.3">
      <c r="B434" s="40">
        <v>45760</v>
      </c>
      <c r="C434">
        <f>SUMIFS(Table1[Estimated  F.O.B Value $],Table1[Month],$B434)</f>
        <v>141.33000000000001</v>
      </c>
      <c r="D434">
        <f>SUMIFS(Table1[Standard Qty],Table1[Month],$B434)</f>
        <v>20</v>
      </c>
      <c r="E434">
        <f>COUNTIFS(Table1[Month],$B434)</f>
        <v>1</v>
      </c>
    </row>
    <row r="435" spans="2:5" x14ac:dyDescent="0.3">
      <c r="B435" s="40">
        <v>45756</v>
      </c>
      <c r="C435">
        <f>SUMIFS(Table1[Estimated  F.O.B Value $],Table1[Month],$B435)</f>
        <v>148.16</v>
      </c>
      <c r="D435">
        <f>SUMIFS(Table1[Standard Qty],Table1[Month],$B435)</f>
        <v>20</v>
      </c>
      <c r="E435">
        <f>COUNTIFS(Table1[Month],$B435)</f>
        <v>1</v>
      </c>
    </row>
    <row r="436" spans="2:5" x14ac:dyDescent="0.3">
      <c r="B436" s="40">
        <v>45750</v>
      </c>
      <c r="C436">
        <f>SUMIFS(Table1[Estimated  F.O.B Value $],Table1[Month],$B436)</f>
        <v>162.76</v>
      </c>
      <c r="D436">
        <f>SUMIFS(Table1[Standard Qty],Table1[Month],$B436)</f>
        <v>100</v>
      </c>
      <c r="E436">
        <f>COUNTIFS(Table1[Month],$B436)</f>
        <v>1</v>
      </c>
    </row>
    <row r="437" spans="2:5" x14ac:dyDescent="0.3">
      <c r="B437" s="40">
        <v>45759</v>
      </c>
      <c r="C437">
        <f>SUMIFS(Table1[Estimated  F.O.B Value $],Table1[Month],$B437)</f>
        <v>173.56</v>
      </c>
      <c r="D437">
        <f>SUMIFS(Table1[Standard Qty],Table1[Month],$B437)</f>
        <v>50</v>
      </c>
      <c r="E437">
        <f>COUNTIFS(Table1[Month],$B437)</f>
        <v>1</v>
      </c>
    </row>
    <row r="438" spans="2:5" x14ac:dyDescent="0.3">
      <c r="B438" s="40">
        <v>45757</v>
      </c>
      <c r="C438">
        <f>SUMIFS(Table1[Estimated  F.O.B Value $],Table1[Month],$B438)</f>
        <v>227.62</v>
      </c>
      <c r="D438">
        <f>SUMIFS(Table1[Standard Qty],Table1[Month],$B438)</f>
        <v>38.4</v>
      </c>
      <c r="E438">
        <f>COUNTIFS(Table1[Month],$B438)</f>
        <v>1</v>
      </c>
    </row>
    <row r="439" spans="2:5" x14ac:dyDescent="0.3">
      <c r="B439" s="40">
        <v>45392</v>
      </c>
      <c r="C439">
        <f>SUMIFS(Table1[Estimated  F.O.B Value $],Table1[Month],$B439)</f>
        <v>237</v>
      </c>
      <c r="D439">
        <f>SUMIFS(Table1[Standard Qty],Table1[Month],$B439)</f>
        <v>200</v>
      </c>
      <c r="E439">
        <f>COUNTIFS(Table1[Month],$B439)</f>
        <v>1</v>
      </c>
    </row>
    <row r="440" spans="2:5" x14ac:dyDescent="0.3">
      <c r="B440" s="40">
        <v>44652</v>
      </c>
      <c r="C440">
        <f>SUMIFS(Table1[Estimated  F.O.B Value $],Table1[Month],$B440)</f>
        <v>345.74</v>
      </c>
      <c r="D440">
        <f>SUMIFS(Table1[Standard Qty],Table1[Month],$B440)</f>
        <v>50</v>
      </c>
      <c r="E440">
        <f>COUNTIFS(Table1[Month],$B440)</f>
        <v>1</v>
      </c>
    </row>
    <row r="441" spans="2:5" x14ac:dyDescent="0.3">
      <c r="B441" s="40">
        <v>45383</v>
      </c>
      <c r="C441">
        <f>SUMIFS(Table1[Estimated  F.O.B Value $],Table1[Month],$B441)</f>
        <v>374.61</v>
      </c>
      <c r="D441">
        <f>SUMIFS(Table1[Standard Qty],Table1[Month],$B441)</f>
        <v>60</v>
      </c>
      <c r="E441">
        <f>COUNTIFS(Table1[Month],$B441)</f>
        <v>1</v>
      </c>
    </row>
    <row r="442" spans="2:5" x14ac:dyDescent="0.3">
      <c r="B442" s="40">
        <v>45755</v>
      </c>
      <c r="C442">
        <f>SUMIFS(Table1[Estimated  F.O.B Value $],Table1[Month],$B442)</f>
        <v>469.75</v>
      </c>
      <c r="D442">
        <f>SUMIFS(Table1[Standard Qty],Table1[Month],$B442)</f>
        <v>100</v>
      </c>
      <c r="E442">
        <f>COUNTIFS(Table1[Month],$B442)</f>
        <v>1</v>
      </c>
    </row>
    <row r="443" spans="2:5" x14ac:dyDescent="0.3">
      <c r="B443" s="40">
        <v>45019</v>
      </c>
      <c r="C443">
        <f>SUMIFS(Table1[Estimated  F.O.B Value $],Table1[Month],$B443)</f>
        <v>674.2</v>
      </c>
      <c r="D443">
        <f>SUMIFS(Table1[Standard Qty],Table1[Month],$B443)</f>
        <v>100</v>
      </c>
      <c r="E443">
        <f>COUNTIFS(Table1[Month],$B443)</f>
        <v>1</v>
      </c>
    </row>
    <row r="444" spans="2:5" x14ac:dyDescent="0.3">
      <c r="B444" s="40">
        <v>45763</v>
      </c>
      <c r="C444">
        <f>SUMIFS(Table1[Estimated  F.O.B Value $],Table1[Month],$B444)</f>
        <v>705.79</v>
      </c>
      <c r="D444">
        <f>SUMIFS(Table1[Standard Qty],Table1[Month],$B444)</f>
        <v>500</v>
      </c>
      <c r="E444">
        <f>COUNTIFS(Table1[Month],$B444)</f>
        <v>1</v>
      </c>
    </row>
    <row r="445" spans="2:5" x14ac:dyDescent="0.3">
      <c r="B445" s="40">
        <v>45749</v>
      </c>
      <c r="C445">
        <f>SUMIFS(Table1[Estimated  F.O.B Value $],Table1[Month],$B445)</f>
        <v>903.98</v>
      </c>
      <c r="D445">
        <f>SUMIFS(Table1[Standard Qty],Table1[Month],$B445)</f>
        <v>150</v>
      </c>
      <c r="E445">
        <f>COUNTIFS(Table1[Month],$B445)</f>
        <v>1</v>
      </c>
    </row>
    <row r="446" spans="2:5" x14ac:dyDescent="0.3">
      <c r="B446" s="40">
        <v>45018</v>
      </c>
      <c r="C446">
        <f>SUMIFS(Table1[Estimated  F.O.B Value $],Table1[Month],$B446)</f>
        <v>978.79</v>
      </c>
      <c r="D446">
        <f>SUMIFS(Table1[Standard Qty],Table1[Month],$B446)</f>
        <v>750</v>
      </c>
      <c r="E446">
        <f>COUNTIFS(Table1[Month],$B446)</f>
        <v>1</v>
      </c>
    </row>
    <row r="447" spans="2:5" x14ac:dyDescent="0.3">
      <c r="B447" s="40">
        <v>45751</v>
      </c>
      <c r="C447">
        <f>SUMIFS(Table1[Estimated  F.O.B Value $],Table1[Month],$B447)</f>
        <v>1405.95</v>
      </c>
      <c r="D447">
        <f>SUMIFS(Table1[Standard Qty],Table1[Month],$B447)</f>
        <v>295</v>
      </c>
      <c r="E447">
        <f>COUNTIFS(Table1[Month],$B447)</f>
        <v>1</v>
      </c>
    </row>
    <row r="448" spans="2:5" x14ac:dyDescent="0.3">
      <c r="B448" s="40">
        <v>45390</v>
      </c>
      <c r="C448">
        <f>SUMIFS(Table1[Estimated  F.O.B Value $],Table1[Month],$B448)</f>
        <v>1448.13</v>
      </c>
      <c r="D448">
        <f>SUMIFS(Table1[Standard Qty],Table1[Month],$B448)</f>
        <v>1000</v>
      </c>
      <c r="E448">
        <f>COUNTIFS(Table1[Month],$B448)</f>
        <v>1</v>
      </c>
    </row>
    <row r="449" spans="2:5" x14ac:dyDescent="0.3">
      <c r="B449" s="40">
        <v>45391</v>
      </c>
      <c r="C449">
        <f>SUMIFS(Table1[Estimated  F.O.B Value $],Table1[Month],$B449)</f>
        <v>2089.14</v>
      </c>
      <c r="D449">
        <f>SUMIFS(Table1[Standard Qty],Table1[Month],$B449)</f>
        <v>1500</v>
      </c>
      <c r="E449">
        <f>COUNTIFS(Table1[Month],$B449)</f>
        <v>1</v>
      </c>
    </row>
    <row r="450" spans="2:5" x14ac:dyDescent="0.3">
      <c r="B450" s="40">
        <v>45762</v>
      </c>
      <c r="C450">
        <f>SUMIFS(Table1[Estimated  F.O.B Value $],Table1[Month],$B450)</f>
        <v>2343</v>
      </c>
      <c r="D450">
        <f>SUMIFS(Table1[Standard Qty],Table1[Month],$B450)</f>
        <v>2050</v>
      </c>
      <c r="E450">
        <f>COUNTIFS(Table1[Month],$B450)</f>
        <v>1</v>
      </c>
    </row>
    <row r="451" spans="2:5" x14ac:dyDescent="0.3">
      <c r="B451" s="40">
        <v>45764</v>
      </c>
      <c r="C451">
        <f>SUMIFS(Table1[Estimated  F.O.B Value $],Table1[Month],$B451)</f>
        <v>2343</v>
      </c>
      <c r="D451">
        <f>SUMIFS(Table1[Standard Qty],Table1[Month],$B451)</f>
        <v>2050</v>
      </c>
      <c r="E451">
        <f>COUNTIFS(Table1[Month],$B451)</f>
        <v>1</v>
      </c>
    </row>
    <row r="452" spans="2:5" x14ac:dyDescent="0.3">
      <c r="B452" s="40">
        <v>45385</v>
      </c>
      <c r="C452">
        <f>SUMIFS(Table1[Estimated  F.O.B Value $],Table1[Month],$B452)</f>
        <v>2476.88</v>
      </c>
      <c r="D452">
        <f>SUMIFS(Table1[Standard Qty],Table1[Month],$B452)</f>
        <v>360</v>
      </c>
      <c r="E452">
        <f>COUNTIFS(Table1[Month],$B452)</f>
        <v>1</v>
      </c>
    </row>
    <row r="453" spans="2:5" x14ac:dyDescent="0.3">
      <c r="B453" s="40">
        <v>45384</v>
      </c>
      <c r="C453">
        <f>SUMIFS(Table1[Estimated  F.O.B Value $],Table1[Month],$B453)</f>
        <v>2478.1799999999998</v>
      </c>
      <c r="D453">
        <f>SUMIFS(Table1[Standard Qty],Table1[Month],$B453)</f>
        <v>360</v>
      </c>
      <c r="E453">
        <f>COUNTIFS(Table1[Month],$B453)</f>
        <v>1</v>
      </c>
    </row>
    <row r="454" spans="2:5" x14ac:dyDescent="0.3">
      <c r="B454" s="40">
        <v>45386</v>
      </c>
      <c r="C454">
        <f>SUMIFS(Table1[Estimated  F.O.B Value $],Table1[Month],$B454)</f>
        <v>2718.52</v>
      </c>
      <c r="D454">
        <f>SUMIFS(Table1[Standard Qty],Table1[Month],$B454)</f>
        <v>1500</v>
      </c>
      <c r="E454">
        <f>COUNTIFS(Table1[Month],$B454)</f>
        <v>1</v>
      </c>
    </row>
    <row r="455" spans="2:5" x14ac:dyDescent="0.3">
      <c r="B455" s="40">
        <v>45758</v>
      </c>
      <c r="C455">
        <f>SUMIFS(Table1[Estimated  F.O.B Value $],Table1[Month],$B455)</f>
        <v>2874.99</v>
      </c>
      <c r="D455">
        <f>SUMIFS(Table1[Standard Qty],Table1[Month],$B455)</f>
        <v>2000</v>
      </c>
      <c r="E455">
        <f>COUNTIFS(Table1[Month],$B455)</f>
        <v>1</v>
      </c>
    </row>
    <row r="456" spans="2:5" x14ac:dyDescent="0.3">
      <c r="B456" s="40">
        <v>45388</v>
      </c>
      <c r="C456">
        <f>SUMIFS(Table1[Estimated  F.O.B Value $],Table1[Month],$B456)</f>
        <v>2896.26</v>
      </c>
      <c r="D456">
        <f>SUMIFS(Table1[Standard Qty],Table1[Month],$B456)</f>
        <v>1500</v>
      </c>
      <c r="E456">
        <f>COUNTIFS(Table1[Month],$B456)</f>
        <v>1</v>
      </c>
    </row>
    <row r="457" spans="2:5" x14ac:dyDescent="0.3">
      <c r="B457" s="40">
        <v>45754</v>
      </c>
      <c r="C457">
        <f>SUMIFS(Table1[Estimated  F.O.B Value $],Table1[Month],$B457)</f>
        <v>3585.28</v>
      </c>
      <c r="D457">
        <f>SUMIFS(Table1[Standard Qty],Table1[Month],$B457)</f>
        <v>2500</v>
      </c>
      <c r="E457">
        <f>COUNTIFS(Table1[Month],$B457)</f>
        <v>1</v>
      </c>
    </row>
    <row r="458" spans="2:5" x14ac:dyDescent="0.3">
      <c r="B458" s="40">
        <v>45761</v>
      </c>
      <c r="C458">
        <f>SUMIFS(Table1[Estimated  F.O.B Value $],Table1[Month],$B458)</f>
        <v>4021.94</v>
      </c>
      <c r="D458">
        <f>SUMIFS(Table1[Standard Qty],Table1[Month],$B458)</f>
        <v>2000</v>
      </c>
      <c r="E458">
        <f>COUNTIFS(Table1[Month],$B458)</f>
        <v>1</v>
      </c>
    </row>
    <row r="459" spans="2:5" x14ac:dyDescent="0.3">
      <c r="B459" s="40">
        <v>45752</v>
      </c>
      <c r="C459">
        <f>SUMIFS(Table1[Estimated  F.O.B Value $],Table1[Month],$B459)</f>
        <v>4302.33</v>
      </c>
      <c r="D459">
        <f>SUMIFS(Table1[Standard Qty],Table1[Month],$B459)</f>
        <v>3000</v>
      </c>
      <c r="E459">
        <f>COUNTIFS(Table1[Month],$B459)</f>
        <v>1</v>
      </c>
    </row>
    <row r="460" spans="2:5" x14ac:dyDescent="0.3">
      <c r="B460" s="40">
        <v>45387</v>
      </c>
      <c r="C460">
        <f>SUMIFS(Table1[Estimated  F.O.B Value $],Table1[Month],$B460)</f>
        <v>6766.1</v>
      </c>
      <c r="D460">
        <f>SUMIFS(Table1[Standard Qty],Table1[Month],$B460)</f>
        <v>4000</v>
      </c>
      <c r="E460">
        <f>COUNTIFS(Table1[Month],$B460)</f>
        <v>1</v>
      </c>
    </row>
    <row r="461" spans="2:5" x14ac:dyDescent="0.3">
      <c r="B461" s="40">
        <v>45794</v>
      </c>
      <c r="C461">
        <f>SUMIFS(Table1[Estimated  F.O.B Value $],Table1[Month],$B461)</f>
        <v>22.02</v>
      </c>
      <c r="D461">
        <f>SUMIFS(Table1[Standard Qty],Table1[Month],$B461)</f>
        <v>12</v>
      </c>
      <c r="E461">
        <f>COUNTIFS(Table1[Month],$B461)</f>
        <v>1</v>
      </c>
    </row>
    <row r="462" spans="2:5" x14ac:dyDescent="0.3">
      <c r="B462" s="40">
        <v>45796</v>
      </c>
      <c r="C462">
        <f>SUMIFS(Table1[Estimated  F.O.B Value $],Table1[Month],$B462)</f>
        <v>26.61</v>
      </c>
      <c r="D462">
        <f>SUMIFS(Table1[Standard Qty],Table1[Month],$B462)</f>
        <v>5</v>
      </c>
      <c r="E462">
        <f>COUNTIFS(Table1[Month],$B462)</f>
        <v>1</v>
      </c>
    </row>
    <row r="463" spans="2:5" x14ac:dyDescent="0.3">
      <c r="B463" s="40">
        <v>45049</v>
      </c>
      <c r="C463">
        <f>SUMIFS(Table1[Estimated  F.O.B Value $],Table1[Month],$B463)</f>
        <v>36.049999999999997</v>
      </c>
      <c r="D463">
        <f>SUMIFS(Table1[Standard Qty],Table1[Month],$B463)</f>
        <v>4</v>
      </c>
      <c r="E463">
        <f>COUNTIFS(Table1[Month],$B463)</f>
        <v>1</v>
      </c>
    </row>
    <row r="464" spans="2:5" x14ac:dyDescent="0.3">
      <c r="B464" s="40">
        <v>45800</v>
      </c>
      <c r="C464">
        <f>SUMIFS(Table1[Estimated  F.O.B Value $],Table1[Month],$B464)</f>
        <v>54.94</v>
      </c>
      <c r="D464">
        <f>SUMIFS(Table1[Standard Qty],Table1[Month],$B464)</f>
        <v>10</v>
      </c>
      <c r="E464">
        <f>COUNTIFS(Table1[Month],$B464)</f>
        <v>1</v>
      </c>
    </row>
    <row r="465" spans="2:5" x14ac:dyDescent="0.3">
      <c r="B465" s="40">
        <v>45783</v>
      </c>
      <c r="C465">
        <f>SUMIFS(Table1[Estimated  F.O.B Value $],Table1[Month],$B465)</f>
        <v>81.319999999999993</v>
      </c>
      <c r="D465">
        <f>SUMIFS(Table1[Standard Qty],Table1[Month],$B465)</f>
        <v>11</v>
      </c>
      <c r="E465">
        <f>COUNTIFS(Table1[Month],$B465)</f>
        <v>1</v>
      </c>
    </row>
    <row r="466" spans="2:5" x14ac:dyDescent="0.3">
      <c r="B466" s="40">
        <v>45785</v>
      </c>
      <c r="C466">
        <f>SUMIFS(Table1[Estimated  F.O.B Value $],Table1[Month],$B466)</f>
        <v>82.74</v>
      </c>
      <c r="D466">
        <f>SUMIFS(Table1[Standard Qty],Table1[Month],$B466)</f>
        <v>50</v>
      </c>
      <c r="E466">
        <f>COUNTIFS(Table1[Month],$B466)</f>
        <v>1</v>
      </c>
    </row>
    <row r="467" spans="2:5" x14ac:dyDescent="0.3">
      <c r="B467" s="40">
        <v>45418</v>
      </c>
      <c r="C467">
        <f>SUMIFS(Table1[Estimated  F.O.B Value $],Table1[Month],$B467)</f>
        <v>83.59</v>
      </c>
      <c r="D467">
        <f>SUMIFS(Table1[Standard Qty],Table1[Month],$B467)</f>
        <v>50</v>
      </c>
      <c r="E467">
        <f>COUNTIFS(Table1[Month],$B467)</f>
        <v>1</v>
      </c>
    </row>
    <row r="468" spans="2:5" x14ac:dyDescent="0.3">
      <c r="B468" s="40">
        <v>45782</v>
      </c>
      <c r="C468">
        <f>SUMIFS(Table1[Estimated  F.O.B Value $],Table1[Month],$B468)</f>
        <v>116.88</v>
      </c>
      <c r="D468">
        <f>SUMIFS(Table1[Standard Qty],Table1[Month],$B468)</f>
        <v>100</v>
      </c>
      <c r="E468">
        <f>COUNTIFS(Table1[Month],$B468)</f>
        <v>1</v>
      </c>
    </row>
    <row r="469" spans="2:5" x14ac:dyDescent="0.3">
      <c r="B469" s="40">
        <v>45795</v>
      </c>
      <c r="C469">
        <f>SUMIFS(Table1[Estimated  F.O.B Value $],Table1[Month],$B469)</f>
        <v>121.48</v>
      </c>
      <c r="D469">
        <f>SUMIFS(Table1[Standard Qty],Table1[Month],$B469)</f>
        <v>25</v>
      </c>
      <c r="E469">
        <f>COUNTIFS(Table1[Month],$B469)</f>
        <v>1</v>
      </c>
    </row>
    <row r="470" spans="2:5" x14ac:dyDescent="0.3">
      <c r="B470" s="40">
        <v>45416</v>
      </c>
      <c r="C470">
        <f>SUMIFS(Table1[Estimated  F.O.B Value $],Table1[Month],$B470)</f>
        <v>177.97</v>
      </c>
      <c r="D470">
        <f>SUMIFS(Table1[Standard Qty],Table1[Month],$B470)</f>
        <v>100</v>
      </c>
      <c r="E470">
        <f>COUNTIFS(Table1[Month],$B470)</f>
        <v>1</v>
      </c>
    </row>
    <row r="471" spans="2:5" x14ac:dyDescent="0.3">
      <c r="B471" s="40">
        <v>45788</v>
      </c>
      <c r="C471">
        <f>SUMIFS(Table1[Estimated  F.O.B Value $],Table1[Month],$B471)</f>
        <v>224.46</v>
      </c>
      <c r="D471">
        <f>SUMIFS(Table1[Standard Qty],Table1[Month],$B471)</f>
        <v>200</v>
      </c>
      <c r="E471">
        <f>COUNTIFS(Table1[Month],$B471)</f>
        <v>1</v>
      </c>
    </row>
    <row r="472" spans="2:5" x14ac:dyDescent="0.3">
      <c r="B472" s="40">
        <v>45780</v>
      </c>
      <c r="C472">
        <f>SUMIFS(Table1[Estimated  F.O.B Value $],Table1[Month],$B472)</f>
        <v>297</v>
      </c>
      <c r="D472">
        <f>SUMIFS(Table1[Standard Qty],Table1[Month],$B472)</f>
        <v>25.16</v>
      </c>
      <c r="E472">
        <f>COUNTIFS(Table1[Month],$B472)</f>
        <v>1</v>
      </c>
    </row>
    <row r="473" spans="2:5" x14ac:dyDescent="0.3">
      <c r="B473" s="40">
        <v>45784</v>
      </c>
      <c r="C473">
        <f>SUMIFS(Table1[Estimated  F.O.B Value $],Table1[Month],$B473)</f>
        <v>394.26</v>
      </c>
      <c r="D473">
        <f>SUMIFS(Table1[Standard Qty],Table1[Month],$B473)</f>
        <v>75</v>
      </c>
      <c r="E473">
        <f>COUNTIFS(Table1[Month],$B473)</f>
        <v>1</v>
      </c>
    </row>
    <row r="474" spans="2:5" x14ac:dyDescent="0.3">
      <c r="B474" s="40">
        <v>45786</v>
      </c>
      <c r="C474">
        <f>SUMIFS(Table1[Estimated  F.O.B Value $],Table1[Month],$B474)</f>
        <v>436.46</v>
      </c>
      <c r="D474">
        <f>SUMIFS(Table1[Standard Qty],Table1[Month],$B474)</f>
        <v>96</v>
      </c>
      <c r="E474">
        <f>COUNTIFS(Table1[Month],$B474)</f>
        <v>1</v>
      </c>
    </row>
    <row r="475" spans="2:5" x14ac:dyDescent="0.3">
      <c r="B475" s="40">
        <v>45048</v>
      </c>
      <c r="C475">
        <f>SUMIFS(Table1[Estimated  F.O.B Value $],Table1[Month],$B475)</f>
        <v>460.61</v>
      </c>
      <c r="D475">
        <f>SUMIFS(Table1[Standard Qty],Table1[Month],$B475)</f>
        <v>56</v>
      </c>
      <c r="E475">
        <f>COUNTIFS(Table1[Month],$B475)</f>
        <v>1</v>
      </c>
    </row>
    <row r="476" spans="2:5" x14ac:dyDescent="0.3">
      <c r="B476" s="40">
        <v>45415</v>
      </c>
      <c r="C476">
        <f>SUMIFS(Table1[Estimated  F.O.B Value $],Table1[Month],$B476)</f>
        <v>489.47</v>
      </c>
      <c r="D476">
        <f>SUMIFS(Table1[Standard Qty],Table1[Month],$B476)</f>
        <v>100</v>
      </c>
      <c r="E476">
        <f>COUNTIFS(Table1[Month],$B476)</f>
        <v>1</v>
      </c>
    </row>
    <row r="477" spans="2:5" x14ac:dyDescent="0.3">
      <c r="B477" s="40">
        <v>45787</v>
      </c>
      <c r="C477">
        <f>SUMIFS(Table1[Estimated  F.O.B Value $],Table1[Month],$B477)</f>
        <v>505.04</v>
      </c>
      <c r="D477">
        <f>SUMIFS(Table1[Standard Qty],Table1[Month],$B477)</f>
        <v>450</v>
      </c>
      <c r="E477">
        <f>COUNTIFS(Table1[Month],$B477)</f>
        <v>1</v>
      </c>
    </row>
    <row r="478" spans="2:5" x14ac:dyDescent="0.3">
      <c r="B478" s="40">
        <v>45790</v>
      </c>
      <c r="C478">
        <f>SUMIFS(Table1[Estimated  F.O.B Value $],Table1[Month],$B478)</f>
        <v>561.16</v>
      </c>
      <c r="D478">
        <f>SUMIFS(Table1[Standard Qty],Table1[Month],$B478)</f>
        <v>500</v>
      </c>
      <c r="E478">
        <f>COUNTIFS(Table1[Month],$B478)</f>
        <v>1</v>
      </c>
    </row>
    <row r="479" spans="2:5" x14ac:dyDescent="0.3">
      <c r="B479" s="40">
        <v>45799</v>
      </c>
      <c r="C479">
        <f>SUMIFS(Table1[Estimated  F.O.B Value $],Table1[Month],$B479)</f>
        <v>561.16</v>
      </c>
      <c r="D479">
        <f>SUMIFS(Table1[Standard Qty],Table1[Month],$B479)</f>
        <v>500</v>
      </c>
      <c r="E479">
        <f>COUNTIFS(Table1[Month],$B479)</f>
        <v>1</v>
      </c>
    </row>
    <row r="480" spans="2:5" x14ac:dyDescent="0.3">
      <c r="B480" s="40">
        <v>45798</v>
      </c>
      <c r="C480">
        <f>SUMIFS(Table1[Estimated  F.O.B Value $],Table1[Month],$B480)</f>
        <v>617.27</v>
      </c>
      <c r="D480">
        <f>SUMIFS(Table1[Standard Qty],Table1[Month],$B480)</f>
        <v>550</v>
      </c>
      <c r="E480">
        <f>COUNTIFS(Table1[Month],$B480)</f>
        <v>1</v>
      </c>
    </row>
    <row r="481" spans="2:5" x14ac:dyDescent="0.3">
      <c r="B481" s="40">
        <v>45781</v>
      </c>
      <c r="C481">
        <f>SUMIFS(Table1[Estimated  F.O.B Value $],Table1[Month],$B481)</f>
        <v>637</v>
      </c>
      <c r="D481">
        <f>SUMIFS(Table1[Standard Qty],Table1[Month],$B481)</f>
        <v>100</v>
      </c>
      <c r="E481">
        <f>COUNTIFS(Table1[Month],$B481)</f>
        <v>1</v>
      </c>
    </row>
    <row r="482" spans="2:5" x14ac:dyDescent="0.3">
      <c r="B482" s="40">
        <v>45778</v>
      </c>
      <c r="C482">
        <f>SUMIFS(Table1[Estimated  F.O.B Value $],Table1[Month],$B482)</f>
        <v>667.15</v>
      </c>
      <c r="D482">
        <f>SUMIFS(Table1[Standard Qty],Table1[Month],$B482)</f>
        <v>100</v>
      </c>
      <c r="E482">
        <f>COUNTIFS(Table1[Month],$B482)</f>
        <v>1</v>
      </c>
    </row>
    <row r="483" spans="2:5" x14ac:dyDescent="0.3">
      <c r="B483" s="40">
        <v>45791</v>
      </c>
      <c r="C483">
        <f>SUMIFS(Table1[Estimated  F.O.B Value $],Table1[Month],$B483)</f>
        <v>1114.3499999999999</v>
      </c>
      <c r="D483">
        <f>SUMIFS(Table1[Standard Qty],Table1[Month],$B483)</f>
        <v>975</v>
      </c>
      <c r="E483">
        <f>COUNTIFS(Table1[Month],$B483)</f>
        <v>1</v>
      </c>
    </row>
    <row r="484" spans="2:5" x14ac:dyDescent="0.3">
      <c r="B484" s="40">
        <v>45417</v>
      </c>
      <c r="C484">
        <f>SUMIFS(Table1[Estimated  F.O.B Value $],Table1[Month],$B484)</f>
        <v>1843.87</v>
      </c>
      <c r="D484">
        <f>SUMIFS(Table1[Standard Qty],Table1[Month],$B484)</f>
        <v>294</v>
      </c>
      <c r="E484">
        <f>COUNTIFS(Table1[Month],$B484)</f>
        <v>1</v>
      </c>
    </row>
    <row r="485" spans="2:5" x14ac:dyDescent="0.3">
      <c r="B485" s="40">
        <v>45797</v>
      </c>
      <c r="C485">
        <f>SUMIFS(Table1[Estimated  F.O.B Value $],Table1[Month],$B485)</f>
        <v>2238.7199999999998</v>
      </c>
      <c r="D485">
        <f>SUMIFS(Table1[Standard Qty],Table1[Month],$B485)</f>
        <v>2000</v>
      </c>
      <c r="E485">
        <f>COUNTIFS(Table1[Month],$B485)</f>
        <v>1</v>
      </c>
    </row>
    <row r="486" spans="2:5" x14ac:dyDescent="0.3">
      <c r="B486" s="40">
        <v>45793</v>
      </c>
      <c r="C486">
        <f>SUMIFS(Table1[Estimated  F.O.B Value $],Table1[Month],$B486)</f>
        <v>2285.86</v>
      </c>
      <c r="D486">
        <f>SUMIFS(Table1[Standard Qty],Table1[Month],$B486)</f>
        <v>2000</v>
      </c>
      <c r="E486">
        <f>COUNTIFS(Table1[Month],$B486)</f>
        <v>1</v>
      </c>
    </row>
    <row r="487" spans="2:5" x14ac:dyDescent="0.3">
      <c r="B487" s="40">
        <v>45047</v>
      </c>
      <c r="C487">
        <f>SUMIFS(Table1[Estimated  F.O.B Value $],Table1[Month],$B487)</f>
        <v>3061.28</v>
      </c>
      <c r="D487">
        <f>SUMIFS(Table1[Standard Qty],Table1[Month],$B487)</f>
        <v>495</v>
      </c>
      <c r="E487">
        <f>COUNTIFS(Table1[Month],$B487)</f>
        <v>1</v>
      </c>
    </row>
    <row r="488" spans="2:5" x14ac:dyDescent="0.3">
      <c r="B488" s="40">
        <v>45413</v>
      </c>
      <c r="C488">
        <f>SUMIFS(Table1[Estimated  F.O.B Value $],Table1[Month],$B488)</f>
        <v>3407.21</v>
      </c>
      <c r="D488">
        <f>SUMIFS(Table1[Standard Qty],Table1[Month],$B488)</f>
        <v>2000</v>
      </c>
      <c r="E488">
        <f>COUNTIFS(Table1[Month],$B488)</f>
        <v>1</v>
      </c>
    </row>
    <row r="489" spans="2:5" x14ac:dyDescent="0.3">
      <c r="B489" s="40">
        <v>45789</v>
      </c>
      <c r="C489">
        <f>SUMIFS(Table1[Estimated  F.O.B Value $],Table1[Month],$B489)</f>
        <v>4571.71</v>
      </c>
      <c r="D489">
        <f>SUMIFS(Table1[Standard Qty],Table1[Month],$B489)</f>
        <v>4000</v>
      </c>
      <c r="E489">
        <f>COUNTIFS(Table1[Month],$B489)</f>
        <v>1</v>
      </c>
    </row>
    <row r="490" spans="2:5" x14ac:dyDescent="0.3">
      <c r="B490" s="40">
        <v>45792</v>
      </c>
      <c r="C490">
        <f>SUMIFS(Table1[Estimated  F.O.B Value $],Table1[Month],$B490)</f>
        <v>4571.71</v>
      </c>
      <c r="D490">
        <f>SUMIFS(Table1[Standard Qty],Table1[Month],$B490)</f>
        <v>4000</v>
      </c>
      <c r="E490">
        <f>COUNTIFS(Table1[Month],$B490)</f>
        <v>1</v>
      </c>
    </row>
    <row r="491" spans="2:5" x14ac:dyDescent="0.3">
      <c r="B491" s="40">
        <v>44682</v>
      </c>
      <c r="C491">
        <f>SUMIFS(Table1[Estimated  F.O.B Value $],Table1[Month],$B491)</f>
        <v>5706.69</v>
      </c>
      <c r="D491">
        <f>SUMIFS(Table1[Standard Qty],Table1[Month],$B491)</f>
        <v>1027</v>
      </c>
      <c r="E491">
        <f>COUNTIFS(Table1[Month],$B491)</f>
        <v>4</v>
      </c>
    </row>
    <row r="492" spans="2:5" x14ac:dyDescent="0.3">
      <c r="B492" s="40">
        <v>45414</v>
      </c>
      <c r="C492">
        <f>SUMIFS(Table1[Estimated  F.O.B Value $],Table1[Month],$B492)</f>
        <v>6814.43</v>
      </c>
      <c r="D492">
        <f>SUMIFS(Table1[Standard Qty],Table1[Month],$B492)</f>
        <v>4000</v>
      </c>
      <c r="E492">
        <f>COUNTIFS(Table1[Month],$B492)</f>
        <v>1</v>
      </c>
    </row>
    <row r="493" spans="2:5" x14ac:dyDescent="0.3">
      <c r="B493" s="40">
        <v>45779</v>
      </c>
      <c r="C493">
        <f>SUMIFS(Table1[Estimated  F.O.B Value $],Table1[Month],$B493)</f>
        <v>9253.9699999999993</v>
      </c>
      <c r="D493">
        <f>SUMIFS(Table1[Standard Qty],Table1[Month],$B493)</f>
        <v>25</v>
      </c>
      <c r="E493">
        <f>COUNTIFS(Table1[Month],$B493)</f>
        <v>1</v>
      </c>
    </row>
    <row r="494" spans="2:5" x14ac:dyDescent="0.3">
      <c r="B494" s="40">
        <v>45444</v>
      </c>
      <c r="C494">
        <f>SUMIFS(Table1[Estimated  F.O.B Value $],Table1[Month],$B494)</f>
        <v>9.49</v>
      </c>
      <c r="D494">
        <f>SUMIFS(Table1[Standard Qty],Table1[Month],$B494)</f>
        <v>1</v>
      </c>
      <c r="E494">
        <f>COUNTIFS(Table1[Month],$B494)</f>
        <v>1</v>
      </c>
    </row>
    <row r="495" spans="2:5" x14ac:dyDescent="0.3">
      <c r="B495" s="40">
        <v>45811</v>
      </c>
      <c r="C495">
        <f>SUMIFS(Table1[Estimated  F.O.B Value $],Table1[Month],$B495)</f>
        <v>47.08</v>
      </c>
      <c r="D495">
        <f>SUMIFS(Table1[Standard Qty],Table1[Month],$B495)</f>
        <v>18</v>
      </c>
      <c r="E495">
        <f>COUNTIFS(Table1[Month],$B495)</f>
        <v>1</v>
      </c>
    </row>
    <row r="496" spans="2:5" x14ac:dyDescent="0.3">
      <c r="B496" s="40">
        <v>45446</v>
      </c>
      <c r="C496">
        <f>SUMIFS(Table1[Estimated  F.O.B Value $],Table1[Month],$B496)</f>
        <v>53.98</v>
      </c>
      <c r="D496">
        <f>SUMIFS(Table1[Standard Qty],Table1[Month],$B496)</f>
        <v>7</v>
      </c>
      <c r="E496">
        <f>COUNTIFS(Table1[Month],$B496)</f>
        <v>1</v>
      </c>
    </row>
    <row r="497" spans="2:5" x14ac:dyDescent="0.3">
      <c r="B497" s="40">
        <v>45078</v>
      </c>
      <c r="C497">
        <f>SUMIFS(Table1[Estimated  F.O.B Value $],Table1[Month],$B497)</f>
        <v>71.97</v>
      </c>
      <c r="D497">
        <f>SUMIFS(Table1[Standard Qty],Table1[Month],$B497)</f>
        <v>13</v>
      </c>
      <c r="E497">
        <f>COUNTIFS(Table1[Month],$B497)</f>
        <v>1</v>
      </c>
    </row>
    <row r="498" spans="2:5" x14ac:dyDescent="0.3">
      <c r="B498" s="40">
        <v>45083</v>
      </c>
      <c r="C498">
        <f>SUMIFS(Table1[Estimated  F.O.B Value $],Table1[Month],$B498)</f>
        <v>108.42</v>
      </c>
      <c r="D498">
        <f>SUMIFS(Table1[Standard Qty],Table1[Month],$B498)</f>
        <v>12.5</v>
      </c>
      <c r="E498">
        <f>COUNTIFS(Table1[Month],$B498)</f>
        <v>1</v>
      </c>
    </row>
    <row r="499" spans="2:5" x14ac:dyDescent="0.3">
      <c r="B499" s="40">
        <v>45455</v>
      </c>
      <c r="C499">
        <f>SUMIFS(Table1[Estimated  F.O.B Value $],Table1[Month],$B499)</f>
        <v>118.65</v>
      </c>
      <c r="D499">
        <f>SUMIFS(Table1[Standard Qty],Table1[Month],$B499)</f>
        <v>25</v>
      </c>
      <c r="E499">
        <f>COUNTIFS(Table1[Month],$B499)</f>
        <v>1</v>
      </c>
    </row>
    <row r="500" spans="2:5" x14ac:dyDescent="0.3">
      <c r="B500" s="40">
        <v>45082</v>
      </c>
      <c r="C500">
        <f>SUMIFS(Table1[Estimated  F.O.B Value $],Table1[Month],$B500)</f>
        <v>131.94999999999999</v>
      </c>
      <c r="D500">
        <f>SUMIFS(Table1[Standard Qty],Table1[Month],$B500)</f>
        <v>25</v>
      </c>
      <c r="E500">
        <f>COUNTIFS(Table1[Month],$B500)</f>
        <v>1</v>
      </c>
    </row>
    <row r="501" spans="2:5" x14ac:dyDescent="0.3">
      <c r="B501" s="40">
        <v>45454</v>
      </c>
      <c r="C501">
        <f>SUMIFS(Table1[Estimated  F.O.B Value $],Table1[Month],$B501)</f>
        <v>163.72999999999999</v>
      </c>
      <c r="D501">
        <f>SUMIFS(Table1[Standard Qty],Table1[Month],$B501)</f>
        <v>30</v>
      </c>
      <c r="E501">
        <f>COUNTIFS(Table1[Month],$B501)</f>
        <v>1</v>
      </c>
    </row>
    <row r="502" spans="2:5" x14ac:dyDescent="0.3">
      <c r="B502" s="40">
        <v>45086</v>
      </c>
      <c r="C502">
        <f>SUMIFS(Table1[Estimated  F.O.B Value $],Table1[Month],$B502)</f>
        <v>168.66</v>
      </c>
      <c r="D502">
        <f>SUMIFS(Table1[Standard Qty],Table1[Month],$B502)</f>
        <v>25</v>
      </c>
      <c r="E502">
        <f>COUNTIFS(Table1[Month],$B502)</f>
        <v>1</v>
      </c>
    </row>
    <row r="503" spans="2:5" x14ac:dyDescent="0.3">
      <c r="B503" s="40">
        <v>45449</v>
      </c>
      <c r="C503">
        <f>SUMIFS(Table1[Estimated  F.O.B Value $],Table1[Month],$B503)</f>
        <v>177.97</v>
      </c>
      <c r="D503">
        <f>SUMIFS(Table1[Standard Qty],Table1[Month],$B503)</f>
        <v>100</v>
      </c>
      <c r="E503">
        <f>COUNTIFS(Table1[Month],$B503)</f>
        <v>1</v>
      </c>
    </row>
    <row r="504" spans="2:5" x14ac:dyDescent="0.3">
      <c r="B504" s="40">
        <v>45815</v>
      </c>
      <c r="C504">
        <f>SUMIFS(Table1[Estimated  F.O.B Value $],Table1[Month],$B504)</f>
        <v>252.94</v>
      </c>
      <c r="D504">
        <f>SUMIFS(Table1[Standard Qty],Table1[Month],$B504)</f>
        <v>9</v>
      </c>
      <c r="E504">
        <f>COUNTIFS(Table1[Month],$B504)</f>
        <v>1</v>
      </c>
    </row>
    <row r="505" spans="2:5" x14ac:dyDescent="0.3">
      <c r="B505" s="40">
        <v>45450</v>
      </c>
      <c r="C505">
        <f>SUMIFS(Table1[Estimated  F.O.B Value $],Table1[Month],$B505)</f>
        <v>279.42</v>
      </c>
      <c r="D505">
        <f>SUMIFS(Table1[Standard Qty],Table1[Month],$B505)</f>
        <v>50</v>
      </c>
      <c r="E505">
        <f>COUNTIFS(Table1[Month],$B505)</f>
        <v>1</v>
      </c>
    </row>
    <row r="506" spans="2:5" x14ac:dyDescent="0.3">
      <c r="B506" s="40">
        <v>44713</v>
      </c>
      <c r="C506">
        <f>SUMIFS(Table1[Estimated  F.O.B Value $],Table1[Month],$B506)</f>
        <v>390.63</v>
      </c>
      <c r="D506">
        <f>SUMIFS(Table1[Standard Qty],Table1[Month],$B506)</f>
        <v>45</v>
      </c>
      <c r="E506">
        <f>COUNTIFS(Table1[Month],$B506)</f>
        <v>1</v>
      </c>
    </row>
    <row r="507" spans="2:5" x14ac:dyDescent="0.3">
      <c r="B507" s="40">
        <v>45079</v>
      </c>
      <c r="C507">
        <f>SUMIFS(Table1[Estimated  F.O.B Value $],Table1[Month],$B507)</f>
        <v>395.84</v>
      </c>
      <c r="D507">
        <f>SUMIFS(Table1[Standard Qty],Table1[Month],$B507)</f>
        <v>50</v>
      </c>
      <c r="E507">
        <f>COUNTIFS(Table1[Month],$B507)</f>
        <v>1</v>
      </c>
    </row>
    <row r="508" spans="2:5" x14ac:dyDescent="0.3">
      <c r="B508" s="40">
        <v>45813</v>
      </c>
      <c r="C508">
        <f>SUMIFS(Table1[Estimated  F.O.B Value $],Table1[Month],$B508)</f>
        <v>403.29</v>
      </c>
      <c r="D508">
        <f>SUMIFS(Table1[Standard Qty],Table1[Month],$B508)</f>
        <v>250</v>
      </c>
      <c r="E508">
        <f>COUNTIFS(Table1[Month],$B508)</f>
        <v>1</v>
      </c>
    </row>
    <row r="509" spans="2:5" x14ac:dyDescent="0.3">
      <c r="B509" s="40">
        <v>45081</v>
      </c>
      <c r="C509">
        <f>SUMIFS(Table1[Estimated  F.O.B Value $],Table1[Month],$B509)</f>
        <v>443.82</v>
      </c>
      <c r="D509">
        <f>SUMIFS(Table1[Standard Qty],Table1[Month],$B509)</f>
        <v>100</v>
      </c>
      <c r="E509">
        <f>COUNTIFS(Table1[Month],$B509)</f>
        <v>1</v>
      </c>
    </row>
    <row r="510" spans="2:5" x14ac:dyDescent="0.3">
      <c r="B510" s="40">
        <v>45085</v>
      </c>
      <c r="C510">
        <f>SUMIFS(Table1[Estimated  F.O.B Value $],Table1[Month],$B510)</f>
        <v>457.78</v>
      </c>
      <c r="D510">
        <f>SUMIFS(Table1[Standard Qty],Table1[Month],$B510)</f>
        <v>50</v>
      </c>
      <c r="E510">
        <f>COUNTIFS(Table1[Month],$B510)</f>
        <v>1</v>
      </c>
    </row>
    <row r="511" spans="2:5" x14ac:dyDescent="0.3">
      <c r="B511" s="40">
        <v>45822</v>
      </c>
      <c r="C511">
        <f>SUMIFS(Table1[Estimated  F.O.B Value $],Table1[Month],$B511)</f>
        <v>609.94000000000005</v>
      </c>
      <c r="D511">
        <f>SUMIFS(Table1[Standard Qty],Table1[Month],$B511)</f>
        <v>500</v>
      </c>
      <c r="E511">
        <f>COUNTIFS(Table1[Month],$B511)</f>
        <v>1</v>
      </c>
    </row>
    <row r="512" spans="2:5" x14ac:dyDescent="0.3">
      <c r="B512" s="40">
        <v>45451</v>
      </c>
      <c r="C512">
        <f>SUMIFS(Table1[Estimated  F.O.B Value $],Table1[Month],$B512)</f>
        <v>711.86</v>
      </c>
      <c r="D512">
        <f>SUMIFS(Table1[Standard Qty],Table1[Month],$B512)</f>
        <v>500</v>
      </c>
      <c r="E512">
        <f>COUNTIFS(Table1[Month],$B512)</f>
        <v>1</v>
      </c>
    </row>
    <row r="513" spans="2:5" x14ac:dyDescent="0.3">
      <c r="B513" s="40">
        <v>45445</v>
      </c>
      <c r="C513">
        <f>SUMIFS(Table1[Estimated  F.O.B Value $],Table1[Month],$B513)</f>
        <v>714</v>
      </c>
      <c r="D513">
        <f>SUMIFS(Table1[Standard Qty],Table1[Month],$B513)</f>
        <v>750</v>
      </c>
      <c r="E513">
        <f>COUNTIFS(Table1[Month],$B513)</f>
        <v>1</v>
      </c>
    </row>
    <row r="514" spans="2:5" x14ac:dyDescent="0.3">
      <c r="B514" s="40">
        <v>45812</v>
      </c>
      <c r="C514">
        <f>SUMIFS(Table1[Estimated  F.O.B Value $],Table1[Month],$B514)</f>
        <v>908.64</v>
      </c>
      <c r="D514">
        <f>SUMIFS(Table1[Standard Qty],Table1[Month],$B514)</f>
        <v>100</v>
      </c>
      <c r="E514">
        <f>COUNTIFS(Table1[Month],$B514)</f>
        <v>1</v>
      </c>
    </row>
    <row r="515" spans="2:5" x14ac:dyDescent="0.3">
      <c r="B515" s="40">
        <v>45452</v>
      </c>
      <c r="C515">
        <f>SUMIFS(Table1[Estimated  F.O.B Value $],Table1[Month],$B515)</f>
        <v>954.63</v>
      </c>
      <c r="D515">
        <f>SUMIFS(Table1[Standard Qty],Table1[Month],$B515)</f>
        <v>175</v>
      </c>
      <c r="E515">
        <f>COUNTIFS(Table1[Month],$B515)</f>
        <v>1</v>
      </c>
    </row>
    <row r="516" spans="2:5" x14ac:dyDescent="0.3">
      <c r="B516" s="40">
        <v>45448</v>
      </c>
      <c r="C516">
        <f>SUMIFS(Table1[Estimated  F.O.B Value $],Table1[Month],$B516)</f>
        <v>1047.32</v>
      </c>
      <c r="D516">
        <f>SUMIFS(Table1[Standard Qty],Table1[Month],$B516)</f>
        <v>200</v>
      </c>
      <c r="E516">
        <f>COUNTIFS(Table1[Month],$B516)</f>
        <v>1</v>
      </c>
    </row>
    <row r="517" spans="2:5" x14ac:dyDescent="0.3">
      <c r="B517" s="40">
        <v>45809</v>
      </c>
      <c r="C517">
        <f>SUMIFS(Table1[Estimated  F.O.B Value $],Table1[Month],$B517)</f>
        <v>1298.1400000000001</v>
      </c>
      <c r="D517">
        <f>SUMIFS(Table1[Standard Qty],Table1[Month],$B517)</f>
        <v>300</v>
      </c>
      <c r="E517">
        <f>COUNTIFS(Table1[Month],$B517)</f>
        <v>1</v>
      </c>
    </row>
    <row r="518" spans="2:5" x14ac:dyDescent="0.3">
      <c r="B518" s="40">
        <v>45814</v>
      </c>
      <c r="C518">
        <f>SUMIFS(Table1[Estimated  F.O.B Value $],Table1[Month],$B518)</f>
        <v>1422.15</v>
      </c>
      <c r="D518">
        <f>SUMIFS(Table1[Standard Qty],Table1[Month],$B518)</f>
        <v>206.25</v>
      </c>
      <c r="E518">
        <f>COUNTIFS(Table1[Month],$B518)</f>
        <v>1</v>
      </c>
    </row>
    <row r="519" spans="2:5" x14ac:dyDescent="0.3">
      <c r="B519" s="40">
        <v>45817</v>
      </c>
      <c r="C519">
        <f>SUMIFS(Table1[Estimated  F.O.B Value $],Table1[Month],$B519)</f>
        <v>1489.73</v>
      </c>
      <c r="D519">
        <f>SUMIFS(Table1[Standard Qty],Table1[Month],$B519)</f>
        <v>400</v>
      </c>
      <c r="E519">
        <f>COUNTIFS(Table1[Month],$B519)</f>
        <v>1</v>
      </c>
    </row>
    <row r="520" spans="2:5" x14ac:dyDescent="0.3">
      <c r="B520" s="40">
        <v>45447</v>
      </c>
      <c r="C520">
        <f>SUMIFS(Table1[Estimated  F.O.B Value $],Table1[Month],$B520)</f>
        <v>2555.41</v>
      </c>
      <c r="D520">
        <f>SUMIFS(Table1[Standard Qty],Table1[Month],$B520)</f>
        <v>1500</v>
      </c>
      <c r="E520">
        <f>COUNTIFS(Table1[Month],$B520)</f>
        <v>1</v>
      </c>
    </row>
    <row r="521" spans="2:5" x14ac:dyDescent="0.3">
      <c r="B521" s="40">
        <v>45821</v>
      </c>
      <c r="C521">
        <f>SUMIFS(Table1[Estimated  F.O.B Value $],Table1[Month],$B521)</f>
        <v>2833.18</v>
      </c>
      <c r="D521">
        <f>SUMIFS(Table1[Standard Qty],Table1[Month],$B521)</f>
        <v>2000</v>
      </c>
      <c r="E521">
        <f>COUNTIFS(Table1[Month],$B521)</f>
        <v>1</v>
      </c>
    </row>
    <row r="522" spans="2:5" x14ac:dyDescent="0.3">
      <c r="B522" s="40">
        <v>45453</v>
      </c>
      <c r="C522">
        <f>SUMIFS(Table1[Estimated  F.O.B Value $],Table1[Month],$B522)</f>
        <v>2984.65</v>
      </c>
      <c r="D522">
        <f>SUMIFS(Table1[Standard Qty],Table1[Month],$B522)</f>
        <v>500</v>
      </c>
      <c r="E522">
        <f>COUNTIFS(Table1[Month],$B522)</f>
        <v>1</v>
      </c>
    </row>
    <row r="523" spans="2:5" x14ac:dyDescent="0.3">
      <c r="B523" s="40">
        <v>45084</v>
      </c>
      <c r="C523">
        <f>SUMIFS(Table1[Estimated  F.O.B Value $],Table1[Month],$B523)</f>
        <v>3091.53</v>
      </c>
      <c r="D523">
        <f>SUMIFS(Table1[Standard Qty],Table1[Month],$B523)</f>
        <v>495</v>
      </c>
      <c r="E523">
        <f>COUNTIFS(Table1[Month],$B523)</f>
        <v>1</v>
      </c>
    </row>
    <row r="524" spans="2:5" x14ac:dyDescent="0.3">
      <c r="B524" s="40">
        <v>45820</v>
      </c>
      <c r="C524">
        <f>SUMIFS(Table1[Estimated  F.O.B Value $],Table1[Month],$B524)</f>
        <v>3281.42</v>
      </c>
      <c r="D524">
        <f>SUMIFS(Table1[Standard Qty],Table1[Month],$B524)</f>
        <v>750</v>
      </c>
      <c r="E524">
        <f>COUNTIFS(Table1[Month],$B524)</f>
        <v>1</v>
      </c>
    </row>
    <row r="525" spans="2:5" x14ac:dyDescent="0.3">
      <c r="B525" s="40">
        <v>45816</v>
      </c>
      <c r="C525">
        <f>SUMIFS(Table1[Estimated  F.O.B Value $],Table1[Month],$B525)</f>
        <v>3309.07</v>
      </c>
      <c r="D525">
        <f>SUMIFS(Table1[Standard Qty],Table1[Month],$B525)</f>
        <v>2000</v>
      </c>
      <c r="E525">
        <f>COUNTIFS(Table1[Month],$B525)</f>
        <v>1</v>
      </c>
    </row>
    <row r="526" spans="2:5" x14ac:dyDescent="0.3">
      <c r="B526" s="40">
        <v>45080</v>
      </c>
      <c r="C526">
        <f>SUMIFS(Table1[Estimated  F.O.B Value $],Table1[Month],$B526)</f>
        <v>5509.16</v>
      </c>
      <c r="D526">
        <f>SUMIFS(Table1[Standard Qty],Table1[Month],$B526)</f>
        <v>1000</v>
      </c>
      <c r="E526">
        <f>COUNTIFS(Table1[Month],$B526)</f>
        <v>1</v>
      </c>
    </row>
    <row r="527" spans="2:5" x14ac:dyDescent="0.3">
      <c r="B527" s="40">
        <v>45818</v>
      </c>
      <c r="C527">
        <f>SUMIFS(Table1[Estimated  F.O.B Value $],Table1[Month],$B527)</f>
        <v>5573.47</v>
      </c>
      <c r="D527">
        <f>SUMIFS(Table1[Standard Qty],Table1[Month],$B527)</f>
        <v>1500</v>
      </c>
      <c r="E527">
        <f>COUNTIFS(Table1[Month],$B527)</f>
        <v>1</v>
      </c>
    </row>
    <row r="528" spans="2:5" x14ac:dyDescent="0.3">
      <c r="B528" s="40">
        <v>45810</v>
      </c>
      <c r="C528">
        <f>SUMIFS(Table1[Estimated  F.O.B Value $],Table1[Month],$B528)</f>
        <v>6468.74</v>
      </c>
      <c r="D528">
        <f>SUMIFS(Table1[Standard Qty],Table1[Month],$B528)</f>
        <v>4500</v>
      </c>
      <c r="E528">
        <f>COUNTIFS(Table1[Month],$B528)</f>
        <v>1</v>
      </c>
    </row>
    <row r="529" spans="2:5" x14ac:dyDescent="0.3">
      <c r="B529" s="40">
        <v>45819</v>
      </c>
      <c r="C529">
        <f>SUMIFS(Table1[Estimated  F.O.B Value $],Table1[Month],$B529)</f>
        <v>7082.96</v>
      </c>
      <c r="D529">
        <f>SUMIFS(Table1[Standard Qty],Table1[Month],$B529)</f>
        <v>5000</v>
      </c>
      <c r="E529">
        <f>COUNTIFS(Table1[Month],$B529)</f>
        <v>1</v>
      </c>
    </row>
    <row r="530" spans="2:5" x14ac:dyDescent="0.3">
      <c r="B530" s="40">
        <v>45823</v>
      </c>
      <c r="C530">
        <f>SUMIFS(Table1[Estimated  F.O.B Value $],Table1[Month],$B530)</f>
        <v>27689.119999999999</v>
      </c>
      <c r="D530">
        <f>SUMIFS(Table1[Standard Qty],Table1[Month],$B530)</f>
        <v>4500</v>
      </c>
      <c r="E530">
        <f>COUNTIFS(Table1[Month],$B530)</f>
        <v>1</v>
      </c>
    </row>
    <row r="531" spans="2:5" x14ac:dyDescent="0.3">
      <c r="B531" s="40">
        <v>45476</v>
      </c>
      <c r="C531">
        <f>SUMIFS(Table1[Estimated  F.O.B Value $],Table1[Month],$B531)</f>
        <v>118.65</v>
      </c>
      <c r="D531">
        <f>SUMIFS(Table1[Standard Qty],Table1[Month],$B531)</f>
        <v>25</v>
      </c>
      <c r="E531">
        <f>COUNTIFS(Table1[Month],$B531)</f>
        <v>1</v>
      </c>
    </row>
    <row r="532" spans="2:5" x14ac:dyDescent="0.3">
      <c r="B532" s="40">
        <v>45486</v>
      </c>
      <c r="C532">
        <f>SUMIFS(Table1[Estimated  F.O.B Value $],Table1[Month],$B532)</f>
        <v>142.37</v>
      </c>
      <c r="D532">
        <f>SUMIFS(Table1[Standard Qty],Table1[Month],$B532)</f>
        <v>100</v>
      </c>
      <c r="E532">
        <f>COUNTIFS(Table1[Month],$B532)</f>
        <v>1</v>
      </c>
    </row>
    <row r="533" spans="2:5" x14ac:dyDescent="0.3">
      <c r="B533" s="40">
        <v>45477</v>
      </c>
      <c r="C533">
        <f>SUMIFS(Table1[Estimated  F.O.B Value $],Table1[Month],$B533)</f>
        <v>163.72999999999999</v>
      </c>
      <c r="D533">
        <f>SUMIFS(Table1[Standard Qty],Table1[Month],$B533)</f>
        <v>30</v>
      </c>
      <c r="E533">
        <f>COUNTIFS(Table1[Month],$B533)</f>
        <v>1</v>
      </c>
    </row>
    <row r="534" spans="2:5" x14ac:dyDescent="0.3">
      <c r="B534" s="40">
        <v>45857</v>
      </c>
      <c r="C534">
        <f>SUMIFS(Table1[Estimated  F.O.B Value $],Table1[Month],$B534)</f>
        <v>230.32</v>
      </c>
      <c r="D534">
        <f>SUMIFS(Table1[Standard Qty],Table1[Month],$B534)</f>
        <v>50</v>
      </c>
      <c r="E534">
        <f>COUNTIFS(Table1[Month],$B534)</f>
        <v>1</v>
      </c>
    </row>
    <row r="535" spans="2:5" x14ac:dyDescent="0.3">
      <c r="B535" s="40">
        <v>45849</v>
      </c>
      <c r="C535">
        <f>SUMIFS(Table1[Estimated  F.O.B Value $],Table1[Month],$B535)</f>
        <v>280.66000000000003</v>
      </c>
      <c r="D535">
        <f>SUMIFS(Table1[Standard Qty],Table1[Month],$B535)</f>
        <v>200</v>
      </c>
      <c r="E535">
        <f>COUNTIFS(Table1[Month],$B535)</f>
        <v>1</v>
      </c>
    </row>
    <row r="536" spans="2:5" x14ac:dyDescent="0.3">
      <c r="B536" s="40">
        <v>45475</v>
      </c>
      <c r="C536">
        <f>SUMIFS(Table1[Estimated  F.O.B Value $],Table1[Month],$B536)</f>
        <v>367.02</v>
      </c>
      <c r="D536">
        <f>SUMIFS(Table1[Standard Qty],Table1[Month],$B536)</f>
        <v>50</v>
      </c>
      <c r="E536">
        <f>COUNTIFS(Table1[Month],$B536)</f>
        <v>1</v>
      </c>
    </row>
    <row r="537" spans="2:5" x14ac:dyDescent="0.3">
      <c r="B537" s="40">
        <v>45480</v>
      </c>
      <c r="C537">
        <f>SUMIFS(Table1[Estimated  F.O.B Value $],Table1[Month],$B537)</f>
        <v>462.48</v>
      </c>
      <c r="D537">
        <f>SUMIFS(Table1[Standard Qty],Table1[Month],$B537)</f>
        <v>100</v>
      </c>
      <c r="E537">
        <f>COUNTIFS(Table1[Month],$B537)</f>
        <v>1</v>
      </c>
    </row>
    <row r="538" spans="2:5" x14ac:dyDescent="0.3">
      <c r="B538" s="40">
        <v>45482</v>
      </c>
      <c r="C538">
        <f>SUMIFS(Table1[Estimated  F.O.B Value $],Table1[Month],$B538)</f>
        <v>503.69</v>
      </c>
      <c r="D538">
        <f>SUMIFS(Table1[Standard Qty],Table1[Month],$B538)</f>
        <v>67.2</v>
      </c>
      <c r="E538">
        <f>COUNTIFS(Table1[Month],$B538)</f>
        <v>1</v>
      </c>
    </row>
    <row r="539" spans="2:5" x14ac:dyDescent="0.3">
      <c r="B539" s="40">
        <v>45852</v>
      </c>
      <c r="C539">
        <f>SUMIFS(Table1[Estimated  F.O.B Value $],Table1[Month],$B539)</f>
        <v>696.71</v>
      </c>
      <c r="D539">
        <f>SUMIFS(Table1[Standard Qty],Table1[Month],$B539)</f>
        <v>500</v>
      </c>
      <c r="E539">
        <f>COUNTIFS(Table1[Month],$B539)</f>
        <v>1</v>
      </c>
    </row>
    <row r="540" spans="2:5" x14ac:dyDescent="0.3">
      <c r="B540" s="40">
        <v>45487</v>
      </c>
      <c r="C540">
        <f>SUMIFS(Table1[Estimated  F.O.B Value $],Table1[Month],$B540)</f>
        <v>765.16</v>
      </c>
      <c r="D540">
        <f>SUMIFS(Table1[Standard Qty],Table1[Month],$B540)</f>
        <v>100</v>
      </c>
      <c r="E540">
        <f>COUNTIFS(Table1[Month],$B540)</f>
        <v>1</v>
      </c>
    </row>
    <row r="541" spans="2:5" x14ac:dyDescent="0.3">
      <c r="B541" s="40">
        <v>45485</v>
      </c>
      <c r="C541">
        <f>SUMIFS(Table1[Estimated  F.O.B Value $],Table1[Month],$B541)</f>
        <v>836.44</v>
      </c>
      <c r="D541">
        <f>SUMIFS(Table1[Standard Qty],Table1[Month],$B541)</f>
        <v>500</v>
      </c>
      <c r="E541">
        <f>COUNTIFS(Table1[Month],$B541)</f>
        <v>1</v>
      </c>
    </row>
    <row r="542" spans="2:5" x14ac:dyDescent="0.3">
      <c r="B542" s="40">
        <v>45108</v>
      </c>
      <c r="C542">
        <f>SUMIFS(Table1[Estimated  F.O.B Value $],Table1[Month],$B542)</f>
        <v>1104.1199999999999</v>
      </c>
      <c r="D542">
        <f>SUMIFS(Table1[Standard Qty],Table1[Month],$B542)</f>
        <v>144</v>
      </c>
      <c r="E542">
        <f>COUNTIFS(Table1[Month],$B542)</f>
        <v>1</v>
      </c>
    </row>
    <row r="543" spans="2:5" x14ac:dyDescent="0.3">
      <c r="B543" s="40">
        <v>45854</v>
      </c>
      <c r="C543">
        <f>SUMIFS(Table1[Estimated  F.O.B Value $],Table1[Month],$B543)</f>
        <v>1206.1600000000001</v>
      </c>
      <c r="D543">
        <f>SUMIFS(Table1[Standard Qty],Table1[Month],$B543)</f>
        <v>850</v>
      </c>
      <c r="E543">
        <f>COUNTIFS(Table1[Month],$B543)</f>
        <v>1</v>
      </c>
    </row>
    <row r="544" spans="2:5" x14ac:dyDescent="0.3">
      <c r="B544" s="40">
        <v>45110</v>
      </c>
      <c r="C544">
        <f>SUMIFS(Table1[Estimated  F.O.B Value $],Table1[Month],$B544)</f>
        <v>1364.27</v>
      </c>
      <c r="D544">
        <f>SUMIFS(Table1[Standard Qty],Table1[Month],$B544)</f>
        <v>200</v>
      </c>
      <c r="E544">
        <f>COUNTIFS(Table1[Month],$B544)</f>
        <v>1</v>
      </c>
    </row>
    <row r="545" spans="2:5" x14ac:dyDescent="0.3">
      <c r="B545" s="40">
        <v>45840</v>
      </c>
      <c r="C545">
        <f>SUMIFS(Table1[Estimated  F.O.B Value $],Table1[Month],$B545)</f>
        <v>1404.98</v>
      </c>
      <c r="D545">
        <f>SUMIFS(Table1[Standard Qty],Table1[Month],$B545)</f>
        <v>1000</v>
      </c>
      <c r="E545">
        <f>COUNTIFS(Table1[Month],$B545)</f>
        <v>1</v>
      </c>
    </row>
    <row r="546" spans="2:5" x14ac:dyDescent="0.3">
      <c r="B546" s="40">
        <v>45860</v>
      </c>
      <c r="C546">
        <f>SUMIFS(Table1[Estimated  F.O.B Value $],Table1[Month],$B546)</f>
        <v>1419.01</v>
      </c>
      <c r="D546">
        <f>SUMIFS(Table1[Standard Qty],Table1[Month],$B546)</f>
        <v>1000</v>
      </c>
      <c r="E546">
        <f>COUNTIFS(Table1[Month],$B546)</f>
        <v>1</v>
      </c>
    </row>
    <row r="547" spans="2:5" x14ac:dyDescent="0.3">
      <c r="B547" s="40">
        <v>45856</v>
      </c>
      <c r="C547">
        <f>SUMIFS(Table1[Estimated  F.O.B Value $],Table1[Month],$B547)</f>
        <v>1422.15</v>
      </c>
      <c r="D547">
        <f>SUMIFS(Table1[Standard Qty],Table1[Month],$B547)</f>
        <v>206.25</v>
      </c>
      <c r="E547">
        <f>COUNTIFS(Table1[Month],$B547)</f>
        <v>1</v>
      </c>
    </row>
    <row r="548" spans="2:5" x14ac:dyDescent="0.3">
      <c r="B548" s="40">
        <v>45847</v>
      </c>
      <c r="C548">
        <f>SUMIFS(Table1[Estimated  F.O.B Value $],Table1[Month],$B548)</f>
        <v>1429.09</v>
      </c>
      <c r="D548">
        <f>SUMIFS(Table1[Standard Qty],Table1[Month],$B548)</f>
        <v>1000</v>
      </c>
      <c r="E548">
        <f>COUNTIFS(Table1[Month],$B548)</f>
        <v>1</v>
      </c>
    </row>
    <row r="549" spans="2:5" x14ac:dyDescent="0.3">
      <c r="B549" s="40">
        <v>45850</v>
      </c>
      <c r="C549">
        <f>SUMIFS(Table1[Estimated  F.O.B Value $],Table1[Month],$B549)</f>
        <v>1440.9</v>
      </c>
      <c r="D549">
        <f>SUMIFS(Table1[Standard Qty],Table1[Month],$B549)</f>
        <v>1000</v>
      </c>
      <c r="E549">
        <f>COUNTIFS(Table1[Month],$B549)</f>
        <v>1</v>
      </c>
    </row>
    <row r="550" spans="2:5" x14ac:dyDescent="0.3">
      <c r="B550" s="40">
        <v>45851</v>
      </c>
      <c r="C550">
        <f>SUMIFS(Table1[Estimated  F.O.B Value $],Table1[Month],$B550)</f>
        <v>1596.43</v>
      </c>
      <c r="D550">
        <f>SUMIFS(Table1[Standard Qty],Table1[Month],$B550)</f>
        <v>400</v>
      </c>
      <c r="E550">
        <f>COUNTIFS(Table1[Month],$B550)</f>
        <v>1</v>
      </c>
    </row>
    <row r="551" spans="2:5" x14ac:dyDescent="0.3">
      <c r="B551" s="40">
        <v>45479</v>
      </c>
      <c r="C551">
        <f>SUMIFS(Table1[Estimated  F.O.B Value $],Table1[Month],$B551)</f>
        <v>1703.61</v>
      </c>
      <c r="D551">
        <f>SUMIFS(Table1[Standard Qty],Table1[Month],$B551)</f>
        <v>1000</v>
      </c>
      <c r="E551">
        <f>COUNTIFS(Table1[Month],$B551)</f>
        <v>1</v>
      </c>
    </row>
    <row r="552" spans="2:5" x14ac:dyDescent="0.3">
      <c r="B552" s="40">
        <v>45483</v>
      </c>
      <c r="C552">
        <f>SUMIFS(Table1[Estimated  F.O.B Value $],Table1[Month],$B552)</f>
        <v>1703.61</v>
      </c>
      <c r="D552">
        <f>SUMIFS(Table1[Standard Qty],Table1[Month],$B552)</f>
        <v>1000</v>
      </c>
      <c r="E552">
        <f>COUNTIFS(Table1[Month],$B552)</f>
        <v>1</v>
      </c>
    </row>
    <row r="553" spans="2:5" x14ac:dyDescent="0.3">
      <c r="B553" s="40">
        <v>45484</v>
      </c>
      <c r="C553">
        <f>SUMIFS(Table1[Estimated  F.O.B Value $],Table1[Month],$B553)</f>
        <v>1703.61</v>
      </c>
      <c r="D553">
        <f>SUMIFS(Table1[Standard Qty],Table1[Month],$B553)</f>
        <v>1000</v>
      </c>
      <c r="E553">
        <f>COUNTIFS(Table1[Month],$B553)</f>
        <v>1</v>
      </c>
    </row>
    <row r="554" spans="2:5" x14ac:dyDescent="0.3">
      <c r="B554" s="40">
        <v>45853</v>
      </c>
      <c r="C554">
        <f>SUMIFS(Table1[Estimated  F.O.B Value $],Table1[Month],$B554)</f>
        <v>1773.77</v>
      </c>
      <c r="D554">
        <f>SUMIFS(Table1[Standard Qty],Table1[Month],$B554)</f>
        <v>1250</v>
      </c>
      <c r="E554">
        <f>COUNTIFS(Table1[Month],$B554)</f>
        <v>1</v>
      </c>
    </row>
    <row r="555" spans="2:5" x14ac:dyDescent="0.3">
      <c r="B555" s="40">
        <v>45481</v>
      </c>
      <c r="C555">
        <f>SUMIFS(Table1[Estimated  F.O.B Value $],Table1[Month],$B555)</f>
        <v>2092</v>
      </c>
      <c r="D555">
        <f>SUMIFS(Table1[Standard Qty],Table1[Month],$B555)</f>
        <v>400</v>
      </c>
      <c r="E555">
        <f>COUNTIFS(Table1[Month],$B555)</f>
        <v>1</v>
      </c>
    </row>
    <row r="556" spans="2:5" x14ac:dyDescent="0.3">
      <c r="B556" s="40">
        <v>45845</v>
      </c>
      <c r="C556">
        <f>SUMIFS(Table1[Estimated  F.O.B Value $],Table1[Month],$B556)</f>
        <v>2125.92</v>
      </c>
      <c r="D556">
        <f>SUMIFS(Table1[Standard Qty],Table1[Month],$B556)</f>
        <v>1500</v>
      </c>
      <c r="E556">
        <f>COUNTIFS(Table1[Month],$B556)</f>
        <v>1</v>
      </c>
    </row>
    <row r="557" spans="2:5" x14ac:dyDescent="0.3">
      <c r="B557" s="40">
        <v>44743</v>
      </c>
      <c r="C557">
        <f>SUMIFS(Table1[Estimated  F.O.B Value $],Table1[Month],$B557)</f>
        <v>2254.6</v>
      </c>
      <c r="D557">
        <f>SUMIFS(Table1[Standard Qty],Table1[Month],$B557)</f>
        <v>350.5</v>
      </c>
      <c r="E557">
        <f>COUNTIFS(Table1[Month],$B557)</f>
        <v>6</v>
      </c>
    </row>
    <row r="558" spans="2:5" x14ac:dyDescent="0.3">
      <c r="B558" s="40">
        <v>45859</v>
      </c>
      <c r="C558">
        <f>SUMIFS(Table1[Estimated  F.O.B Value $],Table1[Month],$B558)</f>
        <v>2838.03</v>
      </c>
      <c r="D558">
        <f>SUMIFS(Table1[Standard Qty],Table1[Month],$B558)</f>
        <v>2000</v>
      </c>
      <c r="E558">
        <f>COUNTIFS(Table1[Month],$B558)</f>
        <v>1</v>
      </c>
    </row>
    <row r="559" spans="2:5" x14ac:dyDescent="0.3">
      <c r="B559" s="40">
        <v>45109</v>
      </c>
      <c r="C559">
        <f>SUMIFS(Table1[Estimated  F.O.B Value $],Table1[Month],$B559)</f>
        <v>3023.5</v>
      </c>
      <c r="D559">
        <f>SUMIFS(Table1[Standard Qty],Table1[Month],$B559)</f>
        <v>495</v>
      </c>
      <c r="E559">
        <f>COUNTIFS(Table1[Month],$B559)</f>
        <v>1</v>
      </c>
    </row>
    <row r="560" spans="2:5" x14ac:dyDescent="0.3">
      <c r="B560" s="40">
        <v>45474</v>
      </c>
      <c r="C560">
        <f>SUMIFS(Table1[Estimated  F.O.B Value $],Table1[Month],$B560)</f>
        <v>3241.48</v>
      </c>
      <c r="D560">
        <f>SUMIFS(Table1[Standard Qty],Table1[Month],$B560)</f>
        <v>595</v>
      </c>
      <c r="E560">
        <f>COUNTIFS(Table1[Month],$B560)</f>
        <v>1</v>
      </c>
    </row>
    <row r="561" spans="2:5" x14ac:dyDescent="0.3">
      <c r="B561" s="40">
        <v>45848</v>
      </c>
      <c r="C561">
        <f>SUMIFS(Table1[Estimated  F.O.B Value $],Table1[Month],$B561)</f>
        <v>3330.6</v>
      </c>
      <c r="D561">
        <f>SUMIFS(Table1[Standard Qty],Table1[Month],$B561)</f>
        <v>2000</v>
      </c>
      <c r="E561">
        <f>COUNTIFS(Table1[Month],$B561)</f>
        <v>1</v>
      </c>
    </row>
    <row r="562" spans="2:5" x14ac:dyDescent="0.3">
      <c r="B562" s="40">
        <v>45858</v>
      </c>
      <c r="C562">
        <f>SUMIFS(Table1[Estimated  F.O.B Value $],Table1[Month],$B562)</f>
        <v>3547.53</v>
      </c>
      <c r="D562">
        <f>SUMIFS(Table1[Standard Qty],Table1[Month],$B562)</f>
        <v>2500</v>
      </c>
      <c r="E562">
        <f>COUNTIFS(Table1[Month],$B562)</f>
        <v>1</v>
      </c>
    </row>
    <row r="563" spans="2:5" x14ac:dyDescent="0.3">
      <c r="B563" s="40">
        <v>45841</v>
      </c>
      <c r="C563">
        <f>SUMIFS(Table1[Estimated  F.O.B Value $],Table1[Month],$B563)</f>
        <v>3572.72</v>
      </c>
      <c r="D563">
        <f>SUMIFS(Table1[Standard Qty],Table1[Month],$B563)</f>
        <v>2500</v>
      </c>
      <c r="E563">
        <f>COUNTIFS(Table1[Month],$B563)</f>
        <v>1</v>
      </c>
    </row>
    <row r="564" spans="2:5" x14ac:dyDescent="0.3">
      <c r="B564" s="40">
        <v>45842</v>
      </c>
      <c r="C564">
        <f>SUMIFS(Table1[Estimated  F.O.B Value $],Table1[Month],$B564)</f>
        <v>3602.25</v>
      </c>
      <c r="D564">
        <f>SUMIFS(Table1[Standard Qty],Table1[Month],$B564)</f>
        <v>2500</v>
      </c>
      <c r="E564">
        <f>COUNTIFS(Table1[Month],$B564)</f>
        <v>1</v>
      </c>
    </row>
    <row r="565" spans="2:5" x14ac:dyDescent="0.3">
      <c r="B565" s="40">
        <v>45839</v>
      </c>
      <c r="C565">
        <f>SUMIFS(Table1[Estimated  F.O.B Value $],Table1[Month],$B565)</f>
        <v>4051.88</v>
      </c>
      <c r="D565">
        <f>SUMIFS(Table1[Standard Qty],Table1[Month],$B565)</f>
        <v>2000</v>
      </c>
      <c r="E565">
        <f>COUNTIFS(Table1[Month],$B565)</f>
        <v>1</v>
      </c>
    </row>
    <row r="566" spans="2:5" x14ac:dyDescent="0.3">
      <c r="B566" s="40">
        <v>45846</v>
      </c>
      <c r="C566">
        <f>SUMIFS(Table1[Estimated  F.O.B Value $],Table1[Month],$B566)</f>
        <v>4203.3999999999996</v>
      </c>
      <c r="D566">
        <f>SUMIFS(Table1[Standard Qty],Table1[Month],$B566)</f>
        <v>1000</v>
      </c>
      <c r="E566">
        <f>COUNTIFS(Table1[Month],$B566)</f>
        <v>1</v>
      </c>
    </row>
    <row r="567" spans="2:5" x14ac:dyDescent="0.3">
      <c r="B567" s="40">
        <v>45844</v>
      </c>
      <c r="C567">
        <f>SUMIFS(Table1[Estimated  F.O.B Value $],Table1[Month],$B567)</f>
        <v>4459.96</v>
      </c>
      <c r="D567">
        <f>SUMIFS(Table1[Standard Qty],Table1[Month],$B567)</f>
        <v>995</v>
      </c>
      <c r="E567">
        <f>COUNTIFS(Table1[Month],$B567)</f>
        <v>1</v>
      </c>
    </row>
    <row r="568" spans="2:5" x14ac:dyDescent="0.3">
      <c r="B568" s="40">
        <v>45478</v>
      </c>
      <c r="C568">
        <f>SUMIFS(Table1[Estimated  F.O.B Value $],Table1[Month],$B568)</f>
        <v>4651.7</v>
      </c>
      <c r="D568">
        <f>SUMIFS(Table1[Standard Qty],Table1[Month],$B568)</f>
        <v>1000</v>
      </c>
      <c r="E568">
        <f>COUNTIFS(Table1[Month],$B568)</f>
        <v>1</v>
      </c>
    </row>
    <row r="569" spans="2:5" x14ac:dyDescent="0.3">
      <c r="B569" s="40">
        <v>45855</v>
      </c>
      <c r="C569">
        <f>SUMIFS(Table1[Estimated  F.O.B Value $],Table1[Month],$B569)</f>
        <v>5676.05</v>
      </c>
      <c r="D569">
        <f>SUMIFS(Table1[Standard Qty],Table1[Month],$B569)</f>
        <v>4000</v>
      </c>
      <c r="E569">
        <f>COUNTIFS(Table1[Month],$B569)</f>
        <v>1</v>
      </c>
    </row>
    <row r="570" spans="2:5" x14ac:dyDescent="0.3">
      <c r="B570" s="40">
        <v>45843</v>
      </c>
      <c r="C570">
        <f>SUMIFS(Table1[Estimated  F.O.B Value $],Table1[Month],$B570)</f>
        <v>6377.75</v>
      </c>
      <c r="D570">
        <f>SUMIFS(Table1[Standard Qty],Table1[Month],$B570)</f>
        <v>4500</v>
      </c>
      <c r="E570">
        <f>COUNTIFS(Table1[Month],$B570)</f>
        <v>1</v>
      </c>
    </row>
    <row r="571" spans="2:5" x14ac:dyDescent="0.3">
      <c r="B571" s="40">
        <v>45884</v>
      </c>
      <c r="C571">
        <f>SUMIFS(Table1[Estimated  F.O.B Value $],Table1[Month],$B571)</f>
        <v>27.07</v>
      </c>
      <c r="D571">
        <f>SUMIFS(Table1[Standard Qty],Table1[Month],$B571)</f>
        <v>5</v>
      </c>
      <c r="E571">
        <f>COUNTIFS(Table1[Month],$B571)</f>
        <v>1</v>
      </c>
    </row>
    <row r="572" spans="2:5" x14ac:dyDescent="0.3">
      <c r="B572" s="40">
        <v>45875</v>
      </c>
      <c r="C572">
        <f>SUMIFS(Table1[Estimated  F.O.B Value $],Table1[Month],$B572)</f>
        <v>41.65</v>
      </c>
      <c r="D572">
        <f>SUMIFS(Table1[Standard Qty],Table1[Month],$B572)</f>
        <v>10</v>
      </c>
      <c r="E572">
        <f>COUNTIFS(Table1[Month],$B572)</f>
        <v>1</v>
      </c>
    </row>
    <row r="573" spans="2:5" x14ac:dyDescent="0.3">
      <c r="B573" s="40">
        <v>45894</v>
      </c>
      <c r="C573">
        <f>SUMIFS(Table1[Estimated  F.O.B Value $],Table1[Month],$B573)</f>
        <v>45.48</v>
      </c>
      <c r="D573">
        <f>SUMIFS(Table1[Standard Qty],Table1[Month],$B573)</f>
        <v>10</v>
      </c>
      <c r="E573">
        <f>COUNTIFS(Table1[Month],$B573)</f>
        <v>1</v>
      </c>
    </row>
    <row r="574" spans="2:5" x14ac:dyDescent="0.3">
      <c r="B574" s="40">
        <v>45139</v>
      </c>
      <c r="C574">
        <f>SUMIFS(Table1[Estimated  F.O.B Value $],Table1[Month],$B574)</f>
        <v>60.35</v>
      </c>
      <c r="D574">
        <f>SUMIFS(Table1[Standard Qty],Table1[Month],$B574)</f>
        <v>15</v>
      </c>
      <c r="E574">
        <f>COUNTIFS(Table1[Month],$B574)</f>
        <v>1</v>
      </c>
    </row>
    <row r="575" spans="2:5" x14ac:dyDescent="0.3">
      <c r="B575" s="40">
        <v>45880</v>
      </c>
      <c r="C575">
        <f>SUMIFS(Table1[Estimated  F.O.B Value $],Table1[Month],$B575)</f>
        <v>102.08</v>
      </c>
      <c r="D575">
        <f>SUMIFS(Table1[Standard Qty],Table1[Month],$B575)</f>
        <v>25</v>
      </c>
      <c r="E575">
        <f>COUNTIFS(Table1[Month],$B575)</f>
        <v>1</v>
      </c>
    </row>
    <row r="576" spans="2:5" x14ac:dyDescent="0.3">
      <c r="B576" s="40">
        <v>45887</v>
      </c>
      <c r="C576">
        <f>SUMIFS(Table1[Estimated  F.O.B Value $],Table1[Month],$B576)</f>
        <v>140.97</v>
      </c>
      <c r="D576">
        <f>SUMIFS(Table1[Standard Qty],Table1[Month],$B576)</f>
        <v>250</v>
      </c>
      <c r="E576">
        <f>COUNTIFS(Table1[Month],$B576)</f>
        <v>1</v>
      </c>
    </row>
    <row r="577" spans="2:5" x14ac:dyDescent="0.3">
      <c r="B577" s="40">
        <v>45879</v>
      </c>
      <c r="C577">
        <f>SUMIFS(Table1[Estimated  F.O.B Value $],Table1[Month],$B577)</f>
        <v>141.99</v>
      </c>
      <c r="D577">
        <f>SUMIFS(Table1[Standard Qty],Table1[Month],$B577)</f>
        <v>20</v>
      </c>
      <c r="E577">
        <f>COUNTIFS(Table1[Month],$B577)</f>
        <v>1</v>
      </c>
    </row>
    <row r="578" spans="2:5" x14ac:dyDescent="0.3">
      <c r="B578" s="40">
        <v>45892</v>
      </c>
      <c r="C578">
        <f>SUMIFS(Table1[Estimated  F.O.B Value $],Table1[Month],$B578)</f>
        <v>159.16</v>
      </c>
      <c r="D578">
        <f>SUMIFS(Table1[Standard Qty],Table1[Month],$B578)</f>
        <v>25</v>
      </c>
      <c r="E578">
        <f>COUNTIFS(Table1[Month],$B578)</f>
        <v>1</v>
      </c>
    </row>
    <row r="579" spans="2:5" x14ac:dyDescent="0.3">
      <c r="B579" s="40">
        <v>45890</v>
      </c>
      <c r="C579">
        <f>SUMIFS(Table1[Estimated  F.O.B Value $],Table1[Month],$B579)</f>
        <v>191</v>
      </c>
      <c r="D579">
        <f>SUMIFS(Table1[Standard Qty],Table1[Month],$B579)</f>
        <v>30</v>
      </c>
      <c r="E579">
        <f>COUNTIFS(Table1[Month],$B579)</f>
        <v>1</v>
      </c>
    </row>
    <row r="580" spans="2:5" x14ac:dyDescent="0.3">
      <c r="B580" s="40">
        <v>45873</v>
      </c>
      <c r="C580">
        <f>SUMIFS(Table1[Estimated  F.O.B Value $],Table1[Month],$B580)</f>
        <v>215.47</v>
      </c>
      <c r="D580">
        <f>SUMIFS(Table1[Standard Qty],Table1[Month],$B580)</f>
        <v>50</v>
      </c>
      <c r="E580">
        <f>COUNTIFS(Table1[Month],$B580)</f>
        <v>1</v>
      </c>
    </row>
    <row r="581" spans="2:5" x14ac:dyDescent="0.3">
      <c r="B581" s="40">
        <v>45514</v>
      </c>
      <c r="C581">
        <f>SUMIFS(Table1[Estimated  F.O.B Value $],Table1[Month],$B581)</f>
        <v>271.26</v>
      </c>
      <c r="D581">
        <f>SUMIFS(Table1[Standard Qty],Table1[Month],$B581)</f>
        <v>50</v>
      </c>
      <c r="E581">
        <f>COUNTIFS(Table1[Month],$B581)</f>
        <v>1</v>
      </c>
    </row>
    <row r="582" spans="2:5" x14ac:dyDescent="0.3">
      <c r="B582" s="40">
        <v>45878</v>
      </c>
      <c r="C582">
        <f>SUMIFS(Table1[Estimated  F.O.B Value $],Table1[Month],$B582)</f>
        <v>272.91000000000003</v>
      </c>
      <c r="D582">
        <f>SUMIFS(Table1[Standard Qty],Table1[Month],$B582)</f>
        <v>200</v>
      </c>
      <c r="E582">
        <f>COUNTIFS(Table1[Month],$B582)</f>
        <v>1</v>
      </c>
    </row>
    <row r="583" spans="2:5" x14ac:dyDescent="0.3">
      <c r="B583" s="40">
        <v>45515</v>
      </c>
      <c r="C583">
        <f>SUMIFS(Table1[Estimated  F.O.B Value $],Table1[Month],$B583)</f>
        <v>280.08</v>
      </c>
      <c r="D583">
        <f>SUMIFS(Table1[Standard Qty],Table1[Month],$B583)</f>
        <v>95</v>
      </c>
      <c r="E583">
        <f>COUNTIFS(Table1[Month],$B583)</f>
        <v>1</v>
      </c>
    </row>
    <row r="584" spans="2:5" x14ac:dyDescent="0.3">
      <c r="B584" s="40">
        <v>45876</v>
      </c>
      <c r="C584">
        <f>SUMIFS(Table1[Estimated  F.O.B Value $],Table1[Month],$B584)</f>
        <v>287.89999999999998</v>
      </c>
      <c r="D584">
        <f>SUMIFS(Table1[Standard Qty],Table1[Month],$B584)</f>
        <v>250</v>
      </c>
      <c r="E584">
        <f>COUNTIFS(Table1[Month],$B584)</f>
        <v>1</v>
      </c>
    </row>
    <row r="585" spans="2:5" x14ac:dyDescent="0.3">
      <c r="B585" s="40">
        <v>45897</v>
      </c>
      <c r="C585">
        <f>SUMIFS(Table1[Estimated  F.O.B Value $],Table1[Month],$B585)</f>
        <v>302.20999999999998</v>
      </c>
      <c r="D585">
        <f>SUMIFS(Table1[Standard Qty],Table1[Month],$B585)</f>
        <v>50</v>
      </c>
      <c r="E585">
        <f>COUNTIFS(Table1[Month],$B585)</f>
        <v>1</v>
      </c>
    </row>
    <row r="586" spans="2:5" x14ac:dyDescent="0.3">
      <c r="B586" s="40">
        <v>45881</v>
      </c>
      <c r="C586">
        <f>SUMIFS(Table1[Estimated  F.O.B Value $],Table1[Month],$B586)</f>
        <v>305.16000000000003</v>
      </c>
      <c r="D586">
        <f>SUMIFS(Table1[Standard Qty],Table1[Month],$B586)</f>
        <v>60</v>
      </c>
      <c r="E586">
        <f>COUNTIFS(Table1[Month],$B586)</f>
        <v>1</v>
      </c>
    </row>
    <row r="587" spans="2:5" x14ac:dyDescent="0.3">
      <c r="B587" s="40">
        <v>45511</v>
      </c>
      <c r="C587">
        <f>SUMIFS(Table1[Estimated  F.O.B Value $],Table1[Month],$B587)</f>
        <v>362.53</v>
      </c>
      <c r="D587">
        <f>SUMIFS(Table1[Standard Qty],Table1[Month],$B587)</f>
        <v>30</v>
      </c>
      <c r="E587">
        <f>COUNTIFS(Table1[Month],$B587)</f>
        <v>1</v>
      </c>
    </row>
    <row r="588" spans="2:5" x14ac:dyDescent="0.3">
      <c r="B588" s="40">
        <v>45510</v>
      </c>
      <c r="C588">
        <f>SUMIFS(Table1[Estimated  F.O.B Value $],Table1[Month],$B588)</f>
        <v>362.63</v>
      </c>
      <c r="D588">
        <f>SUMIFS(Table1[Standard Qty],Table1[Month],$B588)</f>
        <v>30</v>
      </c>
      <c r="E588">
        <f>COUNTIFS(Table1[Month],$B588)</f>
        <v>1</v>
      </c>
    </row>
    <row r="589" spans="2:5" x14ac:dyDescent="0.3">
      <c r="B589" s="40">
        <v>45898</v>
      </c>
      <c r="C589">
        <f>SUMIFS(Table1[Estimated  F.O.B Value $],Table1[Month],$B589)</f>
        <v>395.61</v>
      </c>
      <c r="D589">
        <f>SUMIFS(Table1[Standard Qty],Table1[Month],$B589)</f>
        <v>62</v>
      </c>
      <c r="E589">
        <f>COUNTIFS(Table1[Month],$B589)</f>
        <v>1</v>
      </c>
    </row>
    <row r="590" spans="2:5" x14ac:dyDescent="0.3">
      <c r="B590" s="40">
        <v>45883</v>
      </c>
      <c r="C590">
        <f>SUMIFS(Table1[Estimated  F.O.B Value $],Table1[Month],$B590)</f>
        <v>569.51</v>
      </c>
      <c r="D590">
        <f>SUMIFS(Table1[Standard Qty],Table1[Month],$B590)</f>
        <v>500</v>
      </c>
      <c r="E590">
        <f>COUNTIFS(Table1[Month],$B590)</f>
        <v>1</v>
      </c>
    </row>
    <row r="591" spans="2:5" x14ac:dyDescent="0.3">
      <c r="B591" s="40">
        <v>45506</v>
      </c>
      <c r="C591">
        <f>SUMIFS(Table1[Estimated  F.O.B Value $],Table1[Month],$B591)</f>
        <v>596.39</v>
      </c>
      <c r="D591">
        <f>SUMIFS(Table1[Standard Qty],Table1[Month],$B591)</f>
        <v>72</v>
      </c>
      <c r="E591">
        <f>COUNTIFS(Table1[Month],$B591)</f>
        <v>1</v>
      </c>
    </row>
    <row r="592" spans="2:5" x14ac:dyDescent="0.3">
      <c r="B592" s="40">
        <v>45505</v>
      </c>
      <c r="C592">
        <f>SUMIFS(Table1[Estimated  F.O.B Value $],Table1[Month],$B592)</f>
        <v>599.76</v>
      </c>
      <c r="D592">
        <f>SUMIFS(Table1[Standard Qty],Table1[Month],$B592)</f>
        <v>72</v>
      </c>
      <c r="E592">
        <f>COUNTIFS(Table1[Month],$B592)</f>
        <v>1</v>
      </c>
    </row>
    <row r="593" spans="2:5" x14ac:dyDescent="0.3">
      <c r="B593" s="40">
        <v>45871</v>
      </c>
      <c r="C593">
        <f>SUMIFS(Table1[Estimated  F.O.B Value $],Table1[Month],$B593)</f>
        <v>696.71</v>
      </c>
      <c r="D593">
        <f>SUMIFS(Table1[Standard Qty],Table1[Month],$B593)</f>
        <v>500</v>
      </c>
      <c r="E593">
        <f>COUNTIFS(Table1[Month],$B593)</f>
        <v>1</v>
      </c>
    </row>
    <row r="594" spans="2:5" x14ac:dyDescent="0.3">
      <c r="B594" s="40">
        <v>45516</v>
      </c>
      <c r="C594">
        <f>SUMIFS(Table1[Estimated  F.O.B Value $],Table1[Month],$B594)</f>
        <v>753.1</v>
      </c>
      <c r="D594">
        <f>SUMIFS(Table1[Standard Qty],Table1[Month],$B594)</f>
        <v>100</v>
      </c>
      <c r="E594">
        <f>COUNTIFS(Table1[Month],$B594)</f>
        <v>1</v>
      </c>
    </row>
    <row r="595" spans="2:5" x14ac:dyDescent="0.3">
      <c r="B595" s="40">
        <v>45872</v>
      </c>
      <c r="C595">
        <f>SUMIFS(Table1[Estimated  F.O.B Value $],Table1[Month],$B595)</f>
        <v>896.66</v>
      </c>
      <c r="D595">
        <f>SUMIFS(Table1[Standard Qty],Table1[Month],$B595)</f>
        <v>200</v>
      </c>
      <c r="E595">
        <f>COUNTIFS(Table1[Month],$B595)</f>
        <v>1</v>
      </c>
    </row>
    <row r="596" spans="2:5" x14ac:dyDescent="0.3">
      <c r="B596" s="40">
        <v>45508</v>
      </c>
      <c r="C596">
        <f>SUMIFS(Table1[Estimated  F.O.B Value $],Table1[Month],$B596)</f>
        <v>1007.94</v>
      </c>
      <c r="D596">
        <f>SUMIFS(Table1[Standard Qty],Table1[Month],$B596)</f>
        <v>140</v>
      </c>
      <c r="E596">
        <f>COUNTIFS(Table1[Month],$B596)</f>
        <v>1</v>
      </c>
    </row>
    <row r="597" spans="2:5" x14ac:dyDescent="0.3">
      <c r="B597" s="40">
        <v>45888</v>
      </c>
      <c r="C597">
        <f>SUMIFS(Table1[Estimated  F.O.B Value $],Table1[Month],$B597)</f>
        <v>1052.42</v>
      </c>
      <c r="D597">
        <f>SUMIFS(Table1[Standard Qty],Table1[Month],$B597)</f>
        <v>900</v>
      </c>
      <c r="E597">
        <f>COUNTIFS(Table1[Month],$B597)</f>
        <v>1</v>
      </c>
    </row>
    <row r="598" spans="2:5" x14ac:dyDescent="0.3">
      <c r="B598" s="40">
        <v>45142</v>
      </c>
      <c r="C598">
        <f>SUMIFS(Table1[Estimated  F.O.B Value $],Table1[Month],$B598)</f>
        <v>1153.4100000000001</v>
      </c>
      <c r="D598">
        <f>SUMIFS(Table1[Standard Qty],Table1[Month],$B598)</f>
        <v>144</v>
      </c>
      <c r="E598">
        <f>COUNTIFS(Table1[Month],$B598)</f>
        <v>1</v>
      </c>
    </row>
    <row r="599" spans="2:5" x14ac:dyDescent="0.3">
      <c r="B599" s="40">
        <v>45882</v>
      </c>
      <c r="C599">
        <f>SUMIFS(Table1[Estimated  F.O.B Value $],Table1[Month],$B599)</f>
        <v>1159.93</v>
      </c>
      <c r="D599">
        <f>SUMIFS(Table1[Standard Qty],Table1[Month],$B599)</f>
        <v>1000</v>
      </c>
      <c r="E599">
        <f>COUNTIFS(Table1[Month],$B599)</f>
        <v>1</v>
      </c>
    </row>
    <row r="600" spans="2:5" x14ac:dyDescent="0.3">
      <c r="B600" s="40">
        <v>45886</v>
      </c>
      <c r="C600">
        <f>SUMIFS(Table1[Estimated  F.O.B Value $],Table1[Month],$B600)</f>
        <v>1159.93</v>
      </c>
      <c r="D600">
        <f>SUMIFS(Table1[Standard Qty],Table1[Month],$B600)</f>
        <v>1000</v>
      </c>
      <c r="E600">
        <f>COUNTIFS(Table1[Month],$B600)</f>
        <v>1</v>
      </c>
    </row>
    <row r="601" spans="2:5" x14ac:dyDescent="0.3">
      <c r="B601" s="40">
        <v>45141</v>
      </c>
      <c r="C601">
        <f>SUMIFS(Table1[Estimated  F.O.B Value $],Table1[Month],$B601)</f>
        <v>1194.19</v>
      </c>
      <c r="D601">
        <f>SUMIFS(Table1[Standard Qty],Table1[Month],$B601)</f>
        <v>200</v>
      </c>
      <c r="E601">
        <f>COUNTIFS(Table1[Month],$B601)</f>
        <v>1</v>
      </c>
    </row>
    <row r="602" spans="2:5" x14ac:dyDescent="0.3">
      <c r="B602" s="40">
        <v>45896</v>
      </c>
      <c r="C602">
        <f>SUMIFS(Table1[Estimated  F.O.B Value $],Table1[Month],$B602)</f>
        <v>1443.2</v>
      </c>
      <c r="D602">
        <f>SUMIFS(Table1[Standard Qty],Table1[Month],$B602)</f>
        <v>350</v>
      </c>
      <c r="E602">
        <f>COUNTIFS(Table1[Month],$B602)</f>
        <v>1</v>
      </c>
    </row>
    <row r="603" spans="2:5" x14ac:dyDescent="0.3">
      <c r="B603" s="40">
        <v>45874</v>
      </c>
      <c r="C603">
        <f>SUMIFS(Table1[Estimated  F.O.B Value $],Table1[Month],$B603)</f>
        <v>1529.23</v>
      </c>
      <c r="D603">
        <f>SUMIFS(Table1[Standard Qty],Table1[Month],$B603)</f>
        <v>1000</v>
      </c>
      <c r="E603">
        <f>COUNTIFS(Table1[Month],$B603)</f>
        <v>1</v>
      </c>
    </row>
    <row r="604" spans="2:5" x14ac:dyDescent="0.3">
      <c r="B604" s="40">
        <v>45513</v>
      </c>
      <c r="C604">
        <f>SUMIFS(Table1[Estimated  F.O.B Value $],Table1[Month],$B604)</f>
        <v>1693.36</v>
      </c>
      <c r="D604">
        <f>SUMIFS(Table1[Standard Qty],Table1[Month],$B604)</f>
        <v>1000</v>
      </c>
      <c r="E604">
        <f>COUNTIFS(Table1[Month],$B604)</f>
        <v>1</v>
      </c>
    </row>
    <row r="605" spans="2:5" x14ac:dyDescent="0.3">
      <c r="B605" s="40">
        <v>45140</v>
      </c>
      <c r="C605">
        <f>SUMIFS(Table1[Estimated  F.O.B Value $],Table1[Month],$B605)</f>
        <v>1742.54</v>
      </c>
      <c r="D605">
        <f>SUMIFS(Table1[Standard Qty],Table1[Month],$B605)</f>
        <v>260</v>
      </c>
      <c r="E605">
        <f>COUNTIFS(Table1[Month],$B605)</f>
        <v>1</v>
      </c>
    </row>
    <row r="606" spans="2:5" x14ac:dyDescent="0.3">
      <c r="B606" s="40">
        <v>45877</v>
      </c>
      <c r="C606">
        <f>SUMIFS(Table1[Estimated  F.O.B Value $],Table1[Month],$B606)</f>
        <v>1797.89</v>
      </c>
      <c r="D606">
        <f>SUMIFS(Table1[Standard Qty],Table1[Month],$B606)</f>
        <v>1550</v>
      </c>
      <c r="E606">
        <f>COUNTIFS(Table1[Month],$B606)</f>
        <v>1</v>
      </c>
    </row>
    <row r="607" spans="2:5" x14ac:dyDescent="0.3">
      <c r="B607" s="40">
        <v>45512</v>
      </c>
      <c r="C607">
        <f>SUMIFS(Table1[Estimated  F.O.B Value $],Table1[Month],$B607)</f>
        <v>1981.59</v>
      </c>
      <c r="D607">
        <f>SUMIFS(Table1[Standard Qty],Table1[Month],$B607)</f>
        <v>1250</v>
      </c>
      <c r="E607">
        <f>COUNTIFS(Table1[Month],$B607)</f>
        <v>1</v>
      </c>
    </row>
    <row r="608" spans="2:5" x14ac:dyDescent="0.3">
      <c r="B608" s="40">
        <v>45889</v>
      </c>
      <c r="C608">
        <f>SUMIFS(Table1[Estimated  F.O.B Value $],Table1[Month],$B608)</f>
        <v>1997.16</v>
      </c>
      <c r="D608">
        <f>SUMIFS(Table1[Standard Qty],Table1[Month],$B608)</f>
        <v>1500</v>
      </c>
      <c r="E608">
        <f>COUNTIFS(Table1[Month],$B608)</f>
        <v>1</v>
      </c>
    </row>
    <row r="609" spans="2:5" x14ac:dyDescent="0.3">
      <c r="B609" s="40">
        <v>45893</v>
      </c>
      <c r="C609">
        <f>SUMIFS(Table1[Estimated  F.O.B Value $],Table1[Month],$B609)</f>
        <v>2631.04</v>
      </c>
      <c r="D609">
        <f>SUMIFS(Table1[Standard Qty],Table1[Month],$B609)</f>
        <v>2250</v>
      </c>
      <c r="E609">
        <f>COUNTIFS(Table1[Month],$B609)</f>
        <v>1</v>
      </c>
    </row>
    <row r="610" spans="2:5" x14ac:dyDescent="0.3">
      <c r="B610" s="40">
        <v>45885</v>
      </c>
      <c r="C610">
        <f>SUMIFS(Table1[Estimated  F.O.B Value $],Table1[Month],$B610)</f>
        <v>3952.55</v>
      </c>
      <c r="D610">
        <f>SUMIFS(Table1[Standard Qty],Table1[Month],$B610)</f>
        <v>2000</v>
      </c>
      <c r="E610">
        <f>COUNTIFS(Table1[Month],$B610)</f>
        <v>1</v>
      </c>
    </row>
    <row r="611" spans="2:5" x14ac:dyDescent="0.3">
      <c r="B611" s="40">
        <v>45507</v>
      </c>
      <c r="C611">
        <f>SUMIFS(Table1[Estimated  F.O.B Value $],Table1[Month],$B611)</f>
        <v>4114.72</v>
      </c>
      <c r="D611">
        <f>SUMIFS(Table1[Standard Qty],Table1[Month],$B611)</f>
        <v>2000</v>
      </c>
      <c r="E611">
        <f>COUNTIFS(Table1[Month],$B611)</f>
        <v>1</v>
      </c>
    </row>
    <row r="612" spans="2:5" x14ac:dyDescent="0.3">
      <c r="B612" s="40">
        <v>45509</v>
      </c>
      <c r="C612">
        <f>SUMIFS(Table1[Estimated  F.O.B Value $],Table1[Month],$B612)</f>
        <v>4233.3999999999996</v>
      </c>
      <c r="D612">
        <f>SUMIFS(Table1[Standard Qty],Table1[Month],$B612)</f>
        <v>2500</v>
      </c>
      <c r="E612">
        <f>COUNTIFS(Table1[Month],$B612)</f>
        <v>1</v>
      </c>
    </row>
    <row r="613" spans="2:5" x14ac:dyDescent="0.3">
      <c r="B613" s="40">
        <v>45891</v>
      </c>
      <c r="C613">
        <f>SUMIFS(Table1[Estimated  F.O.B Value $],Table1[Month],$B613)</f>
        <v>5846.75</v>
      </c>
      <c r="D613">
        <f>SUMIFS(Table1[Standard Qty],Table1[Month],$B613)</f>
        <v>5000</v>
      </c>
      <c r="E613">
        <f>COUNTIFS(Table1[Month],$B613)</f>
        <v>1</v>
      </c>
    </row>
    <row r="614" spans="2:5" x14ac:dyDescent="0.3">
      <c r="B614" s="40">
        <v>45895</v>
      </c>
      <c r="C614">
        <f>SUMIFS(Table1[Estimated  F.O.B Value $],Table1[Month],$B614)</f>
        <v>7988.63</v>
      </c>
      <c r="D614">
        <f>SUMIFS(Table1[Standard Qty],Table1[Month],$B614)</f>
        <v>6000</v>
      </c>
      <c r="E614">
        <f>COUNTIFS(Table1[Month],$B614)</f>
        <v>1</v>
      </c>
    </row>
    <row r="615" spans="2:5" x14ac:dyDescent="0.3">
      <c r="B615" s="40">
        <v>45870</v>
      </c>
      <c r="C615">
        <f>SUMIFS(Table1[Estimated  F.O.B Value $],Table1[Month],$B615)</f>
        <v>8138.6</v>
      </c>
      <c r="D615">
        <f>SUMIFS(Table1[Standard Qty],Table1[Month],$B615)</f>
        <v>6855</v>
      </c>
      <c r="E615">
        <f>COUNTIFS(Table1[Month],$B615)</f>
        <v>2</v>
      </c>
    </row>
    <row r="616" spans="2:5" x14ac:dyDescent="0.3">
      <c r="B616" s="40">
        <v>45913</v>
      </c>
      <c r="C616">
        <f>SUMIFS(Table1[Estimated  F.O.B Value $],Table1[Month],$B616)</f>
        <v>4.5</v>
      </c>
      <c r="D616">
        <f>SUMIFS(Table1[Standard Qty],Table1[Month],$B616)</f>
        <v>1</v>
      </c>
      <c r="E616">
        <f>COUNTIFS(Table1[Month],$B616)</f>
        <v>1</v>
      </c>
    </row>
    <row r="617" spans="2:5" x14ac:dyDescent="0.3">
      <c r="B617" s="40">
        <v>44806</v>
      </c>
      <c r="C617">
        <f>SUMIFS(Table1[Estimated  F.O.B Value $],Table1[Month],$B617)</f>
        <v>12.70648030495553</v>
      </c>
      <c r="D617">
        <f>SUMIFS(Table1[Standard Qty],Table1[Month],$B617)</f>
        <v>4</v>
      </c>
      <c r="E617">
        <f>COUNTIFS(Table1[Month],$B617)</f>
        <v>1</v>
      </c>
    </row>
    <row r="618" spans="2:5" x14ac:dyDescent="0.3">
      <c r="B618" s="40">
        <v>45907</v>
      </c>
      <c r="C618">
        <f>SUMIFS(Table1[Estimated  F.O.B Value $],Table1[Month],$B618)</f>
        <v>39.69</v>
      </c>
      <c r="D618">
        <f>SUMIFS(Table1[Standard Qty],Table1[Month],$B618)</f>
        <v>12.5</v>
      </c>
      <c r="E618">
        <f>COUNTIFS(Table1[Month],$B618)</f>
        <v>1</v>
      </c>
    </row>
    <row r="619" spans="2:5" x14ac:dyDescent="0.3">
      <c r="B619" s="40">
        <v>45174</v>
      </c>
      <c r="C619">
        <f>SUMIFS(Table1[Estimated  F.O.B Value $],Table1[Month],$B619)</f>
        <v>47.69</v>
      </c>
      <c r="D619">
        <f>SUMIFS(Table1[Standard Qty],Table1[Month],$B619)</f>
        <v>25</v>
      </c>
      <c r="E619">
        <f>COUNTIFS(Table1[Month],$B619)</f>
        <v>1</v>
      </c>
    </row>
    <row r="620" spans="2:5" x14ac:dyDescent="0.3">
      <c r="B620" s="40">
        <v>45919</v>
      </c>
      <c r="C620">
        <f>SUMIFS(Table1[Estimated  F.O.B Value $],Table1[Month],$B620)</f>
        <v>63.9</v>
      </c>
      <c r="D620">
        <f>SUMIFS(Table1[Standard Qty],Table1[Month],$B620)</f>
        <v>9.6</v>
      </c>
      <c r="E620">
        <f>COUNTIFS(Table1[Month],$B620)</f>
        <v>1</v>
      </c>
    </row>
    <row r="621" spans="2:5" x14ac:dyDescent="0.3">
      <c r="B621" s="40">
        <v>44805</v>
      </c>
      <c r="C621">
        <f>SUMIFS(Table1[Estimated  F.O.B Value $],Table1[Month],$B621)</f>
        <v>76.23888182973316</v>
      </c>
      <c r="D621">
        <f>SUMIFS(Table1[Standard Qty],Table1[Month],$B621)</f>
        <v>20.5</v>
      </c>
      <c r="E621">
        <f>COUNTIFS(Table1[Month],$B621)</f>
        <v>1</v>
      </c>
    </row>
    <row r="622" spans="2:5" x14ac:dyDescent="0.3">
      <c r="B622" s="40">
        <v>44811</v>
      </c>
      <c r="C622">
        <f>SUMIFS(Table1[Estimated  F.O.B Value $],Table1[Month],$B622)</f>
        <v>88.945362134688693</v>
      </c>
      <c r="D622">
        <f>SUMIFS(Table1[Standard Qty],Table1[Month],$B622)</f>
        <v>9.6</v>
      </c>
      <c r="E622">
        <f>COUNTIFS(Table1[Month],$B622)</f>
        <v>1</v>
      </c>
    </row>
    <row r="623" spans="2:5" x14ac:dyDescent="0.3">
      <c r="B623" s="40">
        <v>45548</v>
      </c>
      <c r="C623">
        <f>SUMIFS(Table1[Estimated  F.O.B Value $],Table1[Month],$B623)</f>
        <v>100.74</v>
      </c>
      <c r="D623">
        <f>SUMIFS(Table1[Standard Qty],Table1[Month],$B623)</f>
        <v>15</v>
      </c>
      <c r="E623">
        <f>COUNTIFS(Table1[Month],$B623)</f>
        <v>1</v>
      </c>
    </row>
    <row r="624" spans="2:5" x14ac:dyDescent="0.3">
      <c r="B624" s="40">
        <v>45173</v>
      </c>
      <c r="C624">
        <f>SUMIFS(Table1[Estimated  F.O.B Value $],Table1[Month],$B624)</f>
        <v>107.3</v>
      </c>
      <c r="D624">
        <f>SUMIFS(Table1[Standard Qty],Table1[Month],$B624)</f>
        <v>20</v>
      </c>
      <c r="E624">
        <f>COUNTIFS(Table1[Month],$B624)</f>
        <v>1</v>
      </c>
    </row>
    <row r="625" spans="2:5" x14ac:dyDescent="0.3">
      <c r="B625" s="40">
        <v>45912</v>
      </c>
      <c r="C625">
        <f>SUMIFS(Table1[Estimated  F.O.B Value $],Table1[Month],$B625)</f>
        <v>112.45</v>
      </c>
      <c r="D625">
        <f>SUMIFS(Table1[Standard Qty],Table1[Month],$B625)</f>
        <v>25</v>
      </c>
      <c r="E625">
        <f>COUNTIFS(Table1[Month],$B625)</f>
        <v>1</v>
      </c>
    </row>
    <row r="626" spans="2:5" x14ac:dyDescent="0.3">
      <c r="B626" s="40">
        <v>45918</v>
      </c>
      <c r="C626">
        <f>SUMIFS(Table1[Estimated  F.O.B Value $],Table1[Month],$B626)</f>
        <v>145.62</v>
      </c>
      <c r="D626">
        <f>SUMIFS(Table1[Standard Qty],Table1[Month],$B626)</f>
        <v>37</v>
      </c>
      <c r="E626">
        <f>COUNTIFS(Table1[Month],$B626)</f>
        <v>1</v>
      </c>
    </row>
    <row r="627" spans="2:5" x14ac:dyDescent="0.3">
      <c r="B627" s="40">
        <v>45550</v>
      </c>
      <c r="C627">
        <f>SUMIFS(Table1[Estimated  F.O.B Value $],Table1[Month],$B627)</f>
        <v>147.76</v>
      </c>
      <c r="D627">
        <f>SUMIFS(Table1[Standard Qty],Table1[Month],$B627)</f>
        <v>20</v>
      </c>
      <c r="E627">
        <f>COUNTIFS(Table1[Month],$B627)</f>
        <v>1</v>
      </c>
    </row>
    <row r="628" spans="2:5" x14ac:dyDescent="0.3">
      <c r="B628" s="40">
        <v>44808</v>
      </c>
      <c r="C628">
        <f>SUMIFS(Table1[Estimated  F.O.B Value $],Table1[Month],$B628)</f>
        <v>165.18424396442191</v>
      </c>
      <c r="D628">
        <f>SUMIFS(Table1[Standard Qty],Table1[Month],$B628)</f>
        <v>18</v>
      </c>
      <c r="E628">
        <f>COUNTIFS(Table1[Month],$B628)</f>
        <v>1</v>
      </c>
    </row>
    <row r="629" spans="2:5" x14ac:dyDescent="0.3">
      <c r="B629" s="40">
        <v>45544</v>
      </c>
      <c r="C629">
        <f>SUMIFS(Table1[Estimated  F.O.B Value $],Table1[Month],$B629)</f>
        <v>166.18</v>
      </c>
      <c r="D629">
        <f>SUMIFS(Table1[Standard Qty],Table1[Month],$B629)</f>
        <v>100</v>
      </c>
      <c r="E629">
        <f>COUNTIFS(Table1[Month],$B629)</f>
        <v>1</v>
      </c>
    </row>
    <row r="630" spans="2:5" x14ac:dyDescent="0.3">
      <c r="B630" s="40">
        <v>45538</v>
      </c>
      <c r="C630">
        <f>SUMIFS(Table1[Estimated  F.O.B Value $],Table1[Month],$B630)</f>
        <v>188.91</v>
      </c>
      <c r="D630">
        <f>SUMIFS(Table1[Standard Qty],Table1[Month],$B630)</f>
        <v>11.7</v>
      </c>
      <c r="E630">
        <f>COUNTIFS(Table1[Month],$B630)</f>
        <v>1</v>
      </c>
    </row>
    <row r="631" spans="2:5" x14ac:dyDescent="0.3">
      <c r="B631" s="40">
        <v>45905</v>
      </c>
      <c r="C631">
        <f>SUMIFS(Table1[Estimated  F.O.B Value $],Table1[Month],$B631)</f>
        <v>196.45</v>
      </c>
      <c r="D631">
        <f>SUMIFS(Table1[Standard Qty],Table1[Month],$B631)</f>
        <v>50</v>
      </c>
      <c r="E631">
        <f>COUNTIFS(Table1[Month],$B631)</f>
        <v>1</v>
      </c>
    </row>
    <row r="632" spans="2:5" x14ac:dyDescent="0.3">
      <c r="B632" s="40">
        <v>45909</v>
      </c>
      <c r="C632">
        <f>SUMIFS(Table1[Estimated  F.O.B Value $],Table1[Month],$B632)</f>
        <v>207.98</v>
      </c>
      <c r="D632">
        <f>SUMIFS(Table1[Standard Qty],Table1[Month],$B632)</f>
        <v>39.200000000000003</v>
      </c>
      <c r="E632">
        <f>COUNTIFS(Table1[Month],$B632)</f>
        <v>1</v>
      </c>
    </row>
    <row r="633" spans="2:5" x14ac:dyDescent="0.3">
      <c r="B633" s="40">
        <v>45906</v>
      </c>
      <c r="C633">
        <f>SUMIFS(Table1[Estimated  F.O.B Value $],Table1[Month],$B633)</f>
        <v>213.16</v>
      </c>
      <c r="D633">
        <f>SUMIFS(Table1[Standard Qty],Table1[Month],$B633)</f>
        <v>46.8</v>
      </c>
      <c r="E633">
        <f>COUNTIFS(Table1[Month],$B633)</f>
        <v>1</v>
      </c>
    </row>
    <row r="634" spans="2:5" x14ac:dyDescent="0.3">
      <c r="B634" s="40">
        <v>45549</v>
      </c>
      <c r="C634">
        <f>SUMIFS(Table1[Estimated  F.O.B Value $],Table1[Month],$B634)</f>
        <v>222.85</v>
      </c>
      <c r="D634">
        <f>SUMIFS(Table1[Standard Qty],Table1[Month],$B634)</f>
        <v>35</v>
      </c>
      <c r="E634">
        <f>COUNTIFS(Table1[Month],$B634)</f>
        <v>1</v>
      </c>
    </row>
    <row r="635" spans="2:5" x14ac:dyDescent="0.3">
      <c r="B635" s="40">
        <v>45552</v>
      </c>
      <c r="C635">
        <f>SUMIFS(Table1[Estimated  F.O.B Value $],Table1[Month],$B635)</f>
        <v>250.03</v>
      </c>
      <c r="D635">
        <f>SUMIFS(Table1[Standard Qty],Table1[Month],$B635)</f>
        <v>150</v>
      </c>
      <c r="E635">
        <f>COUNTIFS(Table1[Month],$B635)</f>
        <v>1</v>
      </c>
    </row>
    <row r="636" spans="2:5" x14ac:dyDescent="0.3">
      <c r="B636" s="40">
        <v>45176</v>
      </c>
      <c r="C636">
        <f>SUMIFS(Table1[Estimated  F.O.B Value $],Table1[Month],$B636)</f>
        <v>274.20999999999998</v>
      </c>
      <c r="D636">
        <f>SUMIFS(Table1[Standard Qty],Table1[Month],$B636)</f>
        <v>50</v>
      </c>
      <c r="E636">
        <f>COUNTIFS(Table1[Month],$B636)</f>
        <v>1</v>
      </c>
    </row>
    <row r="637" spans="2:5" x14ac:dyDescent="0.3">
      <c r="B637" s="40">
        <v>45542</v>
      </c>
      <c r="C637">
        <f>SUMIFS(Table1[Estimated  F.O.B Value $],Table1[Month],$B637)</f>
        <v>282.97000000000003</v>
      </c>
      <c r="D637">
        <f>SUMIFS(Table1[Standard Qty],Table1[Month],$B637)</f>
        <v>50</v>
      </c>
      <c r="E637">
        <f>COUNTIFS(Table1[Month],$B637)</f>
        <v>1</v>
      </c>
    </row>
    <row r="638" spans="2:5" x14ac:dyDescent="0.3">
      <c r="B638" s="40">
        <v>45902</v>
      </c>
      <c r="C638">
        <f>SUMIFS(Table1[Estimated  F.O.B Value $],Table1[Month],$B638)</f>
        <v>284.22000000000003</v>
      </c>
      <c r="D638">
        <f>SUMIFS(Table1[Standard Qty],Table1[Month],$B638)</f>
        <v>250</v>
      </c>
      <c r="E638">
        <f>COUNTIFS(Table1[Month],$B638)</f>
        <v>1</v>
      </c>
    </row>
    <row r="639" spans="2:5" x14ac:dyDescent="0.3">
      <c r="B639" s="40">
        <v>45908</v>
      </c>
      <c r="C639">
        <f>SUMIFS(Table1[Estimated  F.O.B Value $],Table1[Month],$B639)</f>
        <v>419.17</v>
      </c>
      <c r="D639">
        <f>SUMIFS(Table1[Standard Qty],Table1[Month],$B639)</f>
        <v>100</v>
      </c>
      <c r="E639">
        <f>COUNTIFS(Table1[Month],$B639)</f>
        <v>1</v>
      </c>
    </row>
    <row r="640" spans="2:5" x14ac:dyDescent="0.3">
      <c r="B640" s="40">
        <v>45916</v>
      </c>
      <c r="C640">
        <f>SUMIFS(Table1[Estimated  F.O.B Value $],Table1[Month],$B640)</f>
        <v>522.61</v>
      </c>
      <c r="D640">
        <f>SUMIFS(Table1[Standard Qty],Table1[Month],$B640)</f>
        <v>125</v>
      </c>
      <c r="E640">
        <f>COUNTIFS(Table1[Month],$B640)</f>
        <v>1</v>
      </c>
    </row>
    <row r="641" spans="2:5" x14ac:dyDescent="0.3">
      <c r="B641" s="40">
        <v>45553</v>
      </c>
      <c r="C641">
        <f>SUMIFS(Table1[Estimated  F.O.B Value $],Table1[Month],$B641)</f>
        <v>531.96</v>
      </c>
      <c r="D641">
        <f>SUMIFS(Table1[Standard Qty],Table1[Month],$B641)</f>
        <v>300</v>
      </c>
      <c r="E641">
        <f>COUNTIFS(Table1[Month],$B641)</f>
        <v>1</v>
      </c>
    </row>
    <row r="642" spans="2:5" x14ac:dyDescent="0.3">
      <c r="B642" s="40">
        <v>44810</v>
      </c>
      <c r="C642">
        <f>SUMIFS(Table1[Estimated  F.O.B Value $],Table1[Month],$B642)</f>
        <v>660.73697585768741</v>
      </c>
      <c r="D642">
        <f>SUMIFS(Table1[Standard Qty],Table1[Month],$B642)</f>
        <v>90</v>
      </c>
      <c r="E642">
        <f>COUNTIFS(Table1[Month],$B642)</f>
        <v>1</v>
      </c>
    </row>
    <row r="643" spans="2:5" x14ac:dyDescent="0.3">
      <c r="B643" s="40">
        <v>45904</v>
      </c>
      <c r="C643">
        <f>SUMIFS(Table1[Estimated  F.O.B Value $],Table1[Month],$B643)</f>
        <v>679.15</v>
      </c>
      <c r="D643">
        <f>SUMIFS(Table1[Standard Qty],Table1[Month],$B643)</f>
        <v>500</v>
      </c>
      <c r="E643">
        <f>COUNTIFS(Table1[Month],$B643)</f>
        <v>1</v>
      </c>
    </row>
    <row r="644" spans="2:5" x14ac:dyDescent="0.3">
      <c r="B644" s="40">
        <v>45917</v>
      </c>
      <c r="C644">
        <f>SUMIFS(Table1[Estimated  F.O.B Value $],Table1[Month],$B644)</f>
        <v>680.32</v>
      </c>
      <c r="D644">
        <f>SUMIFS(Table1[Standard Qty],Table1[Month],$B644)</f>
        <v>500</v>
      </c>
      <c r="E644">
        <f>COUNTIFS(Table1[Month],$B644)</f>
        <v>1</v>
      </c>
    </row>
    <row r="645" spans="2:5" x14ac:dyDescent="0.3">
      <c r="B645" s="40">
        <v>45921</v>
      </c>
      <c r="C645">
        <f>SUMIFS(Table1[Estimated  F.O.B Value $],Table1[Month],$B645)</f>
        <v>680.32</v>
      </c>
      <c r="D645">
        <f>SUMIFS(Table1[Standard Qty],Table1[Month],$B645)</f>
        <v>500</v>
      </c>
      <c r="E645">
        <f>COUNTIFS(Table1[Month],$B645)</f>
        <v>1</v>
      </c>
    </row>
    <row r="646" spans="2:5" x14ac:dyDescent="0.3">
      <c r="B646" s="40">
        <v>45903</v>
      </c>
      <c r="C646">
        <f>SUMIFS(Table1[Estimated  F.O.B Value $],Table1[Month],$B646)</f>
        <v>687.82</v>
      </c>
      <c r="D646">
        <f>SUMIFS(Table1[Standard Qty],Table1[Month],$B646)</f>
        <v>500</v>
      </c>
      <c r="E646">
        <f>COUNTIFS(Table1[Month],$B646)</f>
        <v>1</v>
      </c>
    </row>
    <row r="647" spans="2:5" x14ac:dyDescent="0.3">
      <c r="B647" s="40">
        <v>45171</v>
      </c>
      <c r="C647">
        <f>SUMIFS(Table1[Estimated  F.O.B Value $],Table1[Month],$B647)</f>
        <v>798.79</v>
      </c>
      <c r="D647">
        <f>SUMIFS(Table1[Standard Qty],Table1[Month],$B647)</f>
        <v>120</v>
      </c>
      <c r="E647">
        <f>COUNTIFS(Table1[Month],$B647)</f>
        <v>1</v>
      </c>
    </row>
    <row r="648" spans="2:5" x14ac:dyDescent="0.3">
      <c r="B648" s="40">
        <v>45545</v>
      </c>
      <c r="C648">
        <f>SUMIFS(Table1[Estimated  F.O.B Value $],Table1[Month],$B648)</f>
        <v>830.91</v>
      </c>
      <c r="D648">
        <f>SUMIFS(Table1[Standard Qty],Table1[Month],$B648)</f>
        <v>500</v>
      </c>
      <c r="E648">
        <f>COUNTIFS(Table1[Month],$B648)</f>
        <v>1</v>
      </c>
    </row>
    <row r="649" spans="2:5" x14ac:dyDescent="0.3">
      <c r="B649" s="40">
        <v>45536</v>
      </c>
      <c r="C649">
        <f>SUMIFS(Table1[Estimated  F.O.B Value $],Table1[Month],$B649)</f>
        <v>831.41</v>
      </c>
      <c r="D649">
        <f>SUMIFS(Table1[Standard Qty],Table1[Month],$B649)</f>
        <v>500</v>
      </c>
      <c r="E649">
        <f>COUNTIFS(Table1[Month],$B649)</f>
        <v>1</v>
      </c>
    </row>
    <row r="650" spans="2:5" x14ac:dyDescent="0.3">
      <c r="B650" s="40">
        <v>45915</v>
      </c>
      <c r="C650">
        <f>SUMIFS(Table1[Estimated  F.O.B Value $],Table1[Month],$B650)</f>
        <v>1145.1500000000001</v>
      </c>
      <c r="D650">
        <f>SUMIFS(Table1[Standard Qty],Table1[Month],$B650)</f>
        <v>1000</v>
      </c>
      <c r="E650">
        <f>COUNTIFS(Table1[Month],$B650)</f>
        <v>1</v>
      </c>
    </row>
    <row r="651" spans="2:5" x14ac:dyDescent="0.3">
      <c r="B651" s="40">
        <v>45920</v>
      </c>
      <c r="C651">
        <f>SUMIFS(Table1[Estimated  F.O.B Value $],Table1[Month],$B651)</f>
        <v>1145.1500000000001</v>
      </c>
      <c r="D651">
        <f>SUMIFS(Table1[Standard Qty],Table1[Month],$B651)</f>
        <v>1000</v>
      </c>
      <c r="E651">
        <f>COUNTIFS(Table1[Month],$B651)</f>
        <v>1</v>
      </c>
    </row>
    <row r="652" spans="2:5" x14ac:dyDescent="0.3">
      <c r="B652" s="40">
        <v>44809</v>
      </c>
      <c r="C652">
        <f>SUMIFS(Table1[Estimated  F.O.B Value $],Table1[Month],$B652)</f>
        <v>1359.5933926302409</v>
      </c>
      <c r="D652">
        <f>SUMIFS(Table1[Standard Qty],Table1[Month],$B652)</f>
        <v>210</v>
      </c>
      <c r="E652">
        <f>COUNTIFS(Table1[Month],$B652)</f>
        <v>1</v>
      </c>
    </row>
    <row r="653" spans="2:5" x14ac:dyDescent="0.3">
      <c r="B653" s="40">
        <v>45546</v>
      </c>
      <c r="C653">
        <f>SUMIFS(Table1[Estimated  F.O.B Value $],Table1[Month],$B653)</f>
        <v>1560.31</v>
      </c>
      <c r="D653">
        <f>SUMIFS(Table1[Standard Qty],Table1[Month],$B653)</f>
        <v>1000</v>
      </c>
      <c r="E653">
        <f>COUNTIFS(Table1[Month],$B653)</f>
        <v>1</v>
      </c>
    </row>
    <row r="654" spans="2:5" x14ac:dyDescent="0.3">
      <c r="B654" s="40">
        <v>45170</v>
      </c>
      <c r="C654">
        <f>SUMIFS(Table1[Estimated  F.O.B Value $],Table1[Month],$B654)</f>
        <v>1626.91</v>
      </c>
      <c r="D654">
        <f>SUMIFS(Table1[Standard Qty],Table1[Month],$B654)</f>
        <v>225</v>
      </c>
      <c r="E654">
        <f>COUNTIFS(Table1[Month],$B654)</f>
        <v>1</v>
      </c>
    </row>
    <row r="655" spans="2:5" x14ac:dyDescent="0.3">
      <c r="B655" s="40">
        <v>45172</v>
      </c>
      <c r="C655">
        <f>SUMIFS(Table1[Estimated  F.O.B Value $],Table1[Month],$B655)</f>
        <v>1626.91</v>
      </c>
      <c r="D655">
        <f>SUMIFS(Table1[Standard Qty],Table1[Month],$B655)</f>
        <v>225</v>
      </c>
      <c r="E655">
        <f>COUNTIFS(Table1[Month],$B655)</f>
        <v>1</v>
      </c>
    </row>
    <row r="656" spans="2:5" x14ac:dyDescent="0.3">
      <c r="B656" s="40">
        <v>45540</v>
      </c>
      <c r="C656">
        <f>SUMIFS(Table1[Estimated  F.O.B Value $],Table1[Month],$B656)</f>
        <v>1692.34</v>
      </c>
      <c r="D656">
        <f>SUMIFS(Table1[Standard Qty],Table1[Month],$B656)</f>
        <v>1000</v>
      </c>
      <c r="E656">
        <f>COUNTIFS(Table1[Month],$B656)</f>
        <v>1</v>
      </c>
    </row>
    <row r="657" spans="2:5" x14ac:dyDescent="0.3">
      <c r="B657" s="40">
        <v>45541</v>
      </c>
      <c r="C657">
        <f>SUMIFS(Table1[Estimated  F.O.B Value $],Table1[Month],$B657)</f>
        <v>1692.34</v>
      </c>
      <c r="D657">
        <f>SUMIFS(Table1[Standard Qty],Table1[Month],$B657)</f>
        <v>1000</v>
      </c>
      <c r="E657">
        <f>COUNTIFS(Table1[Month],$B657)</f>
        <v>1</v>
      </c>
    </row>
    <row r="658" spans="2:5" x14ac:dyDescent="0.3">
      <c r="B658" s="40">
        <v>45537</v>
      </c>
      <c r="C658">
        <f>SUMIFS(Table1[Estimated  F.O.B Value $],Table1[Month],$B658)</f>
        <v>1693.36</v>
      </c>
      <c r="D658">
        <f>SUMIFS(Table1[Standard Qty],Table1[Month],$B658)</f>
        <v>1000</v>
      </c>
      <c r="E658">
        <f>COUNTIFS(Table1[Month],$B658)</f>
        <v>1</v>
      </c>
    </row>
    <row r="659" spans="2:5" x14ac:dyDescent="0.3">
      <c r="B659" s="40">
        <v>45547</v>
      </c>
      <c r="C659">
        <f>SUMIFS(Table1[Estimated  F.O.B Value $],Table1[Month],$B659)</f>
        <v>1697.44</v>
      </c>
      <c r="D659">
        <f>SUMIFS(Table1[Standard Qty],Table1[Month],$B659)</f>
        <v>1000</v>
      </c>
      <c r="E659">
        <f>COUNTIFS(Table1[Month],$B659)</f>
        <v>1</v>
      </c>
    </row>
    <row r="660" spans="2:5" x14ac:dyDescent="0.3">
      <c r="B660" s="40">
        <v>45910</v>
      </c>
      <c r="C660">
        <f>SUMIFS(Table1[Estimated  F.O.B Value $],Table1[Month],$B660)</f>
        <v>2290.3000000000002</v>
      </c>
      <c r="D660">
        <f>SUMIFS(Table1[Standard Qty],Table1[Month],$B660)</f>
        <v>2000</v>
      </c>
      <c r="E660">
        <f>COUNTIFS(Table1[Month],$B660)</f>
        <v>1</v>
      </c>
    </row>
    <row r="661" spans="2:5" x14ac:dyDescent="0.3">
      <c r="B661" s="40">
        <v>45551</v>
      </c>
      <c r="C661">
        <f>SUMIFS(Table1[Estimated  F.O.B Value $],Table1[Month],$B661)</f>
        <v>2383.64</v>
      </c>
      <c r="D661">
        <f>SUMIFS(Table1[Standard Qty],Table1[Month],$B661)</f>
        <v>1500</v>
      </c>
      <c r="E661">
        <f>COUNTIFS(Table1[Month],$B661)</f>
        <v>1</v>
      </c>
    </row>
    <row r="662" spans="2:5" x14ac:dyDescent="0.3">
      <c r="B662" s="40">
        <v>44807</v>
      </c>
      <c r="C662">
        <f>SUMIFS(Table1[Estimated  F.O.B Value $],Table1[Month],$B662)</f>
        <v>2426.937738246505</v>
      </c>
      <c r="D662">
        <f>SUMIFS(Table1[Standard Qty],Table1[Month],$B662)</f>
        <v>1000</v>
      </c>
      <c r="E662">
        <f>COUNTIFS(Table1[Month],$B662)</f>
        <v>1</v>
      </c>
    </row>
    <row r="663" spans="2:5" x14ac:dyDescent="0.3">
      <c r="B663" s="40">
        <v>45901</v>
      </c>
      <c r="C663">
        <f>SUMIFS(Table1[Estimated  F.O.B Value $],Table1[Month],$B663)</f>
        <v>4138.1499999999996</v>
      </c>
      <c r="D663">
        <f>SUMIFS(Table1[Standard Qty],Table1[Month],$B663)</f>
        <v>1000</v>
      </c>
      <c r="E663">
        <f>COUNTIFS(Table1[Month],$B663)</f>
        <v>1</v>
      </c>
    </row>
    <row r="664" spans="2:5" x14ac:dyDescent="0.3">
      <c r="B664" s="40">
        <v>45543</v>
      </c>
      <c r="C664">
        <f>SUMIFS(Table1[Estimated  F.O.B Value $],Table1[Month],$B664)</f>
        <v>4230.8500000000004</v>
      </c>
      <c r="D664">
        <f>SUMIFS(Table1[Standard Qty],Table1[Month],$B664)</f>
        <v>2500</v>
      </c>
      <c r="E664">
        <f>COUNTIFS(Table1[Month],$B664)</f>
        <v>1</v>
      </c>
    </row>
    <row r="665" spans="2:5" x14ac:dyDescent="0.3">
      <c r="B665" s="40">
        <v>45911</v>
      </c>
      <c r="C665">
        <f>SUMIFS(Table1[Estimated  F.O.B Value $],Table1[Month],$B665)</f>
        <v>5496.73</v>
      </c>
      <c r="D665">
        <f>SUMIFS(Table1[Standard Qty],Table1[Month],$B665)</f>
        <v>1500</v>
      </c>
      <c r="E665">
        <f>COUNTIFS(Table1[Month],$B665)</f>
        <v>1</v>
      </c>
    </row>
    <row r="666" spans="2:5" x14ac:dyDescent="0.3">
      <c r="B666" s="40">
        <v>45177</v>
      </c>
      <c r="C666">
        <f>SUMIFS(Table1[Estimated  F.O.B Value $],Table1[Month],$B666)</f>
        <v>6063.18</v>
      </c>
      <c r="D666">
        <f>SUMIFS(Table1[Standard Qty],Table1[Month],$B666)</f>
        <v>1000</v>
      </c>
      <c r="E666">
        <f>COUNTIFS(Table1[Month],$B666)</f>
        <v>1</v>
      </c>
    </row>
    <row r="667" spans="2:5" x14ac:dyDescent="0.3">
      <c r="B667" s="40">
        <v>45175</v>
      </c>
      <c r="C667">
        <f>SUMIFS(Table1[Estimated  F.O.B Value $],Table1[Month],$B667)</f>
        <v>6070.56</v>
      </c>
      <c r="D667">
        <f>SUMIFS(Table1[Standard Qty],Table1[Month],$B667)</f>
        <v>1000</v>
      </c>
      <c r="E667">
        <f>COUNTIFS(Table1[Month],$B667)</f>
        <v>1</v>
      </c>
    </row>
    <row r="668" spans="2:5" x14ac:dyDescent="0.3">
      <c r="B668" s="40">
        <v>45539</v>
      </c>
      <c r="C668">
        <f>SUMIFS(Table1[Estimated  F.O.B Value $],Table1[Month],$B668)</f>
        <v>10040.049999999999</v>
      </c>
      <c r="D668">
        <f>SUMIFS(Table1[Standard Qty],Table1[Month],$B668)</f>
        <v>2000</v>
      </c>
      <c r="E668">
        <f>COUNTIFS(Table1[Month],$B668)</f>
        <v>1</v>
      </c>
    </row>
    <row r="669" spans="2:5" x14ac:dyDescent="0.3">
      <c r="B669" s="40">
        <v>45914</v>
      </c>
      <c r="C669">
        <f>SUMIFS(Table1[Estimated  F.O.B Value $],Table1[Month],$B669)</f>
        <v>18637.650000000001</v>
      </c>
      <c r="D669">
        <f>SUMIFS(Table1[Standard Qty],Table1[Month],$B669)</f>
        <v>15000</v>
      </c>
      <c r="E669">
        <f>COUNTIFS(Table1[Month],$B669)</f>
        <v>1</v>
      </c>
    </row>
    <row r="670" spans="2:5" x14ac:dyDescent="0.3">
      <c r="B670" s="40">
        <v>45200</v>
      </c>
      <c r="C670">
        <f>SUMIFS(Table1[Estimated  F.O.B Value $],Table1[Month],$B670)</f>
        <v>0</v>
      </c>
      <c r="D670">
        <f>SUMIFS(Table1[Standard Qty],Table1[Month],$B670)</f>
        <v>0.2</v>
      </c>
      <c r="E670">
        <f>COUNTIFS(Table1[Month],$B670)</f>
        <v>1</v>
      </c>
    </row>
    <row r="671" spans="2:5" x14ac:dyDescent="0.3">
      <c r="B671" s="40">
        <v>45942</v>
      </c>
      <c r="C671">
        <f>SUMIFS(Table1[Estimated  F.O.B Value $],Table1[Month],$B671)</f>
        <v>28.72</v>
      </c>
      <c r="D671">
        <f>SUMIFS(Table1[Standard Qty],Table1[Month],$B671)</f>
        <v>17</v>
      </c>
      <c r="E671">
        <f>COUNTIFS(Table1[Month],$B671)</f>
        <v>1</v>
      </c>
    </row>
    <row r="672" spans="2:5" x14ac:dyDescent="0.3">
      <c r="B672" s="40">
        <v>45934</v>
      </c>
      <c r="C672">
        <f>SUMIFS(Table1[Estimated  F.O.B Value $],Table1[Month],$B672)</f>
        <v>52.14</v>
      </c>
      <c r="D672">
        <f>SUMIFS(Table1[Standard Qty],Table1[Month],$B672)</f>
        <v>10</v>
      </c>
      <c r="E672">
        <f>COUNTIFS(Table1[Month],$B672)</f>
        <v>1</v>
      </c>
    </row>
    <row r="673" spans="2:5" x14ac:dyDescent="0.3">
      <c r="B673" s="40">
        <v>45935</v>
      </c>
      <c r="C673">
        <f>SUMIFS(Table1[Estimated  F.O.B Value $],Table1[Month],$B673)</f>
        <v>111.36</v>
      </c>
      <c r="D673">
        <f>SUMIFS(Table1[Standard Qty],Table1[Month],$B673)</f>
        <v>25</v>
      </c>
      <c r="E673">
        <f>COUNTIFS(Table1[Month],$B673)</f>
        <v>1</v>
      </c>
    </row>
    <row r="674" spans="2:5" x14ac:dyDescent="0.3">
      <c r="B674" s="40">
        <v>45933</v>
      </c>
      <c r="C674">
        <f>SUMIFS(Table1[Estimated  F.O.B Value $],Table1[Month],$B674)</f>
        <v>128.07</v>
      </c>
      <c r="D674">
        <f>SUMIFS(Table1[Standard Qty],Table1[Month],$B674)</f>
        <v>25</v>
      </c>
      <c r="E674">
        <f>COUNTIFS(Table1[Month],$B674)</f>
        <v>1</v>
      </c>
    </row>
    <row r="675" spans="2:5" x14ac:dyDescent="0.3">
      <c r="B675" s="40">
        <v>45937</v>
      </c>
      <c r="C675">
        <f>SUMIFS(Table1[Estimated  F.O.B Value $],Table1[Month],$B675)</f>
        <v>129.54</v>
      </c>
      <c r="D675">
        <f>SUMIFS(Table1[Standard Qty],Table1[Month],$B675)</f>
        <v>25</v>
      </c>
      <c r="E675">
        <f>COUNTIFS(Table1[Month],$B675)</f>
        <v>1</v>
      </c>
    </row>
    <row r="676" spans="2:5" x14ac:dyDescent="0.3">
      <c r="B676" s="40">
        <v>45941</v>
      </c>
      <c r="C676">
        <f>SUMIFS(Table1[Estimated  F.O.B Value $],Table1[Month],$B676)</f>
        <v>178.65</v>
      </c>
      <c r="D676">
        <f>SUMIFS(Table1[Standard Qty],Table1[Month],$B676)</f>
        <v>25</v>
      </c>
      <c r="E676">
        <f>COUNTIFS(Table1[Month],$B676)</f>
        <v>1</v>
      </c>
    </row>
    <row r="677" spans="2:5" x14ac:dyDescent="0.3">
      <c r="B677" s="40">
        <v>45945</v>
      </c>
      <c r="C677">
        <f>SUMIFS(Table1[Estimated  F.O.B Value $],Table1[Month],$B677)</f>
        <v>214.67</v>
      </c>
      <c r="D677">
        <f>SUMIFS(Table1[Standard Qty],Table1[Month],$B677)</f>
        <v>49.5</v>
      </c>
      <c r="E677">
        <f>COUNTIFS(Table1[Month],$B677)</f>
        <v>1</v>
      </c>
    </row>
    <row r="678" spans="2:5" x14ac:dyDescent="0.3">
      <c r="B678" s="40">
        <v>45946</v>
      </c>
      <c r="C678">
        <f>SUMIFS(Table1[Estimated  F.O.B Value $],Table1[Month],$B678)</f>
        <v>253.45</v>
      </c>
      <c r="D678">
        <f>SUMIFS(Table1[Standard Qty],Table1[Month],$B678)</f>
        <v>50</v>
      </c>
      <c r="E678">
        <f>COUNTIFS(Table1[Month],$B678)</f>
        <v>1</v>
      </c>
    </row>
    <row r="679" spans="2:5" x14ac:dyDescent="0.3">
      <c r="B679" s="40">
        <v>44835</v>
      </c>
      <c r="C679">
        <f>SUMIFS(Table1[Estimated  F.O.B Value $],Table1[Month],$B679)</f>
        <v>279.80535279805349</v>
      </c>
      <c r="D679">
        <f>SUMIFS(Table1[Standard Qty],Table1[Month],$B679)</f>
        <v>39.200000000000003</v>
      </c>
      <c r="E679">
        <f>COUNTIFS(Table1[Month],$B679)</f>
        <v>2</v>
      </c>
    </row>
    <row r="680" spans="2:5" x14ac:dyDescent="0.3">
      <c r="B680" s="40">
        <v>45943</v>
      </c>
      <c r="C680">
        <f>SUMIFS(Table1[Estimated  F.O.B Value $],Table1[Month],$B680)</f>
        <v>303.57</v>
      </c>
      <c r="D680">
        <f>SUMIFS(Table1[Standard Qty],Table1[Month],$B680)</f>
        <v>50</v>
      </c>
      <c r="E680">
        <f>COUNTIFS(Table1[Month],$B680)</f>
        <v>1</v>
      </c>
    </row>
    <row r="681" spans="2:5" x14ac:dyDescent="0.3">
      <c r="B681" s="40">
        <v>45944</v>
      </c>
      <c r="C681">
        <f>SUMIFS(Table1[Estimated  F.O.B Value $],Table1[Month],$B681)</f>
        <v>315.52</v>
      </c>
      <c r="D681">
        <f>SUMIFS(Table1[Standard Qty],Table1[Month],$B681)</f>
        <v>75</v>
      </c>
      <c r="E681">
        <f>COUNTIFS(Table1[Month],$B681)</f>
        <v>1</v>
      </c>
    </row>
    <row r="682" spans="2:5" x14ac:dyDescent="0.3">
      <c r="B682" s="40">
        <v>45572</v>
      </c>
      <c r="C682">
        <f>SUMIFS(Table1[Estimated  F.O.B Value $],Table1[Month],$B682)</f>
        <v>332.16</v>
      </c>
      <c r="D682">
        <f>SUMIFS(Table1[Standard Qty],Table1[Month],$B682)</f>
        <v>200</v>
      </c>
      <c r="E682">
        <f>COUNTIFS(Table1[Month],$B682)</f>
        <v>1</v>
      </c>
    </row>
    <row r="683" spans="2:5" x14ac:dyDescent="0.3">
      <c r="B683" s="40">
        <v>45206</v>
      </c>
      <c r="C683">
        <f>SUMIFS(Table1[Estimated  F.O.B Value $],Table1[Month],$B683)</f>
        <v>392.24</v>
      </c>
      <c r="D683">
        <f>SUMIFS(Table1[Standard Qty],Table1[Month],$B683)</f>
        <v>101.75</v>
      </c>
      <c r="E683">
        <f>COUNTIFS(Table1[Month],$B683)</f>
        <v>1</v>
      </c>
    </row>
    <row r="684" spans="2:5" x14ac:dyDescent="0.3">
      <c r="B684" s="40">
        <v>45938</v>
      </c>
      <c r="C684">
        <f>SUMIFS(Table1[Estimated  F.O.B Value $],Table1[Month],$B684)</f>
        <v>498.33</v>
      </c>
      <c r="D684">
        <f>SUMIFS(Table1[Standard Qty],Table1[Month],$B684)</f>
        <v>100</v>
      </c>
      <c r="E684">
        <f>COUNTIFS(Table1[Month],$B684)</f>
        <v>1</v>
      </c>
    </row>
    <row r="685" spans="2:5" x14ac:dyDescent="0.3">
      <c r="B685" s="40">
        <v>45940</v>
      </c>
      <c r="C685">
        <f>SUMIFS(Table1[Estimated  F.O.B Value $],Table1[Month],$B685)</f>
        <v>498.33</v>
      </c>
      <c r="D685">
        <f>SUMIFS(Table1[Standard Qty],Table1[Month],$B685)</f>
        <v>100</v>
      </c>
      <c r="E685">
        <f>COUNTIFS(Table1[Month],$B685)</f>
        <v>1</v>
      </c>
    </row>
    <row r="686" spans="2:5" x14ac:dyDescent="0.3">
      <c r="B686" s="40">
        <v>45931</v>
      </c>
      <c r="C686">
        <f>SUMIFS(Table1[Estimated  F.O.B Value $],Table1[Month],$B686)</f>
        <v>764.4</v>
      </c>
      <c r="D686">
        <f>SUMIFS(Table1[Standard Qty],Table1[Month],$B686)</f>
        <v>600</v>
      </c>
      <c r="E686">
        <f>COUNTIFS(Table1[Month],$B686)</f>
        <v>1</v>
      </c>
    </row>
    <row r="687" spans="2:5" x14ac:dyDescent="0.3">
      <c r="B687" s="40">
        <v>45932</v>
      </c>
      <c r="C687">
        <f>SUMIFS(Table1[Estimated  F.O.B Value $],Table1[Month],$B687)</f>
        <v>764.4</v>
      </c>
      <c r="D687">
        <f>SUMIFS(Table1[Standard Qty],Table1[Month],$B687)</f>
        <v>600</v>
      </c>
      <c r="E687">
        <f>COUNTIFS(Table1[Month],$B687)</f>
        <v>1</v>
      </c>
    </row>
    <row r="688" spans="2:5" x14ac:dyDescent="0.3">
      <c r="B688" s="40">
        <v>45570</v>
      </c>
      <c r="C688">
        <f>SUMIFS(Table1[Estimated  F.O.B Value $],Table1[Month],$B688)</f>
        <v>830.41</v>
      </c>
      <c r="D688">
        <f>SUMIFS(Table1[Standard Qty],Table1[Month],$B688)</f>
        <v>500</v>
      </c>
      <c r="E688">
        <f>COUNTIFS(Table1[Month],$B688)</f>
        <v>1</v>
      </c>
    </row>
    <row r="689" spans="2:5" x14ac:dyDescent="0.3">
      <c r="B689" s="40">
        <v>45567</v>
      </c>
      <c r="C689">
        <f>SUMIFS(Table1[Estimated  F.O.B Value $],Table1[Month],$B689)</f>
        <v>831.41</v>
      </c>
      <c r="D689">
        <f>SUMIFS(Table1[Standard Qty],Table1[Month],$B689)</f>
        <v>500</v>
      </c>
      <c r="E689">
        <f>COUNTIFS(Table1[Month],$B689)</f>
        <v>1</v>
      </c>
    </row>
    <row r="690" spans="2:5" x14ac:dyDescent="0.3">
      <c r="B690" s="40">
        <v>45203</v>
      </c>
      <c r="C690">
        <f>SUMIFS(Table1[Estimated  F.O.B Value $],Table1[Month],$B690)</f>
        <v>1065.82</v>
      </c>
      <c r="D690">
        <f>SUMIFS(Table1[Standard Qty],Table1[Month],$B690)</f>
        <v>120</v>
      </c>
      <c r="E690">
        <f>COUNTIFS(Table1[Month],$B690)</f>
        <v>1</v>
      </c>
    </row>
    <row r="691" spans="2:5" x14ac:dyDescent="0.3">
      <c r="B691" s="40">
        <v>45201</v>
      </c>
      <c r="C691">
        <f>SUMIFS(Table1[Estimated  F.O.B Value $],Table1[Month],$B691)</f>
        <v>1417.06</v>
      </c>
      <c r="D691">
        <f>SUMIFS(Table1[Standard Qty],Table1[Month],$B691)</f>
        <v>240</v>
      </c>
      <c r="E691">
        <f>COUNTIFS(Table1[Month],$B691)</f>
        <v>1</v>
      </c>
    </row>
    <row r="692" spans="2:5" x14ac:dyDescent="0.3">
      <c r="B692" s="40">
        <v>45573</v>
      </c>
      <c r="C692">
        <f>SUMIFS(Table1[Estimated  F.O.B Value $],Table1[Month],$B692)</f>
        <v>1691.32</v>
      </c>
      <c r="D692">
        <f>SUMIFS(Table1[Standard Qty],Table1[Month],$B692)</f>
        <v>1000</v>
      </c>
      <c r="E692">
        <f>COUNTIFS(Table1[Month],$B692)</f>
        <v>1</v>
      </c>
    </row>
    <row r="693" spans="2:5" x14ac:dyDescent="0.3">
      <c r="B693" s="40">
        <v>45566</v>
      </c>
      <c r="C693">
        <f>SUMIFS(Table1[Estimated  F.O.B Value $],Table1[Month],$B693)</f>
        <v>1693.36</v>
      </c>
      <c r="D693">
        <f>SUMIFS(Table1[Standard Qty],Table1[Month],$B693)</f>
        <v>1000</v>
      </c>
      <c r="E693">
        <f>COUNTIFS(Table1[Month],$B693)</f>
        <v>1</v>
      </c>
    </row>
    <row r="694" spans="2:5" x14ac:dyDescent="0.3">
      <c r="B694" s="40">
        <v>45568</v>
      </c>
      <c r="C694">
        <f>SUMIFS(Table1[Estimated  F.O.B Value $],Table1[Month],$B694)</f>
        <v>1693.36</v>
      </c>
      <c r="D694">
        <f>SUMIFS(Table1[Standard Qty],Table1[Month],$B694)</f>
        <v>1000</v>
      </c>
      <c r="E694">
        <f>COUNTIFS(Table1[Month],$B694)</f>
        <v>1</v>
      </c>
    </row>
    <row r="695" spans="2:5" x14ac:dyDescent="0.3">
      <c r="B695" s="40">
        <v>45936</v>
      </c>
      <c r="C695">
        <f>SUMIFS(Table1[Estimated  F.O.B Value $],Table1[Month],$B695)</f>
        <v>1904.18</v>
      </c>
      <c r="D695">
        <f>SUMIFS(Table1[Standard Qty],Table1[Month],$B695)</f>
        <v>300</v>
      </c>
      <c r="E695">
        <f>COUNTIFS(Table1[Month],$B695)</f>
        <v>1</v>
      </c>
    </row>
    <row r="696" spans="2:5" x14ac:dyDescent="0.3">
      <c r="B696" s="40">
        <v>45202</v>
      </c>
      <c r="C696">
        <f>SUMIFS(Table1[Estimated  F.O.B Value $],Table1[Month],$B696)</f>
        <v>3027.91</v>
      </c>
      <c r="D696">
        <f>SUMIFS(Table1[Standard Qty],Table1[Month],$B696)</f>
        <v>500</v>
      </c>
      <c r="E696">
        <f>COUNTIFS(Table1[Month],$B696)</f>
        <v>1</v>
      </c>
    </row>
    <row r="697" spans="2:5" x14ac:dyDescent="0.3">
      <c r="B697" s="40">
        <v>45574</v>
      </c>
      <c r="C697">
        <f>SUMIFS(Table1[Estimated  F.O.B Value $],Table1[Month],$B697)</f>
        <v>3382.64</v>
      </c>
      <c r="D697">
        <f>SUMIFS(Table1[Standard Qty],Table1[Month],$B697)</f>
        <v>2000</v>
      </c>
      <c r="E697">
        <f>COUNTIFS(Table1[Month],$B697)</f>
        <v>1</v>
      </c>
    </row>
    <row r="698" spans="2:5" x14ac:dyDescent="0.3">
      <c r="B698" s="40">
        <v>45939</v>
      </c>
      <c r="C698">
        <f>SUMIFS(Table1[Estimated  F.O.B Value $],Table1[Month],$B698)</f>
        <v>3988.86</v>
      </c>
      <c r="D698">
        <f>SUMIFS(Table1[Standard Qty],Table1[Month],$B698)</f>
        <v>2000</v>
      </c>
      <c r="E698">
        <f>COUNTIFS(Table1[Month],$B698)</f>
        <v>1</v>
      </c>
    </row>
    <row r="699" spans="2:5" x14ac:dyDescent="0.3">
      <c r="B699" s="40">
        <v>45571</v>
      </c>
      <c r="C699">
        <f>SUMIFS(Table1[Estimated  F.O.B Value $],Table1[Month],$B699)</f>
        <v>5073.96</v>
      </c>
      <c r="D699">
        <f>SUMIFS(Table1[Standard Qty],Table1[Month],$B699)</f>
        <v>1000</v>
      </c>
      <c r="E699">
        <f>COUNTIFS(Table1[Month],$B699)</f>
        <v>1</v>
      </c>
    </row>
    <row r="700" spans="2:5" x14ac:dyDescent="0.3">
      <c r="B700" s="40">
        <v>45569</v>
      </c>
      <c r="C700">
        <f>SUMIFS(Table1[Estimated  F.O.B Value $],Table1[Month],$B700)</f>
        <v>5539.08</v>
      </c>
      <c r="D700">
        <f>SUMIFS(Table1[Standard Qty],Table1[Month],$B700)</f>
        <v>3275</v>
      </c>
      <c r="E700">
        <f>COUNTIFS(Table1[Month],$B700)</f>
        <v>1</v>
      </c>
    </row>
    <row r="701" spans="2:5" x14ac:dyDescent="0.3">
      <c r="B701" s="40">
        <v>45204</v>
      </c>
      <c r="C701">
        <f>SUMIFS(Table1[Estimated  F.O.B Value $],Table1[Month],$B701)</f>
        <v>6055.82</v>
      </c>
      <c r="D701">
        <f>SUMIFS(Table1[Standard Qty],Table1[Month],$B701)</f>
        <v>1000</v>
      </c>
      <c r="E701">
        <f>COUNTIFS(Table1[Month],$B701)</f>
        <v>1</v>
      </c>
    </row>
    <row r="702" spans="2:5" x14ac:dyDescent="0.3">
      <c r="B702" s="40">
        <v>45205</v>
      </c>
      <c r="C702">
        <f>SUMIFS(Table1[Estimated  F.O.B Value $],Table1[Month],$B702)</f>
        <v>6855.19</v>
      </c>
      <c r="D702">
        <f>SUMIFS(Table1[Standard Qty],Table1[Month],$B702)</f>
        <v>1250</v>
      </c>
      <c r="E702">
        <f>COUNTIFS(Table1[Month],$B702)</f>
        <v>1</v>
      </c>
    </row>
    <row r="703" spans="2:5" x14ac:dyDescent="0.3">
      <c r="B703" s="40">
        <v>44866</v>
      </c>
      <c r="C703">
        <f>SUMIFS(Table1[Estimated  F.O.B Value $],Table1[Month],$B703)</f>
        <v>121.654501216545</v>
      </c>
      <c r="D703">
        <f>SUMIFS(Table1[Standard Qty],Table1[Month],$B703)</f>
        <v>19.2</v>
      </c>
      <c r="E703">
        <f>COUNTIFS(Table1[Month],$B703)</f>
        <v>1</v>
      </c>
    </row>
    <row r="704" spans="2:5" x14ac:dyDescent="0.3">
      <c r="B704" s="40">
        <v>45233</v>
      </c>
      <c r="C704">
        <f>SUMIFS(Table1[Estimated  F.O.B Value $],Table1[Month],$B704)</f>
        <v>130.83000000000001</v>
      </c>
      <c r="D704">
        <f>SUMIFS(Table1[Standard Qty],Table1[Month],$B704)</f>
        <v>10</v>
      </c>
      <c r="E704">
        <f>COUNTIFS(Table1[Month],$B704)</f>
        <v>1</v>
      </c>
    </row>
    <row r="705" spans="2:5" x14ac:dyDescent="0.3">
      <c r="B705" s="40">
        <v>45606</v>
      </c>
      <c r="C705">
        <f>SUMIFS(Table1[Estimated  F.O.B Value $],Table1[Month],$B705)</f>
        <v>158.12</v>
      </c>
      <c r="D705">
        <f>SUMIFS(Table1[Standard Qty],Table1[Month],$B705)</f>
        <v>30</v>
      </c>
      <c r="E705">
        <f>COUNTIFS(Table1[Month],$B705)</f>
        <v>1</v>
      </c>
    </row>
    <row r="706" spans="2:5" x14ac:dyDescent="0.3">
      <c r="B706" s="40">
        <v>45235</v>
      </c>
      <c r="C706">
        <f>SUMIFS(Table1[Estimated  F.O.B Value $],Table1[Month],$B706)</f>
        <v>357.01</v>
      </c>
      <c r="D706">
        <f>SUMIFS(Table1[Standard Qty],Table1[Month],$B706)</f>
        <v>50</v>
      </c>
      <c r="E706">
        <f>COUNTIFS(Table1[Month],$B706)</f>
        <v>1</v>
      </c>
    </row>
    <row r="707" spans="2:5" x14ac:dyDescent="0.3">
      <c r="B707" s="40">
        <v>45231</v>
      </c>
      <c r="C707">
        <f>SUMIFS(Table1[Estimated  F.O.B Value $],Table1[Month],$B707)</f>
        <v>368.69</v>
      </c>
      <c r="D707">
        <f>SUMIFS(Table1[Standard Qty],Table1[Month],$B707)</f>
        <v>50</v>
      </c>
      <c r="E707">
        <f>COUNTIFS(Table1[Month],$B707)</f>
        <v>1</v>
      </c>
    </row>
    <row r="708" spans="2:5" x14ac:dyDescent="0.3">
      <c r="B708" s="40">
        <v>45605</v>
      </c>
      <c r="C708">
        <f>SUMIFS(Table1[Estimated  F.O.B Value $],Table1[Month],$B708)</f>
        <v>826.43</v>
      </c>
      <c r="D708">
        <f>SUMIFS(Table1[Standard Qty],Table1[Month],$B708)</f>
        <v>500</v>
      </c>
      <c r="E708">
        <f>COUNTIFS(Table1[Month],$B708)</f>
        <v>1</v>
      </c>
    </row>
    <row r="709" spans="2:5" x14ac:dyDescent="0.3">
      <c r="B709" s="40">
        <v>45234</v>
      </c>
      <c r="C709">
        <f>SUMIFS(Table1[Estimated  F.O.B Value $],Table1[Month],$B709)</f>
        <v>1102.1600000000001</v>
      </c>
      <c r="D709">
        <f>SUMIFS(Table1[Standard Qty],Table1[Month],$B709)</f>
        <v>160</v>
      </c>
      <c r="E709">
        <f>COUNTIFS(Table1[Month],$B709)</f>
        <v>1</v>
      </c>
    </row>
    <row r="710" spans="2:5" x14ac:dyDescent="0.3">
      <c r="B710" s="40">
        <v>45232</v>
      </c>
      <c r="C710">
        <f>SUMIFS(Table1[Estimated  F.O.B Value $],Table1[Month],$B710)</f>
        <v>1501.84</v>
      </c>
      <c r="D710">
        <f>SUMIFS(Table1[Standard Qty],Table1[Month],$B710)</f>
        <v>250</v>
      </c>
      <c r="E710">
        <f>COUNTIFS(Table1[Month],$B710)</f>
        <v>1</v>
      </c>
    </row>
    <row r="711" spans="2:5" x14ac:dyDescent="0.3">
      <c r="B711" s="40">
        <v>45236</v>
      </c>
      <c r="C711">
        <f>SUMIFS(Table1[Estimated  F.O.B Value $],Table1[Month],$B711)</f>
        <v>1623.95</v>
      </c>
      <c r="D711">
        <f>SUMIFS(Table1[Standard Qty],Table1[Month],$B711)</f>
        <v>300</v>
      </c>
      <c r="E711">
        <f>COUNTIFS(Table1[Month],$B711)</f>
        <v>1</v>
      </c>
    </row>
    <row r="712" spans="2:5" x14ac:dyDescent="0.3">
      <c r="B712" s="40">
        <v>45601</v>
      </c>
      <c r="C712">
        <f>SUMIFS(Table1[Estimated  F.O.B Value $],Table1[Month],$B712)</f>
        <v>2251.88</v>
      </c>
      <c r="D712">
        <f>SUMIFS(Table1[Standard Qty],Table1[Month],$B712)</f>
        <v>420</v>
      </c>
      <c r="E712">
        <f>COUNTIFS(Table1[Month],$B712)</f>
        <v>1</v>
      </c>
    </row>
    <row r="713" spans="2:5" x14ac:dyDescent="0.3">
      <c r="B713" s="40">
        <v>45603</v>
      </c>
      <c r="C713">
        <f>SUMIFS(Table1[Estimated  F.O.B Value $],Table1[Month],$B713)</f>
        <v>2363.6799999999998</v>
      </c>
      <c r="D713">
        <f>SUMIFS(Table1[Standard Qty],Table1[Month],$B713)</f>
        <v>1500</v>
      </c>
      <c r="E713">
        <f>COUNTIFS(Table1[Month],$B713)</f>
        <v>1</v>
      </c>
    </row>
    <row r="714" spans="2:5" x14ac:dyDescent="0.3">
      <c r="B714" s="40">
        <v>45602</v>
      </c>
      <c r="C714">
        <f>SUMIFS(Table1[Estimated  F.O.B Value $],Table1[Month],$B714)</f>
        <v>2524.84</v>
      </c>
      <c r="D714">
        <f>SUMIFS(Table1[Standard Qty],Table1[Month],$B714)</f>
        <v>1500</v>
      </c>
      <c r="E714">
        <f>COUNTIFS(Table1[Month],$B714)</f>
        <v>1</v>
      </c>
    </row>
    <row r="715" spans="2:5" x14ac:dyDescent="0.3">
      <c r="B715" s="40">
        <v>45600</v>
      </c>
      <c r="C715">
        <f>SUMIFS(Table1[Estimated  F.O.B Value $],Table1[Month],$B715)</f>
        <v>2529.38</v>
      </c>
      <c r="D715">
        <f>SUMIFS(Table1[Standard Qty],Table1[Month],$B715)</f>
        <v>1500</v>
      </c>
      <c r="E715">
        <f>COUNTIFS(Table1[Month],$B715)</f>
        <v>1</v>
      </c>
    </row>
    <row r="716" spans="2:5" x14ac:dyDescent="0.3">
      <c r="B716" s="40">
        <v>45599</v>
      </c>
      <c r="C716">
        <f>SUMIFS(Table1[Estimated  F.O.B Value $],Table1[Month],$B716)</f>
        <v>3372.51</v>
      </c>
      <c r="D716">
        <f>SUMIFS(Table1[Standard Qty],Table1[Month],$B716)</f>
        <v>2000</v>
      </c>
      <c r="E716">
        <f>COUNTIFS(Table1[Month],$B716)</f>
        <v>1</v>
      </c>
    </row>
    <row r="717" spans="2:5" x14ac:dyDescent="0.3">
      <c r="B717" s="40">
        <v>45604</v>
      </c>
      <c r="C717">
        <f>SUMIFS(Table1[Estimated  F.O.B Value $],Table1[Month],$B717)</f>
        <v>5049.6899999999996</v>
      </c>
      <c r="D717">
        <f>SUMIFS(Table1[Standard Qty],Table1[Month],$B717)</f>
        <v>3000</v>
      </c>
      <c r="E717">
        <f>COUNTIFS(Table1[Month],$B717)</f>
        <v>1</v>
      </c>
    </row>
    <row r="718" spans="2:5" x14ac:dyDescent="0.3">
      <c r="B718" s="40">
        <v>45598</v>
      </c>
      <c r="C718">
        <f>SUMIFS(Table1[Estimated  F.O.B Value $],Table1[Month],$B718)</f>
        <v>5175.84</v>
      </c>
      <c r="D718">
        <f>SUMIFS(Table1[Standard Qty],Table1[Month],$B718)</f>
        <v>1000</v>
      </c>
      <c r="E718">
        <f>COUNTIFS(Table1[Month],$B718)</f>
        <v>1</v>
      </c>
    </row>
    <row r="719" spans="2:5" x14ac:dyDescent="0.3">
      <c r="B719" s="40">
        <v>45597</v>
      </c>
      <c r="C719">
        <f>SUMIFS(Table1[Estimated  F.O.B Value $],Table1[Month],$B719)</f>
        <v>5325.3</v>
      </c>
      <c r="D719">
        <f>SUMIFS(Table1[Standard Qty],Table1[Month],$B719)</f>
        <v>600</v>
      </c>
      <c r="E719">
        <f>COUNTIFS(Table1[Month],$B719)</f>
        <v>1</v>
      </c>
    </row>
    <row r="720" spans="2:5" x14ac:dyDescent="0.3">
      <c r="B720" s="40">
        <v>45635</v>
      </c>
      <c r="C720">
        <f>SUMIFS(Table1[Estimated  F.O.B Value $],Table1[Month],$B720)</f>
        <v>44.24</v>
      </c>
      <c r="D720">
        <f>SUMIFS(Table1[Standard Qty],Table1[Month],$B720)</f>
        <v>10</v>
      </c>
      <c r="E720">
        <f>COUNTIFS(Table1[Month],$B720)</f>
        <v>1</v>
      </c>
    </row>
    <row r="721" spans="2:5" x14ac:dyDescent="0.3">
      <c r="B721" s="40">
        <v>45634</v>
      </c>
      <c r="C721">
        <f>SUMIFS(Table1[Estimated  F.O.B Value $],Table1[Month],$B721)</f>
        <v>46.55</v>
      </c>
      <c r="D721">
        <f>SUMIFS(Table1[Standard Qty],Table1[Month],$B721)</f>
        <v>10</v>
      </c>
      <c r="E721">
        <f>COUNTIFS(Table1[Month],$B721)</f>
        <v>1</v>
      </c>
    </row>
    <row r="722" spans="2:5" x14ac:dyDescent="0.3">
      <c r="B722" s="40">
        <v>45639</v>
      </c>
      <c r="C722">
        <f>SUMIFS(Table1[Estimated  F.O.B Value $],Table1[Month],$B722)</f>
        <v>55.25</v>
      </c>
      <c r="D722">
        <f>SUMIFS(Table1[Standard Qty],Table1[Month],$B722)</f>
        <v>5</v>
      </c>
      <c r="E722">
        <f>COUNTIFS(Table1[Month],$B722)</f>
        <v>1</v>
      </c>
    </row>
    <row r="723" spans="2:5" x14ac:dyDescent="0.3">
      <c r="B723" s="40">
        <v>45631</v>
      </c>
      <c r="C723">
        <f>SUMIFS(Table1[Estimated  F.O.B Value $],Table1[Month],$B723)</f>
        <v>146.01</v>
      </c>
      <c r="D723">
        <f>SUMIFS(Table1[Standard Qty],Table1[Month],$B723)</f>
        <v>50</v>
      </c>
      <c r="E723">
        <f>COUNTIFS(Table1[Month],$B723)</f>
        <v>1</v>
      </c>
    </row>
    <row r="724" spans="2:5" x14ac:dyDescent="0.3">
      <c r="B724" s="40">
        <v>45638</v>
      </c>
      <c r="C724">
        <f>SUMIFS(Table1[Estimated  F.O.B Value $],Table1[Month],$B724)</f>
        <v>164.01</v>
      </c>
      <c r="D724">
        <f>SUMIFS(Table1[Standard Qty],Table1[Month],$B724)</f>
        <v>100</v>
      </c>
      <c r="E724">
        <f>COUNTIFS(Table1[Month],$B724)</f>
        <v>1</v>
      </c>
    </row>
    <row r="725" spans="2:5" x14ac:dyDescent="0.3">
      <c r="B725" s="40">
        <v>45629</v>
      </c>
      <c r="C725">
        <f>SUMIFS(Table1[Estimated  F.O.B Value $],Table1[Month],$B725)</f>
        <v>176.81</v>
      </c>
      <c r="D725">
        <f>SUMIFS(Table1[Standard Qty],Table1[Month],$B725)</f>
        <v>25</v>
      </c>
      <c r="E725">
        <f>COUNTIFS(Table1[Month],$B725)</f>
        <v>1</v>
      </c>
    </row>
    <row r="726" spans="2:5" x14ac:dyDescent="0.3">
      <c r="B726" s="40">
        <v>45627</v>
      </c>
      <c r="C726">
        <f>SUMIFS(Table1[Estimated  F.O.B Value $],Table1[Month],$B726)</f>
        <v>326.54000000000002</v>
      </c>
      <c r="D726">
        <f>SUMIFS(Table1[Standard Qty],Table1[Month],$B726)</f>
        <v>75</v>
      </c>
      <c r="E726">
        <f>COUNTIFS(Table1[Month],$B726)</f>
        <v>1</v>
      </c>
    </row>
    <row r="727" spans="2:5" x14ac:dyDescent="0.3">
      <c r="B727" s="40">
        <v>45640</v>
      </c>
      <c r="C727">
        <f>SUMIFS(Table1[Estimated  F.O.B Value $],Table1[Month],$B727)</f>
        <v>410.03</v>
      </c>
      <c r="D727">
        <f>SUMIFS(Table1[Standard Qty],Table1[Month],$B727)</f>
        <v>250</v>
      </c>
      <c r="E727">
        <f>COUNTIFS(Table1[Month],$B727)</f>
        <v>1</v>
      </c>
    </row>
    <row r="728" spans="2:5" x14ac:dyDescent="0.3">
      <c r="B728" s="40">
        <v>44899</v>
      </c>
      <c r="C728">
        <f>SUMIFS(Table1[Estimated  F.O.B Value $],Table1[Month],$B728)</f>
        <v>464.55</v>
      </c>
      <c r="D728">
        <f>SUMIFS(Table1[Standard Qty],Table1[Month],$B728)</f>
        <v>100</v>
      </c>
      <c r="E728">
        <f>COUNTIFS(Table1[Month],$B728)</f>
        <v>1</v>
      </c>
    </row>
    <row r="729" spans="2:5" x14ac:dyDescent="0.3">
      <c r="B729" s="40">
        <v>45264</v>
      </c>
      <c r="C729">
        <f>SUMIFS(Table1[Estimated  F.O.B Value $],Table1[Month],$B729)</f>
        <v>652.92999999999995</v>
      </c>
      <c r="D729">
        <f>SUMIFS(Table1[Standard Qty],Table1[Month],$B729)</f>
        <v>250</v>
      </c>
      <c r="E729">
        <f>COUNTIFS(Table1[Month],$B729)</f>
        <v>1</v>
      </c>
    </row>
    <row r="730" spans="2:5" x14ac:dyDescent="0.3">
      <c r="B730" s="40">
        <v>45633</v>
      </c>
      <c r="C730">
        <f>SUMIFS(Table1[Estimated  F.O.B Value $],Table1[Month],$B730)</f>
        <v>823.48</v>
      </c>
      <c r="D730">
        <f>SUMIFS(Table1[Standard Qty],Table1[Month],$B730)</f>
        <v>500</v>
      </c>
      <c r="E730">
        <f>COUNTIFS(Table1[Month],$B730)</f>
        <v>1</v>
      </c>
    </row>
    <row r="731" spans="2:5" x14ac:dyDescent="0.3">
      <c r="B731" s="40">
        <v>45266</v>
      </c>
      <c r="C731">
        <f>SUMIFS(Table1[Estimated  F.O.B Value $],Table1[Month],$B731)</f>
        <v>1134.3699999999999</v>
      </c>
      <c r="D731">
        <f>SUMIFS(Table1[Standard Qty],Table1[Month],$B731)</f>
        <v>200</v>
      </c>
      <c r="E731">
        <f>COUNTIFS(Table1[Month],$B731)</f>
        <v>1</v>
      </c>
    </row>
    <row r="732" spans="2:5" x14ac:dyDescent="0.3">
      <c r="B732" s="40">
        <v>45262</v>
      </c>
      <c r="C732">
        <f>SUMIFS(Table1[Estimated  F.O.B Value $],Table1[Month],$B732)</f>
        <v>1369.45</v>
      </c>
      <c r="D732">
        <f>SUMIFS(Table1[Standard Qty],Table1[Month],$B732)</f>
        <v>225</v>
      </c>
      <c r="E732">
        <f>COUNTIFS(Table1[Month],$B732)</f>
        <v>1</v>
      </c>
    </row>
    <row r="733" spans="2:5" x14ac:dyDescent="0.3">
      <c r="B733" s="40">
        <v>44900</v>
      </c>
      <c r="C733">
        <f>SUMIFS(Table1[Estimated  F.O.B Value $],Table1[Month],$B733)</f>
        <v>1540.34</v>
      </c>
      <c r="D733">
        <f>SUMIFS(Table1[Standard Qty],Table1[Month],$B733)</f>
        <v>255</v>
      </c>
      <c r="E733">
        <f>COUNTIFS(Table1[Month],$B733)</f>
        <v>1</v>
      </c>
    </row>
    <row r="734" spans="2:5" x14ac:dyDescent="0.3">
      <c r="B734" s="40">
        <v>44898</v>
      </c>
      <c r="C734">
        <f>SUMIFS(Table1[Estimated  F.O.B Value $],Table1[Month],$B734)</f>
        <v>1613.69</v>
      </c>
      <c r="D734">
        <f>SUMIFS(Table1[Standard Qty],Table1[Month],$B734)</f>
        <v>250</v>
      </c>
      <c r="E734">
        <f>COUNTIFS(Table1[Month],$B734)</f>
        <v>1</v>
      </c>
    </row>
    <row r="735" spans="2:5" x14ac:dyDescent="0.3">
      <c r="B735" s="40">
        <v>45641</v>
      </c>
      <c r="C735">
        <f>SUMIFS(Table1[Estimated  F.O.B Value $],Table1[Month],$B735)</f>
        <v>1670.24</v>
      </c>
      <c r="D735">
        <f>SUMIFS(Table1[Standard Qty],Table1[Month],$B735)</f>
        <v>1000</v>
      </c>
      <c r="E735">
        <f>COUNTIFS(Table1[Month],$B735)</f>
        <v>1</v>
      </c>
    </row>
    <row r="736" spans="2:5" x14ac:dyDescent="0.3">
      <c r="B736" s="40">
        <v>45261</v>
      </c>
      <c r="C736">
        <f>SUMIFS(Table1[Estimated  F.O.B Value $],Table1[Month],$B736)</f>
        <v>1672.42</v>
      </c>
      <c r="D736">
        <f>SUMIFS(Table1[Standard Qty],Table1[Month],$B736)</f>
        <v>1200</v>
      </c>
      <c r="E736">
        <f>COUNTIFS(Table1[Month],$B736)</f>
        <v>1</v>
      </c>
    </row>
    <row r="737" spans="1:5" x14ac:dyDescent="0.3">
      <c r="B737" s="40">
        <v>45632</v>
      </c>
      <c r="C737">
        <f>SUMIFS(Table1[Estimated  F.O.B Value $],Table1[Month],$B737)</f>
        <v>1677.21</v>
      </c>
      <c r="D737">
        <f>SUMIFS(Table1[Standard Qty],Table1[Month],$B737)</f>
        <v>1000</v>
      </c>
      <c r="E737">
        <f>COUNTIFS(Table1[Month],$B737)</f>
        <v>1</v>
      </c>
    </row>
    <row r="738" spans="1:5" x14ac:dyDescent="0.3">
      <c r="B738" s="40">
        <v>44901</v>
      </c>
      <c r="C738">
        <f>SUMIFS(Table1[Estimated  F.O.B Value $],Table1[Month],$B738)</f>
        <v>1699.27</v>
      </c>
      <c r="D738">
        <f>SUMIFS(Table1[Standard Qty],Table1[Month],$B738)</f>
        <v>300</v>
      </c>
      <c r="E738">
        <f>COUNTIFS(Table1[Month],$B738)</f>
        <v>1</v>
      </c>
    </row>
    <row r="739" spans="1:5" x14ac:dyDescent="0.3">
      <c r="B739" s="40">
        <v>44896</v>
      </c>
      <c r="C739">
        <f>SUMIFS(Table1[Estimated  F.O.B Value $],Table1[Month],$B739)</f>
        <v>2727.27</v>
      </c>
      <c r="D739">
        <f>SUMIFS(Table1[Standard Qty],Table1[Month],$B739)</f>
        <v>360</v>
      </c>
      <c r="E739">
        <f>COUNTIFS(Table1[Month],$B739)</f>
        <v>1</v>
      </c>
    </row>
    <row r="740" spans="1:5" x14ac:dyDescent="0.3">
      <c r="B740" s="40">
        <v>44897</v>
      </c>
      <c r="C740">
        <f>SUMIFS(Table1[Estimated  F.O.B Value $],Table1[Month],$B740)</f>
        <v>2752.18</v>
      </c>
      <c r="D740">
        <f>SUMIFS(Table1[Standard Qty],Table1[Month],$B740)</f>
        <v>360</v>
      </c>
      <c r="E740">
        <f>COUNTIFS(Table1[Month],$B740)</f>
        <v>1</v>
      </c>
    </row>
    <row r="741" spans="1:5" x14ac:dyDescent="0.3">
      <c r="B741" s="40">
        <v>45636</v>
      </c>
      <c r="C741">
        <f>SUMIFS(Table1[Estimated  F.O.B Value $],Table1[Month],$B741)</f>
        <v>4963.21</v>
      </c>
      <c r="D741">
        <f>SUMIFS(Table1[Standard Qty],Table1[Month],$B741)</f>
        <v>1000</v>
      </c>
      <c r="E741">
        <f>COUNTIFS(Table1[Month],$B741)</f>
        <v>1</v>
      </c>
    </row>
    <row r="742" spans="1:5" x14ac:dyDescent="0.3">
      <c r="B742" s="40">
        <v>45637</v>
      </c>
      <c r="C742">
        <f>SUMIFS(Table1[Estimated  F.O.B Value $],Table1[Month],$B742)</f>
        <v>4963.21</v>
      </c>
      <c r="D742">
        <f>SUMIFS(Table1[Standard Qty],Table1[Month],$B742)</f>
        <v>1000</v>
      </c>
      <c r="E742">
        <f>COUNTIFS(Table1[Month],$B742)</f>
        <v>1</v>
      </c>
    </row>
    <row r="743" spans="1:5" x14ac:dyDescent="0.3">
      <c r="B743" s="40">
        <v>45265</v>
      </c>
      <c r="C743">
        <f>SUMIFS(Table1[Estimated  F.O.B Value $],Table1[Month],$B743)</f>
        <v>6033.86</v>
      </c>
      <c r="D743">
        <f>SUMIFS(Table1[Standard Qty],Table1[Month],$B743)</f>
        <v>1000</v>
      </c>
      <c r="E743">
        <f>COUNTIFS(Table1[Month],$B743)</f>
        <v>1</v>
      </c>
    </row>
    <row r="744" spans="1:5" x14ac:dyDescent="0.3">
      <c r="B744" s="40">
        <v>45267</v>
      </c>
      <c r="C744">
        <f>SUMIFS(Table1[Estimated  F.O.B Value $],Table1[Month],$B744)</f>
        <v>6033.86</v>
      </c>
      <c r="D744">
        <f>SUMIFS(Table1[Standard Qty],Table1[Month],$B744)</f>
        <v>1000</v>
      </c>
      <c r="E744">
        <f>COUNTIFS(Table1[Month],$B744)</f>
        <v>1</v>
      </c>
    </row>
    <row r="745" spans="1:5" x14ac:dyDescent="0.3">
      <c r="B745" s="40">
        <v>45263</v>
      </c>
      <c r="C745">
        <f>SUMIFS(Table1[Estimated  F.O.B Value $],Table1[Month],$B745)</f>
        <v>9067.23</v>
      </c>
      <c r="D745">
        <f>SUMIFS(Table1[Standard Qty],Table1[Month],$B745)</f>
        <v>1500</v>
      </c>
      <c r="E745">
        <f>COUNTIFS(Table1[Month],$B745)</f>
        <v>1</v>
      </c>
    </row>
    <row r="746" spans="1:5" x14ac:dyDescent="0.3">
      <c r="B746" s="40">
        <v>45628</v>
      </c>
      <c r="C746">
        <f>SUMIFS(Table1[Estimated  F.O.B Value $],Table1[Month],$B746)</f>
        <v>9192.11</v>
      </c>
      <c r="D746">
        <f>SUMIFS(Table1[Standard Qty],Table1[Month],$B746)</f>
        <v>2000</v>
      </c>
      <c r="E746">
        <f>COUNTIFS(Table1[Month],$B746)</f>
        <v>1</v>
      </c>
    </row>
    <row r="747" spans="1:5" x14ac:dyDescent="0.3">
      <c r="B747" s="40">
        <v>45642</v>
      </c>
      <c r="C747">
        <f>SUMIFS(Table1[Estimated  F.O.B Value $],Table1[Month],$B747)</f>
        <v>12083.3</v>
      </c>
      <c r="D747">
        <f>SUMIFS(Table1[Standard Qty],Table1[Month],$B747)</f>
        <v>3000</v>
      </c>
      <c r="E747">
        <f>COUNTIFS(Table1[Month],$B747)</f>
        <v>1</v>
      </c>
    </row>
    <row r="748" spans="1:5" x14ac:dyDescent="0.3">
      <c r="B748" s="40">
        <v>45630</v>
      </c>
      <c r="C748">
        <f>SUMIFS(Table1[Estimated  F.O.B Value $],Table1[Month],$B748)</f>
        <v>21308.240000000002</v>
      </c>
      <c r="D748">
        <f>SUMIFS(Table1[Standard Qty],Table1[Month],$B748)</f>
        <v>4500</v>
      </c>
      <c r="E748">
        <f>COUNTIFS(Table1[Month],$B748)</f>
        <v>1</v>
      </c>
    </row>
    <row r="749" spans="1:5" x14ac:dyDescent="0.3">
      <c r="B749" s="42" t="s">
        <v>1381</v>
      </c>
      <c r="C749" s="41">
        <f>SUM(C325:C748)</f>
        <v>779361.08640891407</v>
      </c>
      <c r="D749" s="41">
        <f>SUM(D325:D748)</f>
        <v>326848.41000000009</v>
      </c>
      <c r="E749" s="41">
        <f>SUM(E325:E748)</f>
        <v>440</v>
      </c>
    </row>
    <row r="752" spans="1:5" x14ac:dyDescent="0.3">
      <c r="A752" t="s">
        <v>1410</v>
      </c>
      <c r="C752" s="14" t="s">
        <v>1411</v>
      </c>
    </row>
    <row r="754" spans="2:8" x14ac:dyDescent="0.3">
      <c r="B754" s="12" t="s">
        <v>1380</v>
      </c>
      <c r="C754" t="s">
        <v>1386</v>
      </c>
      <c r="D754" t="s">
        <v>1392</v>
      </c>
      <c r="E754" t="s">
        <v>1398</v>
      </c>
    </row>
    <row r="755" spans="2:8" x14ac:dyDescent="0.3">
      <c r="B755" s="13" t="s">
        <v>313</v>
      </c>
      <c r="C755">
        <v>275697.72999999992</v>
      </c>
      <c r="D755">
        <v>161375</v>
      </c>
      <c r="E755">
        <v>111</v>
      </c>
    </row>
    <row r="756" spans="2:8" x14ac:dyDescent="0.3">
      <c r="B756" s="13" t="s">
        <v>261</v>
      </c>
      <c r="C756">
        <v>91611.01999999999</v>
      </c>
      <c r="D756">
        <v>18750</v>
      </c>
      <c r="E756">
        <v>8</v>
      </c>
    </row>
    <row r="757" spans="2:8" x14ac:dyDescent="0.3">
      <c r="B757" s="13" t="s">
        <v>47</v>
      </c>
      <c r="C757">
        <v>55573.1251294174</v>
      </c>
      <c r="D757">
        <v>10428</v>
      </c>
      <c r="E757">
        <v>26</v>
      </c>
    </row>
    <row r="758" spans="2:8" x14ac:dyDescent="0.3">
      <c r="B758" s="13" t="s">
        <v>622</v>
      </c>
      <c r="C758">
        <v>36887.989999999991</v>
      </c>
      <c r="D758">
        <v>25500</v>
      </c>
      <c r="E758">
        <v>9</v>
      </c>
    </row>
    <row r="759" spans="2:8" x14ac:dyDescent="0.3">
      <c r="B759" s="13" t="s">
        <v>38</v>
      </c>
      <c r="C759">
        <v>34643.841313141762</v>
      </c>
      <c r="D759">
        <v>17000</v>
      </c>
      <c r="E759">
        <v>10</v>
      </c>
    </row>
    <row r="760" spans="2:8" x14ac:dyDescent="0.3">
      <c r="B760" s="13" t="s">
        <v>127</v>
      </c>
      <c r="C760">
        <v>28284.79</v>
      </c>
      <c r="D760">
        <v>5950</v>
      </c>
      <c r="E760">
        <v>13</v>
      </c>
      <c r="H760" s="25" t="s">
        <v>1426</v>
      </c>
    </row>
    <row r="761" spans="2:8" x14ac:dyDescent="0.3">
      <c r="B761" s="13" t="s">
        <v>633</v>
      </c>
      <c r="C761">
        <v>27978.799999999999</v>
      </c>
      <c r="D761">
        <v>6225</v>
      </c>
      <c r="E761">
        <v>6</v>
      </c>
      <c r="H761" s="26" t="s">
        <v>313</v>
      </c>
    </row>
    <row r="762" spans="2:8" x14ac:dyDescent="0.3">
      <c r="B762" s="13" t="s">
        <v>474</v>
      </c>
      <c r="C762">
        <v>22305.370000000003</v>
      </c>
      <c r="D762">
        <v>5000</v>
      </c>
      <c r="E762">
        <v>3</v>
      </c>
      <c r="H762" s="26" t="s">
        <v>261</v>
      </c>
    </row>
    <row r="763" spans="2:8" x14ac:dyDescent="0.3">
      <c r="B763" s="13" t="s">
        <v>780</v>
      </c>
      <c r="C763">
        <v>18637.650000000001</v>
      </c>
      <c r="D763">
        <v>15000</v>
      </c>
      <c r="E763">
        <v>1</v>
      </c>
      <c r="H763" s="26" t="s">
        <v>47</v>
      </c>
    </row>
    <row r="764" spans="2:8" x14ac:dyDescent="0.3">
      <c r="B764" s="13" t="s">
        <v>204</v>
      </c>
      <c r="C764">
        <v>16245.820000000002</v>
      </c>
      <c r="D764">
        <v>2360</v>
      </c>
      <c r="E764">
        <v>12</v>
      </c>
      <c r="H764" s="26" t="s">
        <v>622</v>
      </c>
    </row>
    <row r="765" spans="2:8" x14ac:dyDescent="0.3">
      <c r="B765" s="13" t="s">
        <v>429</v>
      </c>
      <c r="C765">
        <v>15464.65</v>
      </c>
      <c r="D765">
        <v>11500</v>
      </c>
      <c r="E765">
        <v>9</v>
      </c>
      <c r="H765" s="26" t="s">
        <v>38</v>
      </c>
    </row>
    <row r="766" spans="2:8" x14ac:dyDescent="0.3">
      <c r="B766" s="13" t="s">
        <v>403</v>
      </c>
      <c r="C766">
        <v>15102.07</v>
      </c>
      <c r="D766">
        <v>10050</v>
      </c>
      <c r="E766">
        <v>5</v>
      </c>
    </row>
    <row r="767" spans="2:8" x14ac:dyDescent="0.3">
      <c r="B767" s="13" t="s">
        <v>615</v>
      </c>
      <c r="C767">
        <v>14090.939999999999</v>
      </c>
      <c r="D767">
        <v>4000</v>
      </c>
      <c r="E767">
        <v>2</v>
      </c>
    </row>
    <row r="768" spans="2:8" x14ac:dyDescent="0.3">
      <c r="B768" s="13" t="s">
        <v>511</v>
      </c>
      <c r="C768">
        <v>10040.049999999999</v>
      </c>
      <c r="D768">
        <v>2000</v>
      </c>
      <c r="E768">
        <v>1</v>
      </c>
    </row>
    <row r="769" spans="2:5" x14ac:dyDescent="0.3">
      <c r="B769" s="13" t="s">
        <v>249</v>
      </c>
      <c r="C769">
        <v>7466.17</v>
      </c>
      <c r="D769">
        <v>1044</v>
      </c>
      <c r="E769">
        <v>7</v>
      </c>
    </row>
    <row r="770" spans="2:5" x14ac:dyDescent="0.3">
      <c r="B770" s="13" t="s">
        <v>518</v>
      </c>
      <c r="C770">
        <v>6442.3099999999995</v>
      </c>
      <c r="D770">
        <v>4500</v>
      </c>
      <c r="E770">
        <v>4</v>
      </c>
    </row>
    <row r="771" spans="2:5" x14ac:dyDescent="0.3">
      <c r="B771" s="13" t="s">
        <v>441</v>
      </c>
      <c r="C771">
        <v>5563.43</v>
      </c>
      <c r="D771">
        <v>1100</v>
      </c>
      <c r="E771">
        <v>2</v>
      </c>
    </row>
    <row r="772" spans="2:5" x14ac:dyDescent="0.3">
      <c r="B772" s="13" t="s">
        <v>173</v>
      </c>
      <c r="C772">
        <v>5479.45</v>
      </c>
      <c r="D772">
        <v>720</v>
      </c>
      <c r="E772">
        <v>2</v>
      </c>
    </row>
    <row r="773" spans="2:5" x14ac:dyDescent="0.3">
      <c r="B773" s="13" t="s">
        <v>542</v>
      </c>
      <c r="C773">
        <v>5325.3</v>
      </c>
      <c r="D773">
        <v>600</v>
      </c>
      <c r="E773">
        <v>1</v>
      </c>
    </row>
    <row r="774" spans="2:5" x14ac:dyDescent="0.3">
      <c r="B774" s="13" t="s">
        <v>363</v>
      </c>
      <c r="C774">
        <v>4608.6000000000004</v>
      </c>
      <c r="D774">
        <v>800</v>
      </c>
      <c r="E774">
        <v>2</v>
      </c>
    </row>
    <row r="775" spans="2:5" x14ac:dyDescent="0.3">
      <c r="B775" s="13" t="s">
        <v>301</v>
      </c>
      <c r="C775">
        <v>4056.0600000000004</v>
      </c>
      <c r="D775">
        <v>555</v>
      </c>
      <c r="E775">
        <v>3</v>
      </c>
    </row>
    <row r="776" spans="2:5" x14ac:dyDescent="0.3">
      <c r="B776" s="13" t="s">
        <v>340</v>
      </c>
      <c r="C776">
        <v>3692.7000000000003</v>
      </c>
      <c r="D776">
        <v>550</v>
      </c>
      <c r="E776">
        <v>6</v>
      </c>
    </row>
    <row r="777" spans="2:5" x14ac:dyDescent="0.3">
      <c r="B777" s="13" t="s">
        <v>78</v>
      </c>
      <c r="C777">
        <v>3530.1000000000004</v>
      </c>
      <c r="D777">
        <v>750</v>
      </c>
      <c r="E777">
        <v>4</v>
      </c>
    </row>
    <row r="778" spans="2:5" x14ac:dyDescent="0.3">
      <c r="B778" s="13" t="s">
        <v>610</v>
      </c>
      <c r="C778">
        <v>3393.29</v>
      </c>
      <c r="D778">
        <v>1500</v>
      </c>
      <c r="E778">
        <v>1</v>
      </c>
    </row>
    <row r="779" spans="2:5" x14ac:dyDescent="0.3">
      <c r="B779" s="13" t="s">
        <v>64</v>
      </c>
      <c r="C779">
        <v>3292.573647081028</v>
      </c>
      <c r="D779">
        <v>412</v>
      </c>
      <c r="E779">
        <v>6</v>
      </c>
    </row>
    <row r="780" spans="2:5" x14ac:dyDescent="0.3">
      <c r="B780" s="13" t="s">
        <v>387</v>
      </c>
      <c r="C780">
        <v>3233.7400000000002</v>
      </c>
      <c r="D780">
        <v>598</v>
      </c>
      <c r="E780">
        <v>3</v>
      </c>
    </row>
    <row r="781" spans="2:5" x14ac:dyDescent="0.3">
      <c r="B781" s="13" t="s">
        <v>586</v>
      </c>
      <c r="C781">
        <v>2893.2987377049185</v>
      </c>
      <c r="D781">
        <v>618.75</v>
      </c>
      <c r="E781">
        <v>4</v>
      </c>
    </row>
    <row r="782" spans="2:5" x14ac:dyDescent="0.3">
      <c r="B782" s="13" t="s">
        <v>420</v>
      </c>
      <c r="C782">
        <v>2890.29</v>
      </c>
      <c r="D782">
        <v>2500</v>
      </c>
      <c r="E782">
        <v>4</v>
      </c>
    </row>
    <row r="783" spans="2:5" x14ac:dyDescent="0.3">
      <c r="B783" s="13" t="s">
        <v>435</v>
      </c>
      <c r="C783">
        <v>2523.25</v>
      </c>
      <c r="D783">
        <v>1750</v>
      </c>
      <c r="E783">
        <v>9</v>
      </c>
    </row>
    <row r="784" spans="2:5" x14ac:dyDescent="0.3">
      <c r="B784" s="13" t="s">
        <v>581</v>
      </c>
      <c r="C784">
        <v>2474.4700000000003</v>
      </c>
      <c r="D784">
        <v>1348</v>
      </c>
      <c r="E784">
        <v>4</v>
      </c>
    </row>
    <row r="785" spans="2:5" x14ac:dyDescent="0.3">
      <c r="B785" s="13" t="s">
        <v>395</v>
      </c>
      <c r="C785">
        <v>2213.6400000000003</v>
      </c>
      <c r="D785">
        <v>550</v>
      </c>
      <c r="E785">
        <v>2</v>
      </c>
    </row>
    <row r="786" spans="2:5" x14ac:dyDescent="0.3">
      <c r="B786" s="13" t="s">
        <v>256</v>
      </c>
      <c r="C786">
        <v>2109.14</v>
      </c>
      <c r="D786">
        <v>388</v>
      </c>
      <c r="E786">
        <v>8</v>
      </c>
    </row>
    <row r="787" spans="2:5" x14ac:dyDescent="0.3">
      <c r="B787" s="13" t="s">
        <v>154</v>
      </c>
      <c r="C787">
        <v>2107.265362134689</v>
      </c>
      <c r="D787">
        <v>302</v>
      </c>
      <c r="E787">
        <v>8</v>
      </c>
    </row>
    <row r="788" spans="2:5" x14ac:dyDescent="0.3">
      <c r="B788" s="13" t="s">
        <v>596</v>
      </c>
      <c r="C788">
        <v>2074.4499999999998</v>
      </c>
      <c r="D788">
        <v>420</v>
      </c>
      <c r="E788">
        <v>5</v>
      </c>
    </row>
    <row r="789" spans="2:5" x14ac:dyDescent="0.3">
      <c r="B789" s="13" t="s">
        <v>147</v>
      </c>
      <c r="C789">
        <v>2020.3303684879284</v>
      </c>
      <c r="D789">
        <v>300</v>
      </c>
      <c r="E789">
        <v>2</v>
      </c>
    </row>
    <row r="790" spans="2:5" x14ac:dyDescent="0.3">
      <c r="B790" s="13" t="s">
        <v>233</v>
      </c>
      <c r="C790">
        <v>2010.03</v>
      </c>
      <c r="D790">
        <v>300</v>
      </c>
      <c r="E790">
        <v>2</v>
      </c>
    </row>
    <row r="791" spans="2:5" x14ac:dyDescent="0.3">
      <c r="B791" s="13" t="s">
        <v>55</v>
      </c>
      <c r="C791">
        <v>1903.471723205809</v>
      </c>
      <c r="D791">
        <v>1500</v>
      </c>
      <c r="E791">
        <v>1</v>
      </c>
    </row>
    <row r="792" spans="2:5" x14ac:dyDescent="0.3">
      <c r="B792" s="13" t="s">
        <v>446</v>
      </c>
      <c r="C792">
        <v>1843.87</v>
      </c>
      <c r="D792">
        <v>294</v>
      </c>
      <c r="E792">
        <v>1</v>
      </c>
    </row>
    <row r="793" spans="2:5" x14ac:dyDescent="0.3">
      <c r="B793" s="13" t="s">
        <v>661</v>
      </c>
      <c r="C793">
        <v>1780.51</v>
      </c>
      <c r="D793">
        <v>412</v>
      </c>
      <c r="E793">
        <v>10</v>
      </c>
    </row>
    <row r="794" spans="2:5" x14ac:dyDescent="0.3">
      <c r="B794" s="13" t="s">
        <v>367</v>
      </c>
      <c r="C794">
        <v>1672.42</v>
      </c>
      <c r="D794">
        <v>1200</v>
      </c>
      <c r="E794">
        <v>1</v>
      </c>
    </row>
    <row r="795" spans="2:5" x14ac:dyDescent="0.3">
      <c r="B795" s="13" t="s">
        <v>178</v>
      </c>
      <c r="C795">
        <v>1613.69</v>
      </c>
      <c r="D795">
        <v>250</v>
      </c>
      <c r="E795">
        <v>1</v>
      </c>
    </row>
    <row r="796" spans="2:5" x14ac:dyDescent="0.3">
      <c r="B796" s="13" t="s">
        <v>272</v>
      </c>
      <c r="C796">
        <v>1374.68</v>
      </c>
      <c r="D796">
        <v>162.5</v>
      </c>
      <c r="E796">
        <v>5</v>
      </c>
    </row>
    <row r="797" spans="2:5" x14ac:dyDescent="0.3">
      <c r="B797" s="13" t="s">
        <v>70</v>
      </c>
      <c r="C797">
        <v>1347.5130492000001</v>
      </c>
      <c r="D797">
        <v>1000</v>
      </c>
      <c r="E797">
        <v>1</v>
      </c>
    </row>
    <row r="798" spans="2:5" x14ac:dyDescent="0.3">
      <c r="B798" s="13" t="s">
        <v>604</v>
      </c>
      <c r="C798">
        <v>1334.29</v>
      </c>
      <c r="D798">
        <v>300</v>
      </c>
      <c r="E798">
        <v>2</v>
      </c>
    </row>
    <row r="799" spans="2:5" x14ac:dyDescent="0.3">
      <c r="B799" s="13" t="s">
        <v>397</v>
      </c>
      <c r="C799">
        <v>1202.8699999999999</v>
      </c>
      <c r="D799">
        <v>200</v>
      </c>
      <c r="E799">
        <v>2</v>
      </c>
    </row>
    <row r="800" spans="2:5" x14ac:dyDescent="0.3">
      <c r="B800" s="13" t="s">
        <v>470</v>
      </c>
      <c r="C800">
        <v>1120.1199999999999</v>
      </c>
      <c r="D800">
        <v>150</v>
      </c>
      <c r="E800">
        <v>2</v>
      </c>
    </row>
    <row r="801" spans="2:5" x14ac:dyDescent="0.3">
      <c r="B801" s="13" t="s">
        <v>331</v>
      </c>
      <c r="C801">
        <v>1065.82</v>
      </c>
      <c r="D801">
        <v>120</v>
      </c>
      <c r="E801">
        <v>1</v>
      </c>
    </row>
    <row r="802" spans="2:5" x14ac:dyDescent="0.3">
      <c r="B802" s="13" t="s">
        <v>336</v>
      </c>
      <c r="C802">
        <v>1064.0700000000002</v>
      </c>
      <c r="D802">
        <v>209.5</v>
      </c>
      <c r="E802">
        <v>3</v>
      </c>
    </row>
    <row r="803" spans="2:5" x14ac:dyDescent="0.3">
      <c r="B803" s="13" t="s">
        <v>225</v>
      </c>
      <c r="C803">
        <v>1022.97</v>
      </c>
      <c r="D803">
        <v>111.6</v>
      </c>
      <c r="E803">
        <v>1</v>
      </c>
    </row>
    <row r="804" spans="2:5" x14ac:dyDescent="0.3">
      <c r="B804" s="13" t="s">
        <v>243</v>
      </c>
      <c r="C804">
        <v>978.79</v>
      </c>
      <c r="D804">
        <v>750</v>
      </c>
      <c r="E804">
        <v>1</v>
      </c>
    </row>
    <row r="805" spans="2:5" x14ac:dyDescent="0.3">
      <c r="B805" s="13" t="s">
        <v>109</v>
      </c>
      <c r="C805">
        <v>898.42</v>
      </c>
      <c r="D805">
        <v>92</v>
      </c>
      <c r="E805">
        <v>6</v>
      </c>
    </row>
    <row r="806" spans="2:5" x14ac:dyDescent="0.3">
      <c r="B806" s="13" t="s">
        <v>641</v>
      </c>
      <c r="C806">
        <v>893.76</v>
      </c>
      <c r="D806">
        <v>100</v>
      </c>
      <c r="E806">
        <v>1</v>
      </c>
    </row>
    <row r="807" spans="2:5" x14ac:dyDescent="0.3">
      <c r="B807" s="13" t="s">
        <v>751</v>
      </c>
      <c r="C807">
        <v>843.23</v>
      </c>
      <c r="D807">
        <v>146</v>
      </c>
      <c r="E807">
        <v>7</v>
      </c>
    </row>
    <row r="808" spans="2:5" x14ac:dyDescent="0.3">
      <c r="B808" s="13" t="s">
        <v>740</v>
      </c>
      <c r="C808">
        <v>738.08</v>
      </c>
      <c r="D808">
        <v>175</v>
      </c>
      <c r="E808">
        <v>2</v>
      </c>
    </row>
    <row r="809" spans="2:5" x14ac:dyDescent="0.3">
      <c r="B809" s="13" t="s">
        <v>491</v>
      </c>
      <c r="C809">
        <v>725.16</v>
      </c>
      <c r="D809">
        <v>60</v>
      </c>
      <c r="E809">
        <v>2</v>
      </c>
    </row>
    <row r="810" spans="2:5" x14ac:dyDescent="0.3">
      <c r="B810" s="13" t="s">
        <v>689</v>
      </c>
      <c r="C810">
        <v>667.15</v>
      </c>
      <c r="D810">
        <v>100</v>
      </c>
      <c r="E810">
        <v>1</v>
      </c>
    </row>
    <row r="811" spans="2:5" x14ac:dyDescent="0.3">
      <c r="B811" s="13" t="s">
        <v>495</v>
      </c>
      <c r="C811">
        <v>665.52</v>
      </c>
      <c r="D811">
        <v>125</v>
      </c>
      <c r="E811">
        <v>2</v>
      </c>
    </row>
    <row r="812" spans="2:5" x14ac:dyDescent="0.3">
      <c r="B812" s="13" t="s">
        <v>374</v>
      </c>
      <c r="C812">
        <v>652.92999999999995</v>
      </c>
      <c r="D812">
        <v>250</v>
      </c>
      <c r="E812">
        <v>1</v>
      </c>
    </row>
    <row r="813" spans="2:5" x14ac:dyDescent="0.3">
      <c r="B813" s="13" t="s">
        <v>557</v>
      </c>
      <c r="C813">
        <v>568.67000000000007</v>
      </c>
      <c r="D813">
        <v>64</v>
      </c>
      <c r="E813">
        <v>4</v>
      </c>
    </row>
    <row r="814" spans="2:5" x14ac:dyDescent="0.3">
      <c r="B814" s="13" t="s">
        <v>463</v>
      </c>
      <c r="C814">
        <v>564.76</v>
      </c>
      <c r="D814">
        <v>110</v>
      </c>
      <c r="E814">
        <v>4</v>
      </c>
    </row>
    <row r="815" spans="2:5" x14ac:dyDescent="0.3">
      <c r="B815" s="13" t="s">
        <v>167</v>
      </c>
      <c r="C815">
        <v>553.99085158150842</v>
      </c>
      <c r="D815">
        <v>70</v>
      </c>
      <c r="E815">
        <v>2</v>
      </c>
    </row>
    <row r="816" spans="2:5" x14ac:dyDescent="0.3">
      <c r="B816" s="13" t="s">
        <v>276</v>
      </c>
      <c r="C816">
        <v>457.78</v>
      </c>
      <c r="D816">
        <v>50</v>
      </c>
      <c r="E816">
        <v>1</v>
      </c>
    </row>
    <row r="817" spans="2:5" x14ac:dyDescent="0.3">
      <c r="B817" s="13" t="s">
        <v>627</v>
      </c>
      <c r="C817">
        <v>450.04</v>
      </c>
      <c r="D817">
        <v>60</v>
      </c>
      <c r="E817">
        <v>2</v>
      </c>
    </row>
    <row r="818" spans="2:5" x14ac:dyDescent="0.3">
      <c r="B818" s="13" t="s">
        <v>263</v>
      </c>
      <c r="C818">
        <v>443.82</v>
      </c>
      <c r="D818">
        <v>100</v>
      </c>
      <c r="E818">
        <v>1</v>
      </c>
    </row>
    <row r="819" spans="2:5" x14ac:dyDescent="0.3">
      <c r="B819" s="13" t="s">
        <v>528</v>
      </c>
      <c r="C819">
        <v>437.90999999999997</v>
      </c>
      <c r="D819">
        <v>60</v>
      </c>
      <c r="E819">
        <v>3</v>
      </c>
    </row>
    <row r="820" spans="2:5" x14ac:dyDescent="0.3">
      <c r="B820" s="13" t="s">
        <v>703</v>
      </c>
      <c r="C820">
        <v>436.46</v>
      </c>
      <c r="D820">
        <v>96</v>
      </c>
      <c r="E820">
        <v>1</v>
      </c>
    </row>
    <row r="821" spans="2:5" x14ac:dyDescent="0.3">
      <c r="B821" s="13" t="s">
        <v>499</v>
      </c>
      <c r="C821">
        <v>426.09</v>
      </c>
      <c r="D821">
        <v>145</v>
      </c>
      <c r="E821">
        <v>2</v>
      </c>
    </row>
    <row r="822" spans="2:5" x14ac:dyDescent="0.3">
      <c r="B822" s="13" t="s">
        <v>771</v>
      </c>
      <c r="C822">
        <v>419.17</v>
      </c>
      <c r="D822">
        <v>100</v>
      </c>
      <c r="E822">
        <v>1</v>
      </c>
    </row>
    <row r="823" spans="2:5" x14ac:dyDescent="0.3">
      <c r="B823" s="13" t="s">
        <v>101</v>
      </c>
      <c r="C823">
        <v>390.63</v>
      </c>
      <c r="D823">
        <v>45</v>
      </c>
      <c r="E823">
        <v>1</v>
      </c>
    </row>
    <row r="824" spans="2:5" x14ac:dyDescent="0.3">
      <c r="B824" s="13" t="s">
        <v>208</v>
      </c>
      <c r="C824">
        <v>382.67</v>
      </c>
      <c r="D824">
        <v>62.4</v>
      </c>
      <c r="E824">
        <v>1</v>
      </c>
    </row>
    <row r="825" spans="2:5" x14ac:dyDescent="0.3">
      <c r="B825" s="13" t="s">
        <v>356</v>
      </c>
      <c r="C825">
        <v>357.01</v>
      </c>
      <c r="D825">
        <v>50</v>
      </c>
      <c r="E825">
        <v>1</v>
      </c>
    </row>
    <row r="826" spans="2:5" x14ac:dyDescent="0.3">
      <c r="B826" s="13" t="s">
        <v>195</v>
      </c>
      <c r="C826">
        <v>334.83000000000004</v>
      </c>
      <c r="D826">
        <v>56</v>
      </c>
      <c r="E826">
        <v>2</v>
      </c>
    </row>
    <row r="827" spans="2:5" x14ac:dyDescent="0.3">
      <c r="B827" s="13" t="s">
        <v>523</v>
      </c>
      <c r="C827">
        <v>323.58999999999997</v>
      </c>
      <c r="D827">
        <v>50</v>
      </c>
      <c r="E827">
        <v>2</v>
      </c>
    </row>
    <row r="828" spans="2:5" x14ac:dyDescent="0.3">
      <c r="B828" s="13" t="s">
        <v>801</v>
      </c>
      <c r="C828">
        <v>315.52</v>
      </c>
      <c r="D828">
        <v>75</v>
      </c>
      <c r="E828">
        <v>1</v>
      </c>
    </row>
    <row r="829" spans="2:5" x14ac:dyDescent="0.3">
      <c r="B829" s="13" t="s">
        <v>694</v>
      </c>
      <c r="C829">
        <v>297</v>
      </c>
      <c r="D829">
        <v>25.16</v>
      </c>
      <c r="E829">
        <v>1</v>
      </c>
    </row>
    <row r="830" spans="2:5" x14ac:dyDescent="0.3">
      <c r="B830" s="13" t="s">
        <v>85</v>
      </c>
      <c r="C830">
        <v>280.39999999999998</v>
      </c>
      <c r="D830">
        <v>41</v>
      </c>
      <c r="E830">
        <v>4</v>
      </c>
    </row>
    <row r="831" spans="2:5" x14ac:dyDescent="0.3">
      <c r="B831" s="13" t="s">
        <v>213</v>
      </c>
      <c r="C831">
        <v>262.67</v>
      </c>
      <c r="D831">
        <v>50</v>
      </c>
      <c r="E831">
        <v>3</v>
      </c>
    </row>
    <row r="832" spans="2:5" x14ac:dyDescent="0.3">
      <c r="B832" s="13" t="s">
        <v>724</v>
      </c>
      <c r="C832">
        <v>252.94</v>
      </c>
      <c r="D832">
        <v>9</v>
      </c>
      <c r="E832">
        <v>1</v>
      </c>
    </row>
    <row r="833" spans="2:5" x14ac:dyDescent="0.3">
      <c r="B833" s="13" t="s">
        <v>160</v>
      </c>
      <c r="C833">
        <v>243.30900243309</v>
      </c>
      <c r="D833">
        <v>38.4</v>
      </c>
      <c r="E833">
        <v>2</v>
      </c>
    </row>
    <row r="834" spans="2:5" x14ac:dyDescent="0.3">
      <c r="B834" s="13" t="s">
        <v>650</v>
      </c>
      <c r="C834">
        <v>220.23</v>
      </c>
      <c r="D834">
        <v>50</v>
      </c>
      <c r="E834">
        <v>1</v>
      </c>
    </row>
    <row r="835" spans="2:5" x14ac:dyDescent="0.3">
      <c r="B835" s="13" t="s">
        <v>803</v>
      </c>
      <c r="C835">
        <v>214.67</v>
      </c>
      <c r="D835">
        <v>49.5</v>
      </c>
      <c r="E835">
        <v>1</v>
      </c>
    </row>
    <row r="836" spans="2:5" x14ac:dyDescent="0.3">
      <c r="B836" s="13" t="s">
        <v>768</v>
      </c>
      <c r="C836">
        <v>213.16</v>
      </c>
      <c r="D836">
        <v>46.8</v>
      </c>
      <c r="E836">
        <v>1</v>
      </c>
    </row>
    <row r="837" spans="2:5" x14ac:dyDescent="0.3">
      <c r="B837" s="13" t="s">
        <v>574</v>
      </c>
      <c r="C837">
        <v>212.39093286219079</v>
      </c>
      <c r="D837">
        <v>20</v>
      </c>
      <c r="E837">
        <v>1</v>
      </c>
    </row>
    <row r="838" spans="2:5" x14ac:dyDescent="0.3">
      <c r="B838" s="13" t="s">
        <v>774</v>
      </c>
      <c r="C838">
        <v>207.98</v>
      </c>
      <c r="D838">
        <v>39.200000000000003</v>
      </c>
      <c r="E838">
        <v>1</v>
      </c>
    </row>
    <row r="839" spans="2:5" x14ac:dyDescent="0.3">
      <c r="B839" s="13" t="s">
        <v>551</v>
      </c>
      <c r="C839">
        <v>199.77</v>
      </c>
      <c r="D839">
        <v>40</v>
      </c>
      <c r="E839">
        <v>2</v>
      </c>
    </row>
    <row r="840" spans="2:5" x14ac:dyDescent="0.3">
      <c r="B840" s="13" t="s">
        <v>506</v>
      </c>
      <c r="C840">
        <v>188.91</v>
      </c>
      <c r="D840">
        <v>11.7</v>
      </c>
      <c r="E840">
        <v>1</v>
      </c>
    </row>
    <row r="841" spans="2:5" x14ac:dyDescent="0.3">
      <c r="B841" s="13" t="s">
        <v>796</v>
      </c>
      <c r="C841">
        <v>178.65</v>
      </c>
      <c r="D841">
        <v>25</v>
      </c>
      <c r="E841">
        <v>1</v>
      </c>
    </row>
    <row r="842" spans="2:5" x14ac:dyDescent="0.3">
      <c r="B842" s="13" t="s">
        <v>566</v>
      </c>
      <c r="C842">
        <v>165.29</v>
      </c>
      <c r="D842">
        <v>33</v>
      </c>
      <c r="E842">
        <v>3</v>
      </c>
    </row>
    <row r="843" spans="2:5" x14ac:dyDescent="0.3">
      <c r="B843" s="13" t="s">
        <v>141</v>
      </c>
      <c r="C843">
        <v>165.18424396442191</v>
      </c>
      <c r="D843">
        <v>18</v>
      </c>
      <c r="E843">
        <v>1</v>
      </c>
    </row>
    <row r="844" spans="2:5" x14ac:dyDescent="0.3">
      <c r="B844" s="13" t="s">
        <v>187</v>
      </c>
      <c r="C844">
        <v>155.74</v>
      </c>
      <c r="D844">
        <v>19.2</v>
      </c>
      <c r="E844">
        <v>2</v>
      </c>
    </row>
    <row r="845" spans="2:5" x14ac:dyDescent="0.3">
      <c r="B845" s="13" t="s">
        <v>120</v>
      </c>
      <c r="C845">
        <v>151.99888182973316</v>
      </c>
      <c r="D845">
        <v>41</v>
      </c>
      <c r="E845">
        <v>2</v>
      </c>
    </row>
    <row r="846" spans="2:5" x14ac:dyDescent="0.3">
      <c r="B846" s="13" t="s">
        <v>755</v>
      </c>
      <c r="C846">
        <v>140.97</v>
      </c>
      <c r="D846">
        <v>250</v>
      </c>
      <c r="E846">
        <v>1</v>
      </c>
    </row>
    <row r="847" spans="2:5" x14ac:dyDescent="0.3">
      <c r="B847" s="13" t="s">
        <v>97</v>
      </c>
      <c r="C847">
        <v>132.71</v>
      </c>
      <c r="D847">
        <v>12</v>
      </c>
      <c r="E847">
        <v>1</v>
      </c>
    </row>
    <row r="848" spans="2:5" x14ac:dyDescent="0.3">
      <c r="B848" s="13" t="s">
        <v>269</v>
      </c>
      <c r="C848">
        <v>131.94999999999999</v>
      </c>
      <c r="D848">
        <v>25</v>
      </c>
      <c r="E848">
        <v>1</v>
      </c>
    </row>
    <row r="849" spans="2:5" x14ac:dyDescent="0.3">
      <c r="B849" s="13" t="s">
        <v>348</v>
      </c>
      <c r="C849">
        <v>130.83000000000001</v>
      </c>
      <c r="D849">
        <v>10</v>
      </c>
      <c r="E849">
        <v>1</v>
      </c>
    </row>
    <row r="850" spans="2:5" x14ac:dyDescent="0.3">
      <c r="B850" s="13" t="s">
        <v>711</v>
      </c>
      <c r="C850">
        <v>121.48</v>
      </c>
      <c r="D850">
        <v>25</v>
      </c>
      <c r="E850">
        <v>1</v>
      </c>
    </row>
    <row r="851" spans="2:5" x14ac:dyDescent="0.3">
      <c r="B851" s="13" t="s">
        <v>409</v>
      </c>
      <c r="C851">
        <v>111.5</v>
      </c>
      <c r="D851">
        <v>12.5</v>
      </c>
      <c r="E851">
        <v>2</v>
      </c>
    </row>
    <row r="852" spans="2:5" x14ac:dyDescent="0.3">
      <c r="B852" s="13" t="s">
        <v>747</v>
      </c>
      <c r="C852">
        <v>102.08</v>
      </c>
      <c r="D852">
        <v>25</v>
      </c>
      <c r="E852">
        <v>1</v>
      </c>
    </row>
    <row r="853" spans="2:5" x14ac:dyDescent="0.3">
      <c r="B853" s="13" t="s">
        <v>133</v>
      </c>
      <c r="C853">
        <v>96.61648030495553</v>
      </c>
      <c r="D853">
        <v>24</v>
      </c>
      <c r="E853">
        <v>4</v>
      </c>
    </row>
    <row r="854" spans="2:5" x14ac:dyDescent="0.3">
      <c r="B854" s="13" t="s">
        <v>382</v>
      </c>
      <c r="C854">
        <v>95.6</v>
      </c>
      <c r="D854">
        <v>100</v>
      </c>
      <c r="E854">
        <v>1</v>
      </c>
    </row>
    <row r="855" spans="2:5" x14ac:dyDescent="0.3">
      <c r="B855" s="13" t="s">
        <v>26</v>
      </c>
      <c r="C855">
        <v>94.206685564985094</v>
      </c>
      <c r="D855">
        <v>50</v>
      </c>
      <c r="E855">
        <v>1</v>
      </c>
    </row>
    <row r="856" spans="2:5" x14ac:dyDescent="0.3">
      <c r="B856" s="13" t="s">
        <v>709</v>
      </c>
      <c r="C856">
        <v>69.099999999999994</v>
      </c>
      <c r="D856">
        <v>30</v>
      </c>
      <c r="E856">
        <v>2</v>
      </c>
    </row>
    <row r="857" spans="2:5" x14ac:dyDescent="0.3">
      <c r="B857" s="13" t="s">
        <v>677</v>
      </c>
      <c r="C857">
        <v>62.6</v>
      </c>
      <c r="D857">
        <v>13</v>
      </c>
      <c r="E857">
        <v>1</v>
      </c>
    </row>
    <row r="858" spans="2:5" x14ac:dyDescent="0.3">
      <c r="B858" s="13" t="s">
        <v>291</v>
      </c>
      <c r="C858">
        <v>60.35</v>
      </c>
      <c r="D858">
        <v>15</v>
      </c>
      <c r="E858">
        <v>1</v>
      </c>
    </row>
    <row r="859" spans="2:5" x14ac:dyDescent="0.3">
      <c r="B859" s="13" t="s">
        <v>716</v>
      </c>
      <c r="C859">
        <v>54.94</v>
      </c>
      <c r="D859">
        <v>10</v>
      </c>
      <c r="E859">
        <v>1</v>
      </c>
    </row>
    <row r="860" spans="2:5" x14ac:dyDescent="0.3">
      <c r="B860" s="13" t="s">
        <v>790</v>
      </c>
      <c r="C860">
        <v>52.14</v>
      </c>
      <c r="D860">
        <v>10</v>
      </c>
      <c r="E860">
        <v>1</v>
      </c>
    </row>
    <row r="861" spans="2:5" x14ac:dyDescent="0.3">
      <c r="B861" s="13" t="s">
        <v>310</v>
      </c>
      <c r="C861">
        <v>47.69</v>
      </c>
      <c r="D861">
        <v>25</v>
      </c>
      <c r="E861">
        <v>1</v>
      </c>
    </row>
    <row r="862" spans="2:5" x14ac:dyDescent="0.3">
      <c r="B862" s="13" t="s">
        <v>452</v>
      </c>
      <c r="C862">
        <v>9.49</v>
      </c>
      <c r="D862">
        <v>1</v>
      </c>
      <c r="E862">
        <v>1</v>
      </c>
    </row>
    <row r="863" spans="2:5" x14ac:dyDescent="0.3">
      <c r="B863" s="13" t="s">
        <v>667</v>
      </c>
      <c r="C863">
        <v>0.53</v>
      </c>
      <c r="D863">
        <v>9</v>
      </c>
      <c r="E863">
        <v>1</v>
      </c>
    </row>
    <row r="864" spans="2:5" x14ac:dyDescent="0.3">
      <c r="B864" s="13" t="s">
        <v>325</v>
      </c>
      <c r="C864">
        <v>0</v>
      </c>
      <c r="D864">
        <v>0.2</v>
      </c>
      <c r="E864">
        <v>1</v>
      </c>
    </row>
    <row r="865" spans="1:9" x14ac:dyDescent="0.3">
      <c r="B865" s="13" t="s">
        <v>1381</v>
      </c>
      <c r="C865">
        <v>779361.08640891442</v>
      </c>
      <c r="D865">
        <v>326848.41000000003</v>
      </c>
      <c r="E865">
        <v>440</v>
      </c>
    </row>
    <row r="869" spans="1:9" x14ac:dyDescent="0.3">
      <c r="A869" t="s">
        <v>1412</v>
      </c>
      <c r="C869" s="14" t="s">
        <v>1413</v>
      </c>
    </row>
    <row r="871" spans="1:9" x14ac:dyDescent="0.3">
      <c r="B871" s="12" t="s">
        <v>1386</v>
      </c>
      <c r="C871" s="12" t="s">
        <v>1414</v>
      </c>
    </row>
    <row r="872" spans="1:9" x14ac:dyDescent="0.3">
      <c r="B872" s="12" t="s">
        <v>1380</v>
      </c>
      <c r="C872" t="s">
        <v>572</v>
      </c>
      <c r="D872" t="s">
        <v>335</v>
      </c>
      <c r="E872" t="s">
        <v>81</v>
      </c>
      <c r="F872" t="s">
        <v>316</v>
      </c>
      <c r="G872" t="s">
        <v>41</v>
      </c>
      <c r="H872" t="s">
        <v>50</v>
      </c>
      <c r="I872" t="s">
        <v>1381</v>
      </c>
    </row>
    <row r="873" spans="1:9" x14ac:dyDescent="0.3">
      <c r="B873" s="13" t="s">
        <v>38</v>
      </c>
      <c r="G873">
        <v>34643.841313141762</v>
      </c>
      <c r="I873">
        <v>34643.841313141762</v>
      </c>
    </row>
    <row r="874" spans="1:9" x14ac:dyDescent="0.3">
      <c r="B874" s="13" t="s">
        <v>261</v>
      </c>
      <c r="C874">
        <v>16221.449999999999</v>
      </c>
      <c r="D874">
        <v>68351.179999999993</v>
      </c>
      <c r="E874">
        <v>7038.3899999999994</v>
      </c>
      <c r="I874">
        <v>91611.01999999999</v>
      </c>
    </row>
    <row r="875" spans="1:9" x14ac:dyDescent="0.3">
      <c r="B875" s="13" t="s">
        <v>622</v>
      </c>
      <c r="F875">
        <v>36887.99</v>
      </c>
      <c r="I875">
        <v>36887.99</v>
      </c>
    </row>
    <row r="876" spans="1:9" x14ac:dyDescent="0.3">
      <c r="B876" s="13" t="s">
        <v>47</v>
      </c>
      <c r="H876">
        <v>55573.125129417393</v>
      </c>
      <c r="I876">
        <v>55573.125129417393</v>
      </c>
    </row>
    <row r="877" spans="1:9" x14ac:dyDescent="0.3">
      <c r="B877" s="13" t="s">
        <v>313</v>
      </c>
      <c r="F877">
        <v>275697.73</v>
      </c>
      <c r="I877">
        <v>275697.73</v>
      </c>
    </row>
    <row r="878" spans="1:9" x14ac:dyDescent="0.3">
      <c r="B878" s="13" t="s">
        <v>1381</v>
      </c>
      <c r="C878">
        <v>16221.449999999999</v>
      </c>
      <c r="D878">
        <v>68351.179999999993</v>
      </c>
      <c r="E878">
        <v>7038.3899999999994</v>
      </c>
      <c r="F878">
        <v>312585.71999999997</v>
      </c>
      <c r="G878">
        <v>34643.841313141762</v>
      </c>
      <c r="H878">
        <v>55573.125129417393</v>
      </c>
      <c r="I878">
        <v>494413.70644255914</v>
      </c>
    </row>
    <row r="881" spans="1:113" x14ac:dyDescent="0.3">
      <c r="A881" t="s">
        <v>1415</v>
      </c>
      <c r="C881" s="14" t="s">
        <v>1416</v>
      </c>
    </row>
    <row r="883" spans="1:113" x14ac:dyDescent="0.3">
      <c r="B883" s="12" t="s">
        <v>1386</v>
      </c>
      <c r="C883" s="12" t="s">
        <v>1414</v>
      </c>
    </row>
    <row r="884" spans="1:113" x14ac:dyDescent="0.3">
      <c r="B884" s="12" t="s">
        <v>1380</v>
      </c>
      <c r="C884" t="s">
        <v>716</v>
      </c>
      <c r="D884" t="s">
        <v>374</v>
      </c>
      <c r="E884" t="s">
        <v>610</v>
      </c>
      <c r="F884" t="s">
        <v>256</v>
      </c>
      <c r="G884" t="s">
        <v>395</v>
      </c>
      <c r="H884" t="s">
        <v>452</v>
      </c>
      <c r="I884" t="s">
        <v>85</v>
      </c>
      <c r="J884" t="s">
        <v>709</v>
      </c>
      <c r="K884" t="s">
        <v>796</v>
      </c>
      <c r="L884" t="s">
        <v>604</v>
      </c>
      <c r="M884" t="s">
        <v>225</v>
      </c>
      <c r="N884" t="s">
        <v>446</v>
      </c>
      <c r="O884" t="s">
        <v>127</v>
      </c>
      <c r="P884" t="s">
        <v>204</v>
      </c>
      <c r="Q884" t="s">
        <v>147</v>
      </c>
      <c r="R884" t="s">
        <v>557</v>
      </c>
      <c r="S884" t="s">
        <v>55</v>
      </c>
      <c r="T884" t="s">
        <v>803</v>
      </c>
      <c r="U884" t="s">
        <v>495</v>
      </c>
      <c r="V884" t="s">
        <v>615</v>
      </c>
      <c r="W884" t="s">
        <v>269</v>
      </c>
      <c r="X884" t="s">
        <v>429</v>
      </c>
      <c r="Y884" t="s">
        <v>301</v>
      </c>
      <c r="Z884" t="s">
        <v>523</v>
      </c>
      <c r="AA884" t="s">
        <v>195</v>
      </c>
      <c r="AB884" t="s">
        <v>363</v>
      </c>
      <c r="AC884" t="s">
        <v>160</v>
      </c>
      <c r="AD884" t="s">
        <v>771</v>
      </c>
      <c r="AE884" t="s">
        <v>348</v>
      </c>
      <c r="AF884" t="s">
        <v>596</v>
      </c>
      <c r="AG884" t="s">
        <v>581</v>
      </c>
      <c r="AH884" t="s">
        <v>633</v>
      </c>
      <c r="AI884" t="s">
        <v>774</v>
      </c>
      <c r="AJ884" t="s">
        <v>141</v>
      </c>
      <c r="AK884" t="s">
        <v>70</v>
      </c>
      <c r="AL884" t="s">
        <v>689</v>
      </c>
      <c r="AM884" t="s">
        <v>724</v>
      </c>
      <c r="AN884" t="s">
        <v>511</v>
      </c>
      <c r="AO884" t="s">
        <v>310</v>
      </c>
      <c r="AP884" t="s">
        <v>528</v>
      </c>
      <c r="AQ884" t="s">
        <v>331</v>
      </c>
      <c r="AR884" t="s">
        <v>38</v>
      </c>
      <c r="AS884" t="s">
        <v>367</v>
      </c>
      <c r="AT884" t="s">
        <v>243</v>
      </c>
      <c r="AU884" t="s">
        <v>336</v>
      </c>
      <c r="AV884" t="s">
        <v>499</v>
      </c>
      <c r="AW884" t="s">
        <v>97</v>
      </c>
      <c r="AX884" t="s">
        <v>677</v>
      </c>
      <c r="AY884" t="s">
        <v>441</v>
      </c>
      <c r="AZ884" t="s">
        <v>650</v>
      </c>
      <c r="BA884" t="s">
        <v>261</v>
      </c>
      <c r="BB884" t="s">
        <v>711</v>
      </c>
      <c r="BC884" t="s">
        <v>167</v>
      </c>
      <c r="BD884" t="s">
        <v>133</v>
      </c>
      <c r="BE884" t="s">
        <v>661</v>
      </c>
      <c r="BF884" t="s">
        <v>790</v>
      </c>
      <c r="BG884" t="s">
        <v>397</v>
      </c>
      <c r="BH884" t="s">
        <v>78</v>
      </c>
      <c r="BI884" t="s">
        <v>213</v>
      </c>
      <c r="BJ884" t="s">
        <v>622</v>
      </c>
      <c r="BK884" t="s">
        <v>667</v>
      </c>
      <c r="BL884" t="s">
        <v>435</v>
      </c>
      <c r="BM884" t="s">
        <v>703</v>
      </c>
      <c r="BN884" t="s">
        <v>26</v>
      </c>
      <c r="BO884" t="s">
        <v>356</v>
      </c>
      <c r="BP884" t="s">
        <v>208</v>
      </c>
      <c r="BQ884" t="s">
        <v>740</v>
      </c>
      <c r="BR884" t="s">
        <v>382</v>
      </c>
      <c r="BS884" t="s">
        <v>249</v>
      </c>
      <c r="BT884" t="s">
        <v>47</v>
      </c>
      <c r="BU884" t="s">
        <v>272</v>
      </c>
      <c r="BV884" t="s">
        <v>173</v>
      </c>
      <c r="BW884" t="s">
        <v>101</v>
      </c>
      <c r="BX884" t="s">
        <v>470</v>
      </c>
      <c r="BY884" t="s">
        <v>263</v>
      </c>
      <c r="BZ884" t="s">
        <v>542</v>
      </c>
      <c r="CA884" t="s">
        <v>780</v>
      </c>
      <c r="CB884" t="s">
        <v>768</v>
      </c>
      <c r="CC884" t="s">
        <v>747</v>
      </c>
      <c r="CD884" t="s">
        <v>387</v>
      </c>
      <c r="CE884" t="s">
        <v>506</v>
      </c>
      <c r="CF884" t="s">
        <v>586</v>
      </c>
      <c r="CG884" t="s">
        <v>187</v>
      </c>
      <c r="CH884" t="s">
        <v>755</v>
      </c>
      <c r="CI884" t="s">
        <v>694</v>
      </c>
      <c r="CJ884" t="s">
        <v>154</v>
      </c>
      <c r="CK884" t="s">
        <v>291</v>
      </c>
      <c r="CL884" t="s">
        <v>403</v>
      </c>
      <c r="CM884" t="s">
        <v>801</v>
      </c>
      <c r="CN884" t="s">
        <v>420</v>
      </c>
      <c r="CO884" t="s">
        <v>474</v>
      </c>
      <c r="CP884" t="s">
        <v>463</v>
      </c>
      <c r="CQ884" t="s">
        <v>64</v>
      </c>
      <c r="CR884" t="s">
        <v>518</v>
      </c>
      <c r="CS884" t="s">
        <v>566</v>
      </c>
      <c r="CT884" t="s">
        <v>641</v>
      </c>
      <c r="CU884" t="s">
        <v>325</v>
      </c>
      <c r="CV884" t="s">
        <v>751</v>
      </c>
      <c r="CW884" t="s">
        <v>109</v>
      </c>
      <c r="CX884" t="s">
        <v>491</v>
      </c>
      <c r="CY884" t="s">
        <v>551</v>
      </c>
      <c r="CZ884" t="s">
        <v>313</v>
      </c>
      <c r="DA884" t="s">
        <v>120</v>
      </c>
      <c r="DB884" t="s">
        <v>233</v>
      </c>
      <c r="DC884" t="s">
        <v>276</v>
      </c>
      <c r="DD884" t="s">
        <v>340</v>
      </c>
      <c r="DE884" t="s">
        <v>574</v>
      </c>
      <c r="DF884" t="s">
        <v>178</v>
      </c>
      <c r="DG884" t="s">
        <v>627</v>
      </c>
      <c r="DH884" t="s">
        <v>409</v>
      </c>
      <c r="DI884" t="s">
        <v>1381</v>
      </c>
    </row>
    <row r="885" spans="1:113" x14ac:dyDescent="0.3">
      <c r="B885" s="13" t="s">
        <v>642</v>
      </c>
      <c r="CT885">
        <v>893.76</v>
      </c>
      <c r="DI885">
        <v>893.76</v>
      </c>
    </row>
    <row r="886" spans="1:113" x14ac:dyDescent="0.3">
      <c r="B886" s="13" t="s">
        <v>611</v>
      </c>
      <c r="E886">
        <v>3393.29</v>
      </c>
      <c r="DI886">
        <v>3393.29</v>
      </c>
    </row>
    <row r="887" spans="1:113" x14ac:dyDescent="0.3">
      <c r="B887" s="13" t="s">
        <v>701</v>
      </c>
      <c r="CL887">
        <v>82.74</v>
      </c>
      <c r="DI887">
        <v>82.74</v>
      </c>
    </row>
    <row r="888" spans="1:113" x14ac:dyDescent="0.3">
      <c r="B888" s="13" t="s">
        <v>168</v>
      </c>
      <c r="BC888">
        <v>553.99085158150842</v>
      </c>
      <c r="DI888">
        <v>553.99085158150842</v>
      </c>
    </row>
    <row r="889" spans="1:113" x14ac:dyDescent="0.3">
      <c r="B889" s="13" t="s">
        <v>765</v>
      </c>
      <c r="CZ889">
        <v>679.15</v>
      </c>
      <c r="DI889">
        <v>679.15</v>
      </c>
    </row>
    <row r="890" spans="1:113" x14ac:dyDescent="0.3">
      <c r="B890" s="13" t="s">
        <v>410</v>
      </c>
      <c r="DH890">
        <v>111.5</v>
      </c>
      <c r="DI890">
        <v>111.5</v>
      </c>
    </row>
    <row r="891" spans="1:113" x14ac:dyDescent="0.3">
      <c r="B891" s="13" t="s">
        <v>734</v>
      </c>
      <c r="CZ891">
        <v>3602.25</v>
      </c>
      <c r="DI891">
        <v>3602.25</v>
      </c>
    </row>
    <row r="892" spans="1:113" x14ac:dyDescent="0.3">
      <c r="B892" s="13" t="s">
        <v>234</v>
      </c>
      <c r="DB892">
        <v>2010.03</v>
      </c>
      <c r="DI892">
        <v>2010.03</v>
      </c>
    </row>
    <row r="893" spans="1:113" x14ac:dyDescent="0.3">
      <c r="B893" s="13" t="s">
        <v>183</v>
      </c>
      <c r="O893">
        <v>464.55</v>
      </c>
      <c r="DI893">
        <v>464.55</v>
      </c>
    </row>
    <row r="894" spans="1:113" x14ac:dyDescent="0.3">
      <c r="B894" s="13" t="s">
        <v>292</v>
      </c>
      <c r="CK894">
        <v>60.35</v>
      </c>
      <c r="DI894">
        <v>60.35</v>
      </c>
    </row>
    <row r="895" spans="1:113" x14ac:dyDescent="0.3">
      <c r="B895" s="13" t="s">
        <v>418</v>
      </c>
      <c r="I895">
        <v>147.69</v>
      </c>
      <c r="DI895">
        <v>147.69</v>
      </c>
    </row>
    <row r="896" spans="1:113" x14ac:dyDescent="0.3">
      <c r="B896" s="13" t="s">
        <v>479</v>
      </c>
      <c r="AH896">
        <v>1635.31</v>
      </c>
      <c r="CZ896">
        <v>5732.5399999999991</v>
      </c>
      <c r="DI896">
        <v>7367.8499999999985</v>
      </c>
    </row>
    <row r="897" spans="2:113" x14ac:dyDescent="0.3">
      <c r="B897" s="13" t="s">
        <v>341</v>
      </c>
      <c r="DD897">
        <v>3692.7000000000003</v>
      </c>
      <c r="DI897">
        <v>3692.7000000000003</v>
      </c>
    </row>
    <row r="898" spans="2:113" x14ac:dyDescent="0.3">
      <c r="B898" s="13" t="s">
        <v>445</v>
      </c>
      <c r="CZ898">
        <v>614.8900000000001</v>
      </c>
      <c r="DI898">
        <v>614.8900000000001</v>
      </c>
    </row>
    <row r="899" spans="2:113" x14ac:dyDescent="0.3">
      <c r="B899" s="13" t="s">
        <v>354</v>
      </c>
      <c r="P899">
        <v>3579.04</v>
      </c>
      <c r="DI899">
        <v>3579.04</v>
      </c>
    </row>
    <row r="900" spans="2:113" x14ac:dyDescent="0.3">
      <c r="B900" s="13" t="s">
        <v>205</v>
      </c>
      <c r="P900">
        <v>12666.78</v>
      </c>
      <c r="AL900">
        <v>667.15</v>
      </c>
      <c r="DI900">
        <v>13333.93</v>
      </c>
    </row>
    <row r="901" spans="2:113" x14ac:dyDescent="0.3">
      <c r="B901" s="13" t="s">
        <v>337</v>
      </c>
      <c r="AU901">
        <v>1064.0700000000002</v>
      </c>
      <c r="DI901">
        <v>1064.0700000000002</v>
      </c>
    </row>
    <row r="902" spans="2:113" x14ac:dyDescent="0.3">
      <c r="B902" s="13" t="s">
        <v>378</v>
      </c>
      <c r="CZ902">
        <v>8813.73</v>
      </c>
      <c r="DI902">
        <v>8813.73</v>
      </c>
    </row>
    <row r="903" spans="2:113" x14ac:dyDescent="0.3">
      <c r="B903" s="13" t="s">
        <v>515</v>
      </c>
      <c r="CZ903">
        <v>1692.34</v>
      </c>
      <c r="DI903">
        <v>1692.34</v>
      </c>
    </row>
    <row r="904" spans="2:113" x14ac:dyDescent="0.3">
      <c r="B904" s="13" t="s">
        <v>758</v>
      </c>
      <c r="CZ904">
        <v>5846.75</v>
      </c>
      <c r="DI904">
        <v>5846.75</v>
      </c>
    </row>
    <row r="905" spans="2:113" x14ac:dyDescent="0.3">
      <c r="B905" s="13" t="s">
        <v>416</v>
      </c>
      <c r="CZ905">
        <v>1825.61</v>
      </c>
      <c r="DI905">
        <v>1825.61</v>
      </c>
    </row>
    <row r="906" spans="2:113" x14ac:dyDescent="0.3">
      <c r="B906" s="13" t="s">
        <v>673</v>
      </c>
      <c r="BG906">
        <v>903.98</v>
      </c>
      <c r="DI906">
        <v>903.98</v>
      </c>
    </row>
    <row r="907" spans="2:113" x14ac:dyDescent="0.3">
      <c r="B907" s="13" t="s">
        <v>594</v>
      </c>
      <c r="BU907">
        <v>132.30000000000001</v>
      </c>
      <c r="DI907">
        <v>132.30000000000001</v>
      </c>
    </row>
    <row r="908" spans="2:113" x14ac:dyDescent="0.3">
      <c r="B908" s="13" t="s">
        <v>778</v>
      </c>
      <c r="AH908">
        <v>5496.73</v>
      </c>
      <c r="DI908">
        <v>5496.73</v>
      </c>
    </row>
    <row r="909" spans="2:113" x14ac:dyDescent="0.3">
      <c r="B909" s="13" t="s">
        <v>636</v>
      </c>
      <c r="AH909">
        <v>19211.45</v>
      </c>
      <c r="DI909">
        <v>19211.45</v>
      </c>
    </row>
    <row r="910" spans="2:113" x14ac:dyDescent="0.3">
      <c r="B910" s="13" t="s">
        <v>161</v>
      </c>
      <c r="AC910">
        <v>243.30900243309</v>
      </c>
      <c r="DI910">
        <v>243.30900243309</v>
      </c>
    </row>
    <row r="911" spans="2:113" x14ac:dyDescent="0.3">
      <c r="B911" s="13" t="s">
        <v>439</v>
      </c>
      <c r="CZ911">
        <v>29944.57</v>
      </c>
      <c r="DI911">
        <v>29944.57</v>
      </c>
    </row>
    <row r="912" spans="2:113" x14ac:dyDescent="0.3">
      <c r="B912" s="13" t="s">
        <v>538</v>
      </c>
      <c r="CZ912">
        <v>3159.99</v>
      </c>
      <c r="DI912">
        <v>3159.99</v>
      </c>
    </row>
    <row r="913" spans="2:113" x14ac:dyDescent="0.3">
      <c r="B913" s="13" t="s">
        <v>134</v>
      </c>
      <c r="BD913">
        <v>64.326480304955538</v>
      </c>
      <c r="DI913">
        <v>64.326480304955538</v>
      </c>
    </row>
    <row r="914" spans="2:113" x14ac:dyDescent="0.3">
      <c r="B914" s="13" t="s">
        <v>238</v>
      </c>
      <c r="BD914">
        <v>32.29</v>
      </c>
      <c r="DI914">
        <v>32.29</v>
      </c>
    </row>
    <row r="915" spans="2:113" x14ac:dyDescent="0.3">
      <c r="B915" s="13" t="s">
        <v>86</v>
      </c>
      <c r="I915">
        <v>132.71</v>
      </c>
      <c r="DI915">
        <v>132.71</v>
      </c>
    </row>
    <row r="916" spans="2:113" x14ac:dyDescent="0.3">
      <c r="B916" s="13" t="s">
        <v>722</v>
      </c>
      <c r="CF916">
        <v>2844.3</v>
      </c>
      <c r="DI916">
        <v>2844.3</v>
      </c>
    </row>
    <row r="917" spans="2:113" x14ac:dyDescent="0.3">
      <c r="B917" s="13" t="s">
        <v>587</v>
      </c>
      <c r="CF917">
        <v>48.998737704918028</v>
      </c>
      <c r="DI917">
        <v>48.998737704918028</v>
      </c>
    </row>
    <row r="918" spans="2:113" x14ac:dyDescent="0.3">
      <c r="B918" s="13" t="s">
        <v>563</v>
      </c>
      <c r="BI918">
        <v>46.55</v>
      </c>
      <c r="DI918">
        <v>46.55</v>
      </c>
    </row>
    <row r="919" spans="2:113" x14ac:dyDescent="0.3">
      <c r="B919" s="13" t="s">
        <v>645</v>
      </c>
      <c r="Y919">
        <v>802.24</v>
      </c>
      <c r="DI919">
        <v>802.24</v>
      </c>
    </row>
    <row r="920" spans="2:113" x14ac:dyDescent="0.3">
      <c r="B920" s="13" t="s">
        <v>302</v>
      </c>
      <c r="Y920">
        <v>3253.82</v>
      </c>
      <c r="DI920">
        <v>3253.82</v>
      </c>
    </row>
    <row r="921" spans="2:113" x14ac:dyDescent="0.3">
      <c r="B921" s="13" t="s">
        <v>392</v>
      </c>
      <c r="CQ921">
        <v>788.41</v>
      </c>
      <c r="DI921">
        <v>788.41</v>
      </c>
    </row>
    <row r="922" spans="2:113" x14ac:dyDescent="0.3">
      <c r="B922" s="13" t="s">
        <v>741</v>
      </c>
      <c r="BQ922">
        <v>738.08</v>
      </c>
      <c r="DI922">
        <v>738.08</v>
      </c>
    </row>
    <row r="923" spans="2:113" x14ac:dyDescent="0.3">
      <c r="B923" s="13" t="s">
        <v>464</v>
      </c>
      <c r="CP923">
        <v>564.76</v>
      </c>
      <c r="DI923">
        <v>564.76</v>
      </c>
    </row>
    <row r="924" spans="2:113" x14ac:dyDescent="0.3">
      <c r="B924" s="13" t="s">
        <v>98</v>
      </c>
      <c r="AW924">
        <v>132.71</v>
      </c>
      <c r="DI924">
        <v>132.71</v>
      </c>
    </row>
    <row r="925" spans="2:113" x14ac:dyDescent="0.3">
      <c r="B925" s="13" t="s">
        <v>791</v>
      </c>
      <c r="BF925">
        <v>52.14</v>
      </c>
      <c r="DI925">
        <v>52.14</v>
      </c>
    </row>
    <row r="926" spans="2:113" x14ac:dyDescent="0.3">
      <c r="B926" s="13" t="s">
        <v>48</v>
      </c>
      <c r="BT926">
        <v>10783.926617017409</v>
      </c>
      <c r="DI926">
        <v>10783.926617017409</v>
      </c>
    </row>
    <row r="927" spans="2:113" x14ac:dyDescent="0.3">
      <c r="B927" s="13" t="s">
        <v>74</v>
      </c>
      <c r="BT927">
        <v>44789.198512399998</v>
      </c>
      <c r="DI927">
        <v>44789.198512399998</v>
      </c>
    </row>
    <row r="928" spans="2:113" x14ac:dyDescent="0.3">
      <c r="B928" s="13" t="s">
        <v>567</v>
      </c>
      <c r="CS928">
        <v>55.25</v>
      </c>
      <c r="DI928">
        <v>55.25</v>
      </c>
    </row>
    <row r="929" spans="2:113" x14ac:dyDescent="0.3">
      <c r="B929" s="13" t="s">
        <v>552</v>
      </c>
      <c r="CY929">
        <v>199.77</v>
      </c>
      <c r="DI929">
        <v>199.77</v>
      </c>
    </row>
    <row r="930" spans="2:113" x14ac:dyDescent="0.3">
      <c r="B930" s="13" t="s">
        <v>662</v>
      </c>
      <c r="BE930">
        <v>816.02</v>
      </c>
      <c r="DI930">
        <v>816.02</v>
      </c>
    </row>
    <row r="931" spans="2:113" x14ac:dyDescent="0.3">
      <c r="B931" s="13" t="s">
        <v>766</v>
      </c>
      <c r="BE931">
        <v>706.88</v>
      </c>
      <c r="DI931">
        <v>706.88</v>
      </c>
    </row>
    <row r="932" spans="2:113" x14ac:dyDescent="0.3">
      <c r="B932" s="13" t="s">
        <v>398</v>
      </c>
      <c r="BG932">
        <v>298.89</v>
      </c>
      <c r="DI932">
        <v>298.89</v>
      </c>
    </row>
    <row r="933" spans="2:113" x14ac:dyDescent="0.3">
      <c r="B933" s="13" t="s">
        <v>717</v>
      </c>
      <c r="C933">
        <v>54.94</v>
      </c>
      <c r="DI933">
        <v>54.94</v>
      </c>
    </row>
    <row r="934" spans="2:113" x14ac:dyDescent="0.3">
      <c r="B934" s="13" t="s">
        <v>102</v>
      </c>
      <c r="BW934">
        <v>390.63</v>
      </c>
      <c r="DI934">
        <v>390.63</v>
      </c>
    </row>
    <row r="935" spans="2:113" x14ac:dyDescent="0.3">
      <c r="B935" s="13" t="s">
        <v>270</v>
      </c>
      <c r="W935">
        <v>131.94999999999999</v>
      </c>
      <c r="DI935">
        <v>131.94999999999999</v>
      </c>
    </row>
    <row r="936" spans="2:113" x14ac:dyDescent="0.3">
      <c r="B936" s="13" t="s">
        <v>283</v>
      </c>
      <c r="BS936">
        <v>2257.5299999999997</v>
      </c>
      <c r="DI936">
        <v>2257.5299999999997</v>
      </c>
    </row>
    <row r="937" spans="2:113" x14ac:dyDescent="0.3">
      <c r="B937" s="13" t="s">
        <v>250</v>
      </c>
      <c r="BS937">
        <v>1742.59</v>
      </c>
      <c r="DI937">
        <v>1742.59</v>
      </c>
    </row>
    <row r="938" spans="2:113" x14ac:dyDescent="0.3">
      <c r="B938" s="13" t="s">
        <v>320</v>
      </c>
      <c r="F938">
        <v>1449.54</v>
      </c>
      <c r="DI938">
        <v>1449.54</v>
      </c>
    </row>
    <row r="939" spans="2:113" x14ac:dyDescent="0.3">
      <c r="B939" s="13" t="s">
        <v>155</v>
      </c>
      <c r="CJ939">
        <v>88.945362134688693</v>
      </c>
      <c r="DI939">
        <v>88.945362134688693</v>
      </c>
    </row>
    <row r="940" spans="2:113" x14ac:dyDescent="0.3">
      <c r="B940" s="13" t="s">
        <v>380</v>
      </c>
      <c r="CJ940">
        <v>136.94</v>
      </c>
      <c r="DI940">
        <v>136.94</v>
      </c>
    </row>
    <row r="941" spans="2:113" x14ac:dyDescent="0.3">
      <c r="B941" s="13" t="s">
        <v>257</v>
      </c>
      <c r="F941">
        <v>490.94000000000005</v>
      </c>
      <c r="DI941">
        <v>490.94000000000005</v>
      </c>
    </row>
    <row r="942" spans="2:113" x14ac:dyDescent="0.3">
      <c r="B942" s="13" t="s">
        <v>321</v>
      </c>
      <c r="J942">
        <v>69.099999999999994</v>
      </c>
      <c r="CZ942">
        <v>17848.93</v>
      </c>
      <c r="DI942">
        <v>17918.03</v>
      </c>
    </row>
    <row r="943" spans="2:113" x14ac:dyDescent="0.3">
      <c r="B943" s="13" t="s">
        <v>582</v>
      </c>
      <c r="AG943">
        <v>308.67</v>
      </c>
      <c r="DI943">
        <v>308.67</v>
      </c>
    </row>
    <row r="944" spans="2:113" x14ac:dyDescent="0.3">
      <c r="B944" s="13" t="s">
        <v>699</v>
      </c>
      <c r="AG944">
        <v>637</v>
      </c>
      <c r="DI944">
        <v>637</v>
      </c>
    </row>
    <row r="945" spans="2:113" x14ac:dyDescent="0.3">
      <c r="B945" s="13" t="s">
        <v>628</v>
      </c>
      <c r="DG945">
        <v>450.04</v>
      </c>
      <c r="DI945">
        <v>450.04</v>
      </c>
    </row>
    <row r="946" spans="2:113" x14ac:dyDescent="0.3">
      <c r="B946" s="13" t="s">
        <v>781</v>
      </c>
      <c r="CA946">
        <v>18637.650000000001</v>
      </c>
      <c r="DI946">
        <v>18637.650000000001</v>
      </c>
    </row>
    <row r="947" spans="2:113" x14ac:dyDescent="0.3">
      <c r="B947" s="13" t="s">
        <v>605</v>
      </c>
      <c r="L947">
        <v>437.63</v>
      </c>
      <c r="DI947">
        <v>437.63</v>
      </c>
    </row>
    <row r="948" spans="2:113" x14ac:dyDescent="0.3">
      <c r="B948" s="13" t="s">
        <v>739</v>
      </c>
      <c r="L948">
        <v>896.66</v>
      </c>
      <c r="DI948">
        <v>896.66</v>
      </c>
    </row>
    <row r="949" spans="2:113" x14ac:dyDescent="0.3">
      <c r="B949" s="13" t="s">
        <v>569</v>
      </c>
      <c r="CZ949">
        <v>9435.1299999999992</v>
      </c>
      <c r="DI949">
        <v>9435.1299999999992</v>
      </c>
    </row>
    <row r="950" spans="2:113" x14ac:dyDescent="0.3">
      <c r="B950" s="13" t="s">
        <v>549</v>
      </c>
      <c r="CZ950">
        <v>826.43</v>
      </c>
      <c r="DI950">
        <v>826.43</v>
      </c>
    </row>
    <row r="951" spans="2:113" x14ac:dyDescent="0.3">
      <c r="B951" s="13" t="s">
        <v>540</v>
      </c>
      <c r="CL951">
        <v>3505.85</v>
      </c>
      <c r="CZ951">
        <v>11414.25</v>
      </c>
      <c r="DI951">
        <v>14920.1</v>
      </c>
    </row>
    <row r="952" spans="2:113" x14ac:dyDescent="0.3">
      <c r="B952" s="13" t="s">
        <v>414</v>
      </c>
      <c r="CZ952">
        <v>3035.28</v>
      </c>
      <c r="DI952">
        <v>3035.28</v>
      </c>
    </row>
    <row r="953" spans="2:113" x14ac:dyDescent="0.3">
      <c r="B953" s="13" t="s">
        <v>311</v>
      </c>
      <c r="AO953">
        <v>47.69</v>
      </c>
      <c r="CS953">
        <v>81.319999999999993</v>
      </c>
      <c r="DI953">
        <v>129.01</v>
      </c>
    </row>
    <row r="954" spans="2:113" x14ac:dyDescent="0.3">
      <c r="B954" s="13" t="s">
        <v>188</v>
      </c>
      <c r="CG954">
        <v>155.74</v>
      </c>
      <c r="DI954">
        <v>155.74</v>
      </c>
    </row>
    <row r="955" spans="2:113" x14ac:dyDescent="0.3">
      <c r="B955" s="13" t="s">
        <v>706</v>
      </c>
      <c r="CZ955">
        <v>1114.3499999999999</v>
      </c>
      <c r="DI955">
        <v>1114.3499999999999</v>
      </c>
    </row>
    <row r="956" spans="2:113" x14ac:dyDescent="0.3">
      <c r="B956" s="13" t="s">
        <v>745</v>
      </c>
      <c r="CZ956">
        <v>1797.89</v>
      </c>
      <c r="DI956">
        <v>1797.89</v>
      </c>
    </row>
    <row r="957" spans="2:113" x14ac:dyDescent="0.3">
      <c r="B957" s="13" t="s">
        <v>575</v>
      </c>
      <c r="DE957">
        <v>212.39093286219079</v>
      </c>
      <c r="DI957">
        <v>212.39093286219079</v>
      </c>
    </row>
    <row r="958" spans="2:113" x14ac:dyDescent="0.3">
      <c r="B958" s="13" t="s">
        <v>548</v>
      </c>
      <c r="BJ958">
        <v>23430.18</v>
      </c>
      <c r="CZ958">
        <v>24817.95</v>
      </c>
      <c r="DI958">
        <v>48248.130000000005</v>
      </c>
    </row>
    <row r="959" spans="2:113" x14ac:dyDescent="0.3">
      <c r="B959" s="13" t="s">
        <v>196</v>
      </c>
      <c r="AA959">
        <v>334.83000000000004</v>
      </c>
      <c r="DI959">
        <v>334.83000000000004</v>
      </c>
    </row>
    <row r="960" spans="2:113" x14ac:dyDescent="0.3">
      <c r="B960" s="13" t="s">
        <v>519</v>
      </c>
      <c r="CR960">
        <v>6442.3099999999995</v>
      </c>
      <c r="CZ960">
        <v>696.71</v>
      </c>
      <c r="DI960">
        <v>7139.0199999999995</v>
      </c>
    </row>
    <row r="961" spans="2:113" x14ac:dyDescent="0.3">
      <c r="B961" s="13" t="s">
        <v>368</v>
      </c>
      <c r="AS961">
        <v>1672.42</v>
      </c>
      <c r="DI961">
        <v>1672.42</v>
      </c>
    </row>
    <row r="962" spans="2:113" x14ac:dyDescent="0.3">
      <c r="B962" s="13" t="s">
        <v>529</v>
      </c>
      <c r="AP962">
        <v>437.90999999999997</v>
      </c>
      <c r="DI962">
        <v>437.90999999999997</v>
      </c>
    </row>
    <row r="963" spans="2:113" x14ac:dyDescent="0.3">
      <c r="B963" s="13" t="s">
        <v>505</v>
      </c>
      <c r="CZ963">
        <v>5248.08</v>
      </c>
      <c r="DI963">
        <v>5248.08</v>
      </c>
    </row>
    <row r="964" spans="2:113" x14ac:dyDescent="0.3">
      <c r="B964" s="13" t="s">
        <v>533</v>
      </c>
      <c r="CZ964">
        <v>10112.85</v>
      </c>
      <c r="DI964">
        <v>10112.85</v>
      </c>
    </row>
    <row r="965" spans="2:113" x14ac:dyDescent="0.3">
      <c r="B965" s="13" t="s">
        <v>638</v>
      </c>
      <c r="BJ965">
        <v>9910.2800000000007</v>
      </c>
      <c r="DI965">
        <v>9910.2800000000007</v>
      </c>
    </row>
    <row r="966" spans="2:113" x14ac:dyDescent="0.3">
      <c r="B966" s="13" t="s">
        <v>668</v>
      </c>
      <c r="BK966">
        <v>0.53</v>
      </c>
      <c r="DI966">
        <v>0.53</v>
      </c>
    </row>
    <row r="967" spans="2:113" x14ac:dyDescent="0.3">
      <c r="B967" s="13" t="s">
        <v>772</v>
      </c>
      <c r="AD967">
        <v>419.17</v>
      </c>
      <c r="DI967">
        <v>419.17</v>
      </c>
    </row>
    <row r="968" spans="2:113" x14ac:dyDescent="0.3">
      <c r="B968" s="13" t="s">
        <v>179</v>
      </c>
      <c r="DF968">
        <v>1613.69</v>
      </c>
      <c r="DI968">
        <v>1613.69</v>
      </c>
    </row>
    <row r="969" spans="2:113" x14ac:dyDescent="0.3">
      <c r="B969" s="13" t="s">
        <v>404</v>
      </c>
      <c r="CL969">
        <v>7688.39</v>
      </c>
      <c r="CZ969">
        <v>4548.88</v>
      </c>
      <c r="DI969">
        <v>12237.27</v>
      </c>
    </row>
    <row r="970" spans="2:113" x14ac:dyDescent="0.3">
      <c r="B970" s="13" t="s">
        <v>655</v>
      </c>
      <c r="CL970">
        <v>3825.09</v>
      </c>
      <c r="DI970">
        <v>3825.09</v>
      </c>
    </row>
    <row r="971" spans="2:113" x14ac:dyDescent="0.3">
      <c r="B971" s="13" t="s">
        <v>624</v>
      </c>
      <c r="CZ971">
        <v>802.9</v>
      </c>
      <c r="DI971">
        <v>802.9</v>
      </c>
    </row>
    <row r="972" spans="2:113" x14ac:dyDescent="0.3">
      <c r="B972" s="13" t="s">
        <v>388</v>
      </c>
      <c r="CD972">
        <v>2279.11</v>
      </c>
      <c r="DI972">
        <v>2279.11</v>
      </c>
    </row>
    <row r="973" spans="2:113" x14ac:dyDescent="0.3">
      <c r="B973" s="13" t="s">
        <v>459</v>
      </c>
      <c r="CD973">
        <v>954.63</v>
      </c>
      <c r="DI973">
        <v>954.63</v>
      </c>
    </row>
    <row r="974" spans="2:113" x14ac:dyDescent="0.3">
      <c r="B974" s="13" t="s">
        <v>534</v>
      </c>
      <c r="CZ974">
        <v>17124.48</v>
      </c>
      <c r="DI974">
        <v>17124.48</v>
      </c>
    </row>
    <row r="975" spans="2:113" x14ac:dyDescent="0.3">
      <c r="B975" s="13" t="s">
        <v>142</v>
      </c>
      <c r="AJ975">
        <v>165.18424396442191</v>
      </c>
      <c r="DI975">
        <v>165.18424396442191</v>
      </c>
    </row>
    <row r="976" spans="2:113" x14ac:dyDescent="0.3">
      <c r="B976" s="13" t="s">
        <v>486</v>
      </c>
      <c r="CQ976">
        <v>1989.95</v>
      </c>
      <c r="DI976">
        <v>1989.95</v>
      </c>
    </row>
    <row r="977" spans="2:113" x14ac:dyDescent="0.3">
      <c r="B977" s="13" t="s">
        <v>483</v>
      </c>
      <c r="CZ977">
        <v>1703.61</v>
      </c>
      <c r="DI977">
        <v>1703.61</v>
      </c>
    </row>
    <row r="978" spans="2:113" x14ac:dyDescent="0.3">
      <c r="B978" s="13" t="s">
        <v>737</v>
      </c>
      <c r="CZ978">
        <v>6356.37</v>
      </c>
      <c r="DI978">
        <v>6356.37</v>
      </c>
    </row>
    <row r="979" spans="2:113" x14ac:dyDescent="0.3">
      <c r="B979" s="13" t="s">
        <v>273</v>
      </c>
      <c r="BU979">
        <v>1242.3800000000001</v>
      </c>
      <c r="DI979">
        <v>1242.3800000000001</v>
      </c>
    </row>
    <row r="980" spans="2:113" x14ac:dyDescent="0.3">
      <c r="B980" s="13" t="s">
        <v>214</v>
      </c>
      <c r="BI980">
        <v>108.82</v>
      </c>
      <c r="DI980">
        <v>108.82</v>
      </c>
    </row>
    <row r="981" spans="2:113" x14ac:dyDescent="0.3">
      <c r="B981" s="13" t="s">
        <v>804</v>
      </c>
      <c r="T981">
        <v>214.67</v>
      </c>
      <c r="DI981">
        <v>214.67</v>
      </c>
    </row>
    <row r="982" spans="2:113" x14ac:dyDescent="0.3">
      <c r="B982" s="13" t="s">
        <v>759</v>
      </c>
      <c r="CV982">
        <v>159.16</v>
      </c>
      <c r="DI982">
        <v>159.16</v>
      </c>
    </row>
    <row r="983" spans="2:113" x14ac:dyDescent="0.3">
      <c r="B983" s="13" t="s">
        <v>329</v>
      </c>
      <c r="CZ983">
        <v>5472.4</v>
      </c>
      <c r="DI983">
        <v>5472.4</v>
      </c>
    </row>
    <row r="984" spans="2:113" x14ac:dyDescent="0.3">
      <c r="B984" s="13" t="s">
        <v>475</v>
      </c>
      <c r="CO984">
        <v>13113.259999999998</v>
      </c>
      <c r="DI984">
        <v>13113.259999999998</v>
      </c>
    </row>
    <row r="985" spans="2:113" x14ac:dyDescent="0.3">
      <c r="B985" s="13" t="s">
        <v>512</v>
      </c>
      <c r="AN985">
        <v>10040.049999999999</v>
      </c>
      <c r="DI985">
        <v>10040.049999999999</v>
      </c>
    </row>
    <row r="986" spans="2:113" x14ac:dyDescent="0.3">
      <c r="B986" s="13" t="s">
        <v>555</v>
      </c>
      <c r="CO986">
        <v>9192.11</v>
      </c>
      <c r="DI986">
        <v>9192.11</v>
      </c>
    </row>
    <row r="987" spans="2:113" x14ac:dyDescent="0.3">
      <c r="B987" s="13" t="s">
        <v>517</v>
      </c>
      <c r="CZ987">
        <v>166.18</v>
      </c>
      <c r="DI987">
        <v>166.18</v>
      </c>
    </row>
    <row r="988" spans="2:113" x14ac:dyDescent="0.3">
      <c r="B988" s="13" t="s">
        <v>620</v>
      </c>
      <c r="CZ988">
        <v>796.89</v>
      </c>
      <c r="DI988">
        <v>796.89</v>
      </c>
    </row>
    <row r="989" spans="2:113" x14ac:dyDescent="0.3">
      <c r="B989" s="13" t="s">
        <v>383</v>
      </c>
      <c r="BR989">
        <v>95.6</v>
      </c>
      <c r="DI989">
        <v>95.6</v>
      </c>
    </row>
    <row r="990" spans="2:113" x14ac:dyDescent="0.3">
      <c r="B990" s="13" t="s">
        <v>634</v>
      </c>
      <c r="AH990">
        <v>1635.31</v>
      </c>
      <c r="CZ990">
        <v>1429.09</v>
      </c>
      <c r="DI990">
        <v>3064.3999999999996</v>
      </c>
    </row>
    <row r="991" spans="2:113" x14ac:dyDescent="0.3">
      <c r="B991" s="13" t="s">
        <v>500</v>
      </c>
      <c r="AV991">
        <v>426.09</v>
      </c>
      <c r="DI991">
        <v>426.09</v>
      </c>
    </row>
    <row r="992" spans="2:113" x14ac:dyDescent="0.3">
      <c r="B992" s="13" t="s">
        <v>39</v>
      </c>
      <c r="AR992">
        <v>34643.841313141762</v>
      </c>
      <c r="DI992">
        <v>34643.841313141762</v>
      </c>
    </row>
    <row r="993" spans="2:113" x14ac:dyDescent="0.3">
      <c r="B993" s="13" t="s">
        <v>521</v>
      </c>
      <c r="CZ993">
        <v>8794.010000000002</v>
      </c>
      <c r="DI993">
        <v>8794.010000000002</v>
      </c>
    </row>
    <row r="994" spans="2:113" x14ac:dyDescent="0.3">
      <c r="B994" s="13" t="s">
        <v>65</v>
      </c>
      <c r="CQ994">
        <v>514.21364708102828</v>
      </c>
      <c r="DI994">
        <v>514.21364708102828</v>
      </c>
    </row>
    <row r="995" spans="2:113" x14ac:dyDescent="0.3">
      <c r="B995" s="13" t="s">
        <v>199</v>
      </c>
      <c r="CW995">
        <v>95.84</v>
      </c>
      <c r="DI995">
        <v>95.84</v>
      </c>
    </row>
    <row r="996" spans="2:113" x14ac:dyDescent="0.3">
      <c r="B996" s="13" t="s">
        <v>226</v>
      </c>
      <c r="M996">
        <v>1022.97</v>
      </c>
      <c r="DI996">
        <v>1022.97</v>
      </c>
    </row>
    <row r="997" spans="2:113" x14ac:dyDescent="0.3">
      <c r="B997" s="13" t="s">
        <v>799</v>
      </c>
      <c r="CS997">
        <v>28.72</v>
      </c>
      <c r="DI997">
        <v>28.72</v>
      </c>
    </row>
    <row r="998" spans="2:113" x14ac:dyDescent="0.3">
      <c r="B998" s="13" t="s">
        <v>524</v>
      </c>
      <c r="Z998">
        <v>323.58999999999997</v>
      </c>
      <c r="DI998">
        <v>323.58999999999997</v>
      </c>
    </row>
    <row r="999" spans="2:113" x14ac:dyDescent="0.3">
      <c r="B999" s="13" t="s">
        <v>489</v>
      </c>
      <c r="CZ999">
        <v>13714.179999999998</v>
      </c>
      <c r="DI999">
        <v>13714.179999999998</v>
      </c>
    </row>
    <row r="1000" spans="2:113" x14ac:dyDescent="0.3">
      <c r="B1000" s="13" t="s">
        <v>507</v>
      </c>
      <c r="CE1000">
        <v>188.91</v>
      </c>
      <c r="DI1000">
        <v>188.91</v>
      </c>
    </row>
    <row r="1001" spans="2:113" x14ac:dyDescent="0.3">
      <c r="B1001" s="13" t="s">
        <v>357</v>
      </c>
      <c r="BO1001">
        <v>357.01</v>
      </c>
      <c r="DI1001">
        <v>357.01</v>
      </c>
    </row>
    <row r="1002" spans="2:113" x14ac:dyDescent="0.3">
      <c r="B1002" s="13" t="s">
        <v>695</v>
      </c>
      <c r="CI1002">
        <v>297</v>
      </c>
      <c r="DI1002">
        <v>297</v>
      </c>
    </row>
    <row r="1003" spans="2:113" x14ac:dyDescent="0.3">
      <c r="B1003" s="13" t="s">
        <v>326</v>
      </c>
      <c r="AQ1003">
        <v>1065.82</v>
      </c>
      <c r="CU1003">
        <v>0</v>
      </c>
      <c r="DI1003">
        <v>1065.82</v>
      </c>
    </row>
    <row r="1004" spans="2:113" x14ac:dyDescent="0.3">
      <c r="B1004" s="13" t="s">
        <v>56</v>
      </c>
      <c r="S1004">
        <v>1903.471723205809</v>
      </c>
      <c r="AK1004">
        <v>1347.5130492000001</v>
      </c>
      <c r="DI1004">
        <v>3250.9847724058091</v>
      </c>
    </row>
    <row r="1005" spans="2:113" x14ac:dyDescent="0.3">
      <c r="B1005" s="13" t="s">
        <v>678</v>
      </c>
      <c r="AX1005">
        <v>62.6</v>
      </c>
      <c r="DI1005">
        <v>62.6</v>
      </c>
    </row>
    <row r="1006" spans="2:113" x14ac:dyDescent="0.3">
      <c r="B1006" s="13" t="s">
        <v>309</v>
      </c>
      <c r="BI1006">
        <v>107.3</v>
      </c>
      <c r="DI1006">
        <v>107.3</v>
      </c>
    </row>
    <row r="1007" spans="2:113" x14ac:dyDescent="0.3">
      <c r="B1007" s="13" t="s">
        <v>244</v>
      </c>
      <c r="AT1007">
        <v>978.79</v>
      </c>
      <c r="CN1007">
        <v>2890.29</v>
      </c>
      <c r="DI1007">
        <v>3869.08</v>
      </c>
    </row>
    <row r="1008" spans="2:113" x14ac:dyDescent="0.3">
      <c r="B1008" s="13" t="s">
        <v>597</v>
      </c>
      <c r="AF1008">
        <v>772.63</v>
      </c>
      <c r="DI1008">
        <v>772.63</v>
      </c>
    </row>
    <row r="1009" spans="2:113" x14ac:dyDescent="0.3">
      <c r="B1009" s="13" t="s">
        <v>750</v>
      </c>
      <c r="AF1009">
        <v>1301.82</v>
      </c>
      <c r="DI1009">
        <v>1301.82</v>
      </c>
    </row>
    <row r="1010" spans="2:113" x14ac:dyDescent="0.3">
      <c r="B1010" s="13" t="s">
        <v>579</v>
      </c>
      <c r="CZ1010">
        <v>8262.9499999999989</v>
      </c>
      <c r="DI1010">
        <v>8262.9499999999989</v>
      </c>
    </row>
    <row r="1011" spans="2:113" x14ac:dyDescent="0.3">
      <c r="B1011" s="13" t="s">
        <v>364</v>
      </c>
      <c r="AB1011">
        <v>4608.6000000000004</v>
      </c>
      <c r="DI1011">
        <v>4608.6000000000004</v>
      </c>
    </row>
    <row r="1012" spans="2:113" x14ac:dyDescent="0.3">
      <c r="B1012" s="13" t="s">
        <v>665</v>
      </c>
      <c r="BH1012">
        <v>393.74</v>
      </c>
      <c r="DI1012">
        <v>393.74</v>
      </c>
    </row>
    <row r="1013" spans="2:113" x14ac:dyDescent="0.3">
      <c r="B1013" s="13" t="s">
        <v>705</v>
      </c>
      <c r="CZ1013">
        <v>4571.71</v>
      </c>
      <c r="DI1013">
        <v>4571.71</v>
      </c>
    </row>
    <row r="1014" spans="2:113" x14ac:dyDescent="0.3">
      <c r="B1014" s="13" t="s">
        <v>349</v>
      </c>
      <c r="AE1014">
        <v>130.83000000000001</v>
      </c>
      <c r="DI1014">
        <v>130.83000000000001</v>
      </c>
    </row>
    <row r="1015" spans="2:113" x14ac:dyDescent="0.3">
      <c r="B1015" s="13" t="s">
        <v>752</v>
      </c>
      <c r="CV1015">
        <v>268.05</v>
      </c>
      <c r="DI1015">
        <v>268.05</v>
      </c>
    </row>
    <row r="1016" spans="2:113" x14ac:dyDescent="0.3">
      <c r="B1016" s="13" t="s">
        <v>593</v>
      </c>
      <c r="CZ1016">
        <v>4943.26</v>
      </c>
      <c r="DI1016">
        <v>4943.26</v>
      </c>
    </row>
    <row r="1017" spans="2:113" x14ac:dyDescent="0.3">
      <c r="B1017" s="13" t="s">
        <v>514</v>
      </c>
      <c r="CZ1017">
        <v>3357.3100000000004</v>
      </c>
      <c r="DI1017">
        <v>3357.3100000000004</v>
      </c>
    </row>
    <row r="1018" spans="2:113" x14ac:dyDescent="0.3">
      <c r="B1018" s="13" t="s">
        <v>436</v>
      </c>
      <c r="BL1018">
        <v>2119.96</v>
      </c>
      <c r="DI1018">
        <v>2119.96</v>
      </c>
    </row>
    <row r="1019" spans="2:113" x14ac:dyDescent="0.3">
      <c r="B1019" s="13" t="s">
        <v>450</v>
      </c>
      <c r="CZ1019">
        <v>333.62</v>
      </c>
      <c r="DI1019">
        <v>333.62</v>
      </c>
    </row>
    <row r="1020" spans="2:113" x14ac:dyDescent="0.3">
      <c r="B1020" s="13" t="s">
        <v>674</v>
      </c>
      <c r="CZ1020">
        <v>162.76</v>
      </c>
      <c r="DI1020">
        <v>162.76</v>
      </c>
    </row>
    <row r="1021" spans="2:113" x14ac:dyDescent="0.3">
      <c r="B1021" s="13" t="s">
        <v>430</v>
      </c>
      <c r="X1021">
        <v>15464.65</v>
      </c>
      <c r="DI1021">
        <v>15464.65</v>
      </c>
    </row>
    <row r="1022" spans="2:113" x14ac:dyDescent="0.3">
      <c r="B1022" s="13" t="s">
        <v>607</v>
      </c>
      <c r="CZ1022">
        <v>4057.62</v>
      </c>
      <c r="DI1022">
        <v>4057.62</v>
      </c>
    </row>
    <row r="1023" spans="2:113" x14ac:dyDescent="0.3">
      <c r="B1023" s="13" t="s">
        <v>482</v>
      </c>
      <c r="CZ1023">
        <v>1703.61</v>
      </c>
      <c r="DI1023">
        <v>1703.61</v>
      </c>
    </row>
    <row r="1024" spans="2:113" x14ac:dyDescent="0.3">
      <c r="B1024" s="13" t="s">
        <v>707</v>
      </c>
      <c r="CZ1024">
        <v>3492.0200000000004</v>
      </c>
      <c r="DI1024">
        <v>3492.0200000000004</v>
      </c>
    </row>
    <row r="1025" spans="2:113" x14ac:dyDescent="0.3">
      <c r="B1025" s="13" t="s">
        <v>209</v>
      </c>
      <c r="BP1025">
        <v>382.67</v>
      </c>
      <c r="DI1025">
        <v>382.67</v>
      </c>
    </row>
    <row r="1026" spans="2:113" x14ac:dyDescent="0.3">
      <c r="B1026" s="13" t="s">
        <v>651</v>
      </c>
      <c r="AZ1026">
        <v>220.23</v>
      </c>
      <c r="DI1026">
        <v>220.23</v>
      </c>
    </row>
    <row r="1027" spans="2:113" x14ac:dyDescent="0.3">
      <c r="B1027" s="13" t="s">
        <v>789</v>
      </c>
      <c r="BE1027">
        <v>257.61</v>
      </c>
      <c r="DI1027">
        <v>257.61</v>
      </c>
    </row>
    <row r="1028" spans="2:113" x14ac:dyDescent="0.3">
      <c r="B1028" s="13" t="s">
        <v>281</v>
      </c>
      <c r="F1028">
        <v>168.66</v>
      </c>
      <c r="DI1028">
        <v>168.66</v>
      </c>
    </row>
    <row r="1029" spans="2:113" x14ac:dyDescent="0.3">
      <c r="B1029" s="13" t="s">
        <v>471</v>
      </c>
      <c r="BX1029">
        <v>1120.1199999999999</v>
      </c>
      <c r="DI1029">
        <v>1120.1199999999999</v>
      </c>
    </row>
    <row r="1030" spans="2:113" x14ac:dyDescent="0.3">
      <c r="B1030" s="13" t="s">
        <v>447</v>
      </c>
      <c r="N1030">
        <v>1843.87</v>
      </c>
      <c r="DI1030">
        <v>1843.87</v>
      </c>
    </row>
    <row r="1031" spans="2:113" x14ac:dyDescent="0.3">
      <c r="B1031" s="13" t="s">
        <v>756</v>
      </c>
      <c r="CH1031">
        <v>140.97</v>
      </c>
      <c r="DI1031">
        <v>140.97</v>
      </c>
    </row>
    <row r="1032" spans="2:113" x14ac:dyDescent="0.3">
      <c r="B1032" s="13" t="s">
        <v>539</v>
      </c>
      <c r="CZ1032">
        <v>1691.32</v>
      </c>
      <c r="DI1032">
        <v>1691.32</v>
      </c>
    </row>
    <row r="1033" spans="2:113" x14ac:dyDescent="0.3">
      <c r="B1033" s="13" t="s">
        <v>314</v>
      </c>
      <c r="BJ1033">
        <v>3547.53</v>
      </c>
      <c r="CZ1033">
        <v>25284.55</v>
      </c>
      <c r="DI1033">
        <v>28832.079999999998</v>
      </c>
    </row>
    <row r="1034" spans="2:113" x14ac:dyDescent="0.3">
      <c r="B1034" s="13" t="s">
        <v>110</v>
      </c>
      <c r="CW1034">
        <v>802.58</v>
      </c>
      <c r="DI1034">
        <v>802.58</v>
      </c>
    </row>
    <row r="1035" spans="2:113" x14ac:dyDescent="0.3">
      <c r="B1035" s="13" t="s">
        <v>453</v>
      </c>
      <c r="H1035">
        <v>9.49</v>
      </c>
      <c r="DI1035">
        <v>9.49</v>
      </c>
    </row>
    <row r="1036" spans="2:113" x14ac:dyDescent="0.3">
      <c r="B1036" s="13" t="s">
        <v>427</v>
      </c>
      <c r="CZ1036">
        <v>4589.62</v>
      </c>
      <c r="DI1036">
        <v>4589.62</v>
      </c>
    </row>
    <row r="1037" spans="2:113" x14ac:dyDescent="0.3">
      <c r="B1037" s="13" t="s">
        <v>277</v>
      </c>
      <c r="DC1037">
        <v>457.78</v>
      </c>
      <c r="DI1037">
        <v>457.78</v>
      </c>
    </row>
    <row r="1038" spans="2:113" x14ac:dyDescent="0.3">
      <c r="B1038" s="13" t="s">
        <v>148</v>
      </c>
      <c r="Q1038">
        <v>2020.3303684879284</v>
      </c>
      <c r="DI1038">
        <v>2020.3303684879284</v>
      </c>
    </row>
    <row r="1039" spans="2:113" x14ac:dyDescent="0.3">
      <c r="B1039" s="13" t="s">
        <v>121</v>
      </c>
      <c r="DA1039">
        <v>151.99888182973316</v>
      </c>
      <c r="DI1039">
        <v>151.99888182973316</v>
      </c>
    </row>
    <row r="1040" spans="2:113" x14ac:dyDescent="0.3">
      <c r="B1040" s="13" t="s">
        <v>535</v>
      </c>
      <c r="CZ1040">
        <v>1447.6799999999998</v>
      </c>
      <c r="DI1040">
        <v>1447.6799999999998</v>
      </c>
    </row>
    <row r="1041" spans="2:113" x14ac:dyDescent="0.3">
      <c r="B1041" s="13" t="s">
        <v>27</v>
      </c>
      <c r="BN1041">
        <v>94.206685564985094</v>
      </c>
      <c r="DI1041">
        <v>94.206685564985094</v>
      </c>
    </row>
    <row r="1042" spans="2:113" x14ac:dyDescent="0.3">
      <c r="B1042" s="13" t="s">
        <v>775</v>
      </c>
      <c r="AI1042">
        <v>207.98</v>
      </c>
      <c r="DI1042">
        <v>207.98</v>
      </c>
    </row>
    <row r="1043" spans="2:113" x14ac:dyDescent="0.3">
      <c r="B1043" s="13" t="s">
        <v>794</v>
      </c>
      <c r="BS1043">
        <v>1904.18</v>
      </c>
      <c r="DI1043">
        <v>1904.18</v>
      </c>
    </row>
    <row r="1044" spans="2:113" x14ac:dyDescent="0.3">
      <c r="B1044" s="13" t="s">
        <v>657</v>
      </c>
      <c r="BS1044">
        <v>1561.87</v>
      </c>
      <c r="DI1044">
        <v>1561.87</v>
      </c>
    </row>
    <row r="1045" spans="2:113" x14ac:dyDescent="0.3">
      <c r="B1045" s="13" t="s">
        <v>79</v>
      </c>
      <c r="D1045">
        <v>652.92999999999995</v>
      </c>
      <c r="G1045">
        <v>2213.6400000000003</v>
      </c>
      <c r="K1045">
        <v>178.65</v>
      </c>
      <c r="O1045">
        <v>27820.239999999998</v>
      </c>
      <c r="R1045">
        <v>568.67000000000007</v>
      </c>
      <c r="U1045">
        <v>665.52</v>
      </c>
      <c r="V1045">
        <v>14090.939999999999</v>
      </c>
      <c r="AG1045">
        <v>1528.8</v>
      </c>
      <c r="AM1045">
        <v>252.94</v>
      </c>
      <c r="AY1045">
        <v>5563.43</v>
      </c>
      <c r="BA1045">
        <v>91611.01999999999</v>
      </c>
      <c r="BB1045">
        <v>121.48</v>
      </c>
      <c r="BH1045">
        <v>3136.36</v>
      </c>
      <c r="BL1045">
        <v>403.29</v>
      </c>
      <c r="BM1045">
        <v>436.46</v>
      </c>
      <c r="BV1045">
        <v>5479.45</v>
      </c>
      <c r="BY1045">
        <v>443.82</v>
      </c>
      <c r="BZ1045">
        <v>5325.3</v>
      </c>
      <c r="CB1045">
        <v>213.16</v>
      </c>
      <c r="CC1045">
        <v>102.08</v>
      </c>
      <c r="CJ1045">
        <v>1881.38</v>
      </c>
      <c r="CM1045">
        <v>315.52</v>
      </c>
      <c r="CV1045">
        <v>416.02</v>
      </c>
      <c r="CZ1045">
        <v>2631.04</v>
      </c>
      <c r="DI1045">
        <v>166052.13999999998</v>
      </c>
    </row>
    <row r="1046" spans="2:113" x14ac:dyDescent="0.3">
      <c r="B1046" s="13" t="s">
        <v>492</v>
      </c>
      <c r="CX1046">
        <v>725.16</v>
      </c>
      <c r="DI1046">
        <v>725.16</v>
      </c>
    </row>
    <row r="1047" spans="2:113" x14ac:dyDescent="0.3">
      <c r="B1047" s="13" t="s">
        <v>1381</v>
      </c>
      <c r="C1047">
        <v>54.94</v>
      </c>
      <c r="D1047">
        <v>652.92999999999995</v>
      </c>
      <c r="E1047">
        <v>3393.29</v>
      </c>
      <c r="F1047">
        <v>2109.14</v>
      </c>
      <c r="G1047">
        <v>2213.6400000000003</v>
      </c>
      <c r="H1047">
        <v>9.49</v>
      </c>
      <c r="I1047">
        <v>280.39999999999998</v>
      </c>
      <c r="J1047">
        <v>69.099999999999994</v>
      </c>
      <c r="K1047">
        <v>178.65</v>
      </c>
      <c r="L1047">
        <v>1334.29</v>
      </c>
      <c r="M1047">
        <v>1022.97</v>
      </c>
      <c r="N1047">
        <v>1843.87</v>
      </c>
      <c r="O1047">
        <v>28284.789999999997</v>
      </c>
      <c r="P1047">
        <v>16245.82</v>
      </c>
      <c r="Q1047">
        <v>2020.3303684879284</v>
      </c>
      <c r="R1047">
        <v>568.67000000000007</v>
      </c>
      <c r="S1047">
        <v>1903.471723205809</v>
      </c>
      <c r="T1047">
        <v>214.67</v>
      </c>
      <c r="U1047">
        <v>665.52</v>
      </c>
      <c r="V1047">
        <v>14090.939999999999</v>
      </c>
      <c r="W1047">
        <v>131.94999999999999</v>
      </c>
      <c r="X1047">
        <v>15464.65</v>
      </c>
      <c r="Y1047">
        <v>4056.0600000000004</v>
      </c>
      <c r="Z1047">
        <v>323.58999999999997</v>
      </c>
      <c r="AA1047">
        <v>334.83000000000004</v>
      </c>
      <c r="AB1047">
        <v>4608.6000000000004</v>
      </c>
      <c r="AC1047">
        <v>243.30900243309</v>
      </c>
      <c r="AD1047">
        <v>419.17</v>
      </c>
      <c r="AE1047">
        <v>130.83000000000001</v>
      </c>
      <c r="AF1047">
        <v>2074.4499999999998</v>
      </c>
      <c r="AG1047">
        <v>2474.4700000000003</v>
      </c>
      <c r="AH1047">
        <v>27978.799999999999</v>
      </c>
      <c r="AI1047">
        <v>207.98</v>
      </c>
      <c r="AJ1047">
        <v>165.18424396442191</v>
      </c>
      <c r="AK1047">
        <v>1347.5130492000001</v>
      </c>
      <c r="AL1047">
        <v>667.15</v>
      </c>
      <c r="AM1047">
        <v>252.94</v>
      </c>
      <c r="AN1047">
        <v>10040.049999999999</v>
      </c>
      <c r="AO1047">
        <v>47.69</v>
      </c>
      <c r="AP1047">
        <v>437.90999999999997</v>
      </c>
      <c r="AQ1047">
        <v>1065.82</v>
      </c>
      <c r="AR1047">
        <v>34643.841313141762</v>
      </c>
      <c r="AS1047">
        <v>1672.42</v>
      </c>
      <c r="AT1047">
        <v>978.79</v>
      </c>
      <c r="AU1047">
        <v>1064.0700000000002</v>
      </c>
      <c r="AV1047">
        <v>426.09</v>
      </c>
      <c r="AW1047">
        <v>132.71</v>
      </c>
      <c r="AX1047">
        <v>62.6</v>
      </c>
      <c r="AY1047">
        <v>5563.43</v>
      </c>
      <c r="AZ1047">
        <v>220.23</v>
      </c>
      <c r="BA1047">
        <v>91611.01999999999</v>
      </c>
      <c r="BB1047">
        <v>121.48</v>
      </c>
      <c r="BC1047">
        <v>553.99085158150842</v>
      </c>
      <c r="BD1047">
        <v>96.61648030495553</v>
      </c>
      <c r="BE1047">
        <v>1780.5100000000002</v>
      </c>
      <c r="BF1047">
        <v>52.14</v>
      </c>
      <c r="BG1047">
        <v>1202.8699999999999</v>
      </c>
      <c r="BH1047">
        <v>3530.1000000000004</v>
      </c>
      <c r="BI1047">
        <v>262.67</v>
      </c>
      <c r="BJ1047">
        <v>36887.99</v>
      </c>
      <c r="BK1047">
        <v>0.53</v>
      </c>
      <c r="BL1047">
        <v>2523.25</v>
      </c>
      <c r="BM1047">
        <v>436.46</v>
      </c>
      <c r="BN1047">
        <v>94.206685564985094</v>
      </c>
      <c r="BO1047">
        <v>357.01</v>
      </c>
      <c r="BP1047">
        <v>382.67</v>
      </c>
      <c r="BQ1047">
        <v>738.08</v>
      </c>
      <c r="BR1047">
        <v>95.6</v>
      </c>
      <c r="BS1047">
        <v>7466.17</v>
      </c>
      <c r="BT1047">
        <v>55573.125129417407</v>
      </c>
      <c r="BU1047">
        <v>1374.68</v>
      </c>
      <c r="BV1047">
        <v>5479.45</v>
      </c>
      <c r="BW1047">
        <v>390.63</v>
      </c>
      <c r="BX1047">
        <v>1120.1199999999999</v>
      </c>
      <c r="BY1047">
        <v>443.82</v>
      </c>
      <c r="BZ1047">
        <v>5325.3</v>
      </c>
      <c r="CA1047">
        <v>18637.650000000001</v>
      </c>
      <c r="CB1047">
        <v>213.16</v>
      </c>
      <c r="CC1047">
        <v>102.08</v>
      </c>
      <c r="CD1047">
        <v>3233.7400000000002</v>
      </c>
      <c r="CE1047">
        <v>188.91</v>
      </c>
      <c r="CF1047">
        <v>2893.298737704918</v>
      </c>
      <c r="CG1047">
        <v>155.74</v>
      </c>
      <c r="CH1047">
        <v>140.97</v>
      </c>
      <c r="CI1047">
        <v>297</v>
      </c>
      <c r="CJ1047">
        <v>2107.265362134689</v>
      </c>
      <c r="CK1047">
        <v>60.35</v>
      </c>
      <c r="CL1047">
        <v>15102.07</v>
      </c>
      <c r="CM1047">
        <v>315.52</v>
      </c>
      <c r="CN1047">
        <v>2890.29</v>
      </c>
      <c r="CO1047">
        <v>22305.37</v>
      </c>
      <c r="CP1047">
        <v>564.76</v>
      </c>
      <c r="CQ1047">
        <v>3292.5736470810284</v>
      </c>
      <c r="CR1047">
        <v>6442.3099999999995</v>
      </c>
      <c r="CS1047">
        <v>165.29</v>
      </c>
      <c r="CT1047">
        <v>893.76</v>
      </c>
      <c r="CU1047">
        <v>0</v>
      </c>
      <c r="CV1047">
        <v>843.23</v>
      </c>
      <c r="CW1047">
        <v>898.42000000000007</v>
      </c>
      <c r="CX1047">
        <v>725.16</v>
      </c>
      <c r="CY1047">
        <v>199.77</v>
      </c>
      <c r="CZ1047">
        <v>275697.72999999992</v>
      </c>
      <c r="DA1047">
        <v>151.99888182973316</v>
      </c>
      <c r="DB1047">
        <v>2010.03</v>
      </c>
      <c r="DC1047">
        <v>457.78</v>
      </c>
      <c r="DD1047">
        <v>3692.7000000000003</v>
      </c>
      <c r="DE1047">
        <v>212.39093286219079</v>
      </c>
      <c r="DF1047">
        <v>1613.69</v>
      </c>
      <c r="DG1047">
        <v>450.04</v>
      </c>
      <c r="DH1047">
        <v>111.5</v>
      </c>
      <c r="DI1047">
        <v>779361.08640891465</v>
      </c>
    </row>
    <row r="1049" spans="2:113" x14ac:dyDescent="0.3">
      <c r="C1049" s="14" t="s">
        <v>1429</v>
      </c>
    </row>
    <row r="1050" spans="2:113" x14ac:dyDescent="0.3">
      <c r="B1050" s="44" t="s">
        <v>1430</v>
      </c>
      <c r="C1050" s="44" t="s">
        <v>1431</v>
      </c>
      <c r="D1050" s="44" t="s">
        <v>1432</v>
      </c>
      <c r="E1050" s="44" t="s">
        <v>1386</v>
      </c>
      <c r="F1050" s="43" t="s">
        <v>1433</v>
      </c>
      <c r="G1050" s="43" t="s">
        <v>1434</v>
      </c>
    </row>
    <row r="1051" spans="2:113" x14ac:dyDescent="0.3">
      <c r="B1051" s="45">
        <v>1</v>
      </c>
      <c r="C1051" s="46" t="str" cm="1">
        <f t="array" ref="C1051">INDEX($B$885:$B$1046,$F1051)</f>
        <v>Z To Order and NA</v>
      </c>
      <c r="D1051" s="46" t="str" cm="1">
        <f t="array" ref="D1051">INDEX($C$884:$DH$884,$G1051)</f>
        <v>Jalaram Agriexports Pvt Ltd</v>
      </c>
      <c r="E1051" s="49">
        <f>LARGE($C$885:$DH$1046,$B1051)</f>
        <v>91611.01999999999</v>
      </c>
      <c r="F1051" s="43" cm="1">
        <f t="array" ref="F1051">MATCH(TRUE,MMULT(--($C$885:$DH$1046=$E1051),TRANSPOSE(COLUMN($C$885:$DH$1046)^0))&gt;0,0)</f>
        <v>161</v>
      </c>
      <c r="G1051" s="43">
        <f>MATCH($E1051,INDEX($C$885:$DH$1046,$F1051,0),0)</f>
        <v>51</v>
      </c>
    </row>
    <row r="1052" spans="2:113" x14ac:dyDescent="0.3">
      <c r="B1052" s="45">
        <v>2</v>
      </c>
      <c r="C1052" s="46" t="str" cm="1">
        <f t="array" ref="C1052">INDEX($B$885:$B$1046,$F1052)</f>
        <v>Gandhi Oriental Foods Ltd.</v>
      </c>
      <c r="D1052" s="46" t="str" cm="1">
        <f t="array" ref="D1052">INDEX($C$884:$DH$884,$G1052)</f>
        <v>Mohini Fine Foods Pvt Ltd</v>
      </c>
      <c r="E1052" s="49">
        <f>LARGE($C$885:$DH$1046,$B1052)</f>
        <v>44789.198512399998</v>
      </c>
      <c r="F1052" s="43" cm="1">
        <f t="array" ref="F1052">MATCH(TRUE,MMULT(--($C$885:$DH$1046=$E1052),TRANSPOSE(COLUMN($C$885:$DH$1046)^0))&gt;0,0)</f>
        <v>43</v>
      </c>
      <c r="G1052" s="43">
        <f>MATCH($E1052,INDEX($C$885:$DH$1046,$F1052,0),0)</f>
        <v>70</v>
      </c>
    </row>
    <row r="1053" spans="2:113" x14ac:dyDescent="0.3">
      <c r="B1053" s="45">
        <v>3</v>
      </c>
      <c r="C1053" s="46" t="str" cm="1">
        <f t="array" ref="C1053">INDEX($B$885:$B$1046,$F1053)</f>
        <v>OMEGA TRADERS</v>
      </c>
      <c r="D1053" s="46" t="str" cm="1">
        <f t="array" ref="D1053">INDEX($C$884:$DH$884,$G1053)</f>
        <v>Greens Pulses Spices</v>
      </c>
      <c r="E1053" s="49">
        <f>LARGE($C$885:$DH$1046,$B1053)</f>
        <v>34643.841313141762</v>
      </c>
      <c r="F1053" s="43" cm="1">
        <f t="array" ref="F1053">MATCH(TRUE,MMULT(--($C$885:$DH$1046=$E1053),TRANSPOSE(COLUMN($C$885:$DH$1046)^0))&gt;0,0)</f>
        <v>108</v>
      </c>
      <c r="G1053" s="43">
        <f>MATCH($E1053,INDEX($C$885:$DH$1046,$F1053,0),0)</f>
        <v>42</v>
      </c>
    </row>
    <row r="1054" spans="2:113" x14ac:dyDescent="0.3">
      <c r="B1054" s="45">
        <v>4</v>
      </c>
      <c r="C1054" s="46" t="str" cm="1">
        <f t="array" ref="C1054">INDEX($B$885:$B$1046,$F1054)</f>
        <v>BS TRIX Pvt Ltd</v>
      </c>
      <c r="D1054" s="46" t="str" cm="1">
        <f t="array" ref="D1054">INDEX($C$884:$DH$884,$G1054)</f>
        <v>STARAGRO CROP</v>
      </c>
      <c r="E1054" s="49">
        <f>LARGE($C$885:$DH$1046,$B1054)</f>
        <v>29944.57</v>
      </c>
      <c r="F1054" s="43" cm="1">
        <f t="array" ref="F1054">MATCH(TRUE,MMULT(--($C$885:$DH$1046=$E1054),TRANSPOSE(COLUMN($C$885:$DH$1046)^0))&gt;0,0)</f>
        <v>27</v>
      </c>
      <c r="G1054" s="43">
        <f>MATCH($E1054,INDEX($C$885:$DH$1046,$F1054,0),0)</f>
        <v>102</v>
      </c>
    </row>
    <row r="1055" spans="2:113" x14ac:dyDescent="0.3">
      <c r="B1055" s="47">
        <v>5</v>
      </c>
      <c r="C1055" s="48" t="str" cm="1">
        <f t="array" ref="C1055">INDEX($B$885:$B$1046,$F1055)</f>
        <v>Z To Order and NA</v>
      </c>
      <c r="D1055" s="48" t="str" cm="1">
        <f t="array" ref="D1055">INDEX($C$884:$DH$884,$G1055)</f>
        <v>Ashraf Exports</v>
      </c>
      <c r="E1055" s="50">
        <f>LARGE($C$885:$DH$1046,$B1055)</f>
        <v>27820.239999999998</v>
      </c>
      <c r="F1055" s="43" cm="1">
        <f t="array" ref="F1055">MATCH(TRUE,MMULT(--($C$885:$DH$1046=$E1055),TRANSPOSE(COLUMN($C$885:$DH$1046)^0))&gt;0,0)</f>
        <v>161</v>
      </c>
      <c r="G1055" s="43">
        <f>MATCH($E1055,INDEX($C$885:$DH$1046,$F1055,0),0)</f>
        <v>13</v>
      </c>
    </row>
    <row r="1059" spans="1:6" x14ac:dyDescent="0.3">
      <c r="C1059" t="s">
        <v>1417</v>
      </c>
    </row>
    <row r="1062" spans="1:6" x14ac:dyDescent="0.3">
      <c r="A1062" t="s">
        <v>1418</v>
      </c>
      <c r="C1062" s="14" t="s">
        <v>1419</v>
      </c>
    </row>
    <row r="1064" spans="1:6" x14ac:dyDescent="0.3">
      <c r="B1064" s="12" t="s">
        <v>1428</v>
      </c>
      <c r="C1064" t="s">
        <v>1395</v>
      </c>
    </row>
    <row r="1065" spans="1:6" x14ac:dyDescent="0.3">
      <c r="B1065" s="13" t="s">
        <v>726</v>
      </c>
      <c r="C1065">
        <v>28.104444444444439</v>
      </c>
    </row>
    <row r="1066" spans="1:6" x14ac:dyDescent="0.3">
      <c r="B1066" s="13" t="s">
        <v>509</v>
      </c>
      <c r="C1066">
        <v>16.146153846153851</v>
      </c>
      <c r="E1066" t="s">
        <v>1420</v>
      </c>
    </row>
    <row r="1067" spans="1:6" x14ac:dyDescent="0.3">
      <c r="B1067" s="13" t="s">
        <v>162</v>
      </c>
      <c r="C1067">
        <v>9.9464709975669088</v>
      </c>
    </row>
    <row r="1068" spans="1:6" x14ac:dyDescent="0.3">
      <c r="B1068" s="13" t="s">
        <v>544</v>
      </c>
      <c r="C1068">
        <v>8.8755000000000006</v>
      </c>
      <c r="E1068" s="24" t="s">
        <v>1427</v>
      </c>
      <c r="F1068" s="24"/>
    </row>
    <row r="1069" spans="1:6" x14ac:dyDescent="0.3">
      <c r="B1069" s="13" t="s">
        <v>252</v>
      </c>
      <c r="C1069">
        <v>8.370448412698412</v>
      </c>
      <c r="E1069" s="27" t="s">
        <v>726</v>
      </c>
      <c r="F1069" s="28">
        <v>28.104444444444439</v>
      </c>
    </row>
    <row r="1070" spans="1:6" x14ac:dyDescent="0.3">
      <c r="B1070" s="13" t="s">
        <v>265</v>
      </c>
      <c r="C1070">
        <v>8.2325999999999997</v>
      </c>
      <c r="E1070" s="27" t="s">
        <v>509</v>
      </c>
      <c r="F1070" s="28">
        <v>16.146153846153851</v>
      </c>
    </row>
    <row r="1071" spans="1:6" x14ac:dyDescent="0.3">
      <c r="B1071" s="13" t="s">
        <v>228</v>
      </c>
      <c r="C1071">
        <v>8.0559103942652346</v>
      </c>
      <c r="E1071" s="27" t="s">
        <v>162</v>
      </c>
      <c r="F1071" s="28">
        <v>9.9464709975669088</v>
      </c>
    </row>
    <row r="1072" spans="1:6" x14ac:dyDescent="0.3">
      <c r="B1072" s="13" t="s">
        <v>285</v>
      </c>
      <c r="C1072">
        <v>7.8386458333333335</v>
      </c>
      <c r="E1072" s="27" t="s">
        <v>544</v>
      </c>
      <c r="F1072" s="28">
        <v>8.8755000000000006</v>
      </c>
    </row>
    <row r="1073" spans="2:6" x14ac:dyDescent="0.3">
      <c r="B1073" s="13" t="s">
        <v>157</v>
      </c>
      <c r="C1073">
        <v>7.7848893174804861</v>
      </c>
      <c r="E1073" s="27" t="s">
        <v>252</v>
      </c>
      <c r="F1073" s="28">
        <v>8.370448412698412</v>
      </c>
    </row>
    <row r="1074" spans="2:6" x14ac:dyDescent="0.3">
      <c r="B1074" s="13" t="s">
        <v>112</v>
      </c>
      <c r="C1074">
        <v>6.8654861065206996</v>
      </c>
      <c r="E1074" s="27" t="s">
        <v>265</v>
      </c>
      <c r="F1074" s="28">
        <v>8.2325999999999997</v>
      </c>
    </row>
    <row r="1075" spans="2:6" x14ac:dyDescent="0.3">
      <c r="B1075" s="13" t="s">
        <v>67</v>
      </c>
      <c r="C1075">
        <v>6.8546837244889627</v>
      </c>
    </row>
    <row r="1076" spans="2:6" x14ac:dyDescent="0.3">
      <c r="B1076" s="13" t="s">
        <v>104</v>
      </c>
      <c r="C1076">
        <v>6.8009801309234161</v>
      </c>
    </row>
    <row r="1077" spans="2:6" x14ac:dyDescent="0.3">
      <c r="B1077" s="13" t="s">
        <v>236</v>
      </c>
      <c r="C1077">
        <v>6.639475</v>
      </c>
    </row>
    <row r="1078" spans="2:6" x14ac:dyDescent="0.3">
      <c r="B1078" s="13" t="s">
        <v>30</v>
      </c>
      <c r="C1078">
        <v>6.638945454463304</v>
      </c>
    </row>
    <row r="1079" spans="2:6" x14ac:dyDescent="0.3">
      <c r="B1079" s="13" t="s">
        <v>190</v>
      </c>
      <c r="C1079">
        <v>6.5040276353276356</v>
      </c>
    </row>
    <row r="1080" spans="2:6" x14ac:dyDescent="0.3">
      <c r="B1080" s="13" t="s">
        <v>659</v>
      </c>
      <c r="C1080">
        <v>6.2973733333333328</v>
      </c>
    </row>
    <row r="1081" spans="2:6" x14ac:dyDescent="0.3">
      <c r="B1081" s="13" t="s">
        <v>211</v>
      </c>
      <c r="C1081">
        <v>5.7052660256410253</v>
      </c>
    </row>
    <row r="1082" spans="2:6" x14ac:dyDescent="0.3">
      <c r="B1082" s="13" t="s">
        <v>343</v>
      </c>
      <c r="C1082">
        <v>5.6559824999999986</v>
      </c>
    </row>
    <row r="1083" spans="2:6" x14ac:dyDescent="0.3">
      <c r="B1083" s="13" t="s">
        <v>88</v>
      </c>
      <c r="C1083">
        <v>5.5124180957226194</v>
      </c>
    </row>
    <row r="1084" spans="2:6" x14ac:dyDescent="0.3">
      <c r="B1084" s="13" t="s">
        <v>50</v>
      </c>
      <c r="C1084">
        <v>5.4899594948872421</v>
      </c>
    </row>
    <row r="1085" spans="2:6" x14ac:dyDescent="0.3">
      <c r="B1085" s="13" t="s">
        <v>400</v>
      </c>
      <c r="C1085">
        <v>5.4761111111111118</v>
      </c>
    </row>
    <row r="1086" spans="2:6" x14ac:dyDescent="0.3">
      <c r="B1086" s="13" t="s">
        <v>335</v>
      </c>
      <c r="C1086">
        <v>5.3429765555555555</v>
      </c>
    </row>
    <row r="1087" spans="2:6" x14ac:dyDescent="0.3">
      <c r="B1087" s="13" t="s">
        <v>497</v>
      </c>
      <c r="C1087">
        <v>5.3410000000000002</v>
      </c>
    </row>
    <row r="1088" spans="2:6" x14ac:dyDescent="0.3">
      <c r="B1088" s="13" t="s">
        <v>150</v>
      </c>
      <c r="C1088">
        <v>5.1657161914174115</v>
      </c>
    </row>
    <row r="1089" spans="2:3" x14ac:dyDescent="0.3">
      <c r="B1089" s="13" t="s">
        <v>443</v>
      </c>
      <c r="C1089">
        <v>4.9843299999999999</v>
      </c>
    </row>
    <row r="1090" spans="2:3" x14ac:dyDescent="0.3">
      <c r="B1090" s="13" t="s">
        <v>136</v>
      </c>
      <c r="C1090">
        <v>4.8430267488705123</v>
      </c>
    </row>
    <row r="1091" spans="2:3" x14ac:dyDescent="0.3">
      <c r="B1091" s="13" t="s">
        <v>81</v>
      </c>
      <c r="C1091">
        <v>4.7419059803921568</v>
      </c>
    </row>
    <row r="1092" spans="2:3" x14ac:dyDescent="0.3">
      <c r="B1092" s="13" t="s">
        <v>653</v>
      </c>
      <c r="C1092">
        <v>4.4045999999999994</v>
      </c>
    </row>
    <row r="1093" spans="2:3" x14ac:dyDescent="0.3">
      <c r="B1093" s="13" t="s">
        <v>129</v>
      </c>
      <c r="C1093">
        <v>4.3974774999999999</v>
      </c>
    </row>
    <row r="1094" spans="2:3" x14ac:dyDescent="0.3">
      <c r="B1094" s="13" t="s">
        <v>41</v>
      </c>
      <c r="C1094">
        <v>4.3790235477772521</v>
      </c>
    </row>
    <row r="1095" spans="2:3" x14ac:dyDescent="0.3">
      <c r="B1095" s="13" t="s">
        <v>316</v>
      </c>
      <c r="C1095">
        <v>4.211432568251027</v>
      </c>
    </row>
    <row r="1096" spans="2:3" x14ac:dyDescent="0.3">
      <c r="B1096" s="13" t="s">
        <v>572</v>
      </c>
      <c r="C1096">
        <v>4.082958333333333</v>
      </c>
    </row>
    <row r="1097" spans="2:3" x14ac:dyDescent="0.3">
      <c r="B1097" s="13" t="s">
        <v>123</v>
      </c>
      <c r="C1097">
        <v>3.7072898007251993</v>
      </c>
    </row>
    <row r="1098" spans="2:3" x14ac:dyDescent="0.3">
      <c r="B1098" s="13" t="s">
        <v>617</v>
      </c>
      <c r="C1098">
        <v>3.5013613333333335</v>
      </c>
    </row>
    <row r="1099" spans="2:3" x14ac:dyDescent="0.3">
      <c r="B1099" s="13" t="s">
        <v>58</v>
      </c>
      <c r="C1099">
        <v>2.7498010495009679</v>
      </c>
    </row>
    <row r="1100" spans="2:3" x14ac:dyDescent="0.3">
      <c r="B1100" s="13" t="s">
        <v>370</v>
      </c>
      <c r="C1100">
        <v>1.3936833333333329</v>
      </c>
    </row>
    <row r="1101" spans="2:3" x14ac:dyDescent="0.3">
      <c r="B1101" s="13" t="s">
        <v>1381</v>
      </c>
      <c r="C1101">
        <v>5.2397336611194758</v>
      </c>
    </row>
    <row r="1105" spans="1:7" x14ac:dyDescent="0.3">
      <c r="A1105" t="s">
        <v>1421</v>
      </c>
      <c r="C1105" s="14" t="s">
        <v>1422</v>
      </c>
    </row>
    <row r="1107" spans="1:7" x14ac:dyDescent="0.3">
      <c r="B1107" s="12" t="s">
        <v>1386</v>
      </c>
      <c r="C1107" s="12" t="s">
        <v>1414</v>
      </c>
    </row>
    <row r="1108" spans="1:7" x14ac:dyDescent="0.3">
      <c r="B1108" s="12" t="s">
        <v>1380</v>
      </c>
      <c r="C1108" t="s">
        <v>1382</v>
      </c>
      <c r="D1108" t="s">
        <v>1383</v>
      </c>
      <c r="E1108" t="s">
        <v>1384</v>
      </c>
      <c r="F1108" t="s">
        <v>1385</v>
      </c>
      <c r="G1108" t="s">
        <v>1381</v>
      </c>
    </row>
    <row r="1109" spans="1:7" x14ac:dyDescent="0.3">
      <c r="B1109" s="13" t="s">
        <v>370</v>
      </c>
      <c r="D1109">
        <v>1672.42</v>
      </c>
      <c r="G1109">
        <v>1672.42</v>
      </c>
    </row>
    <row r="1110" spans="1:7" x14ac:dyDescent="0.3">
      <c r="B1110" s="13" t="s">
        <v>228</v>
      </c>
      <c r="D1110">
        <v>1022.97</v>
      </c>
      <c r="F1110">
        <v>450.04</v>
      </c>
      <c r="G1110">
        <v>1473.01</v>
      </c>
    </row>
    <row r="1111" spans="1:7" x14ac:dyDescent="0.3">
      <c r="B1111" s="13" t="s">
        <v>497</v>
      </c>
      <c r="E1111">
        <v>271.26</v>
      </c>
      <c r="F1111">
        <v>394.26</v>
      </c>
      <c r="G1111">
        <v>665.52</v>
      </c>
    </row>
    <row r="1112" spans="1:7" x14ac:dyDescent="0.3">
      <c r="B1112" s="13" t="s">
        <v>58</v>
      </c>
      <c r="C1112">
        <v>3250.9847724058091</v>
      </c>
      <c r="D1112">
        <v>357.01</v>
      </c>
      <c r="F1112">
        <v>18637.650000000001</v>
      </c>
      <c r="G1112">
        <v>22245.644772405809</v>
      </c>
    </row>
    <row r="1113" spans="1:7" x14ac:dyDescent="0.3">
      <c r="B1113" s="13" t="s">
        <v>136</v>
      </c>
      <c r="C1113">
        <v>12.70648030495553</v>
      </c>
      <c r="D1113">
        <v>79.97999999999999</v>
      </c>
      <c r="E1113">
        <v>620.01</v>
      </c>
      <c r="F1113">
        <v>3000.0699999999997</v>
      </c>
      <c r="G1113">
        <v>3712.7664803049552</v>
      </c>
    </row>
    <row r="1114" spans="1:7" x14ac:dyDescent="0.3">
      <c r="B1114" s="13" t="s">
        <v>88</v>
      </c>
      <c r="C1114">
        <v>132.71</v>
      </c>
      <c r="D1114">
        <v>652.92999999999995</v>
      </c>
      <c r="E1114">
        <v>147.69</v>
      </c>
      <c r="F1114">
        <v>979.07999999999993</v>
      </c>
      <c r="G1114">
        <v>1912.4099999999999</v>
      </c>
    </row>
    <row r="1115" spans="1:7" x14ac:dyDescent="0.3">
      <c r="B1115" s="13" t="s">
        <v>572</v>
      </c>
      <c r="E1115">
        <v>12083.3</v>
      </c>
      <c r="F1115">
        <v>4138.1499999999996</v>
      </c>
      <c r="G1115">
        <v>16221.449999999999</v>
      </c>
    </row>
    <row r="1116" spans="1:7" x14ac:dyDescent="0.3">
      <c r="B1116" s="34" t="s">
        <v>335</v>
      </c>
      <c r="C1116" s="35"/>
      <c r="D1116" s="35">
        <v>6855.19</v>
      </c>
      <c r="E1116" s="35">
        <v>33806.870000000003</v>
      </c>
      <c r="F1116" s="35">
        <v>27689.119999999999</v>
      </c>
      <c r="G1116" s="35">
        <v>68351.180000000008</v>
      </c>
    </row>
    <row r="1117" spans="1:7" x14ac:dyDescent="0.3">
      <c r="B1117" s="13" t="s">
        <v>285</v>
      </c>
      <c r="D1117">
        <v>2257.5299999999997</v>
      </c>
      <c r="G1117">
        <v>2257.5299999999997</v>
      </c>
    </row>
    <row r="1118" spans="1:7" x14ac:dyDescent="0.3">
      <c r="B1118" s="13" t="s">
        <v>400</v>
      </c>
      <c r="E1118">
        <v>343.13</v>
      </c>
      <c r="F1118">
        <v>903.98</v>
      </c>
      <c r="G1118">
        <v>1247.1100000000001</v>
      </c>
    </row>
    <row r="1119" spans="1:7" x14ac:dyDescent="0.3">
      <c r="B1119" s="13" t="s">
        <v>162</v>
      </c>
      <c r="C1119">
        <v>243.30900243309</v>
      </c>
      <c r="E1119">
        <v>176.81</v>
      </c>
      <c r="F1119">
        <v>347.62</v>
      </c>
      <c r="G1119">
        <v>767.73900243309004</v>
      </c>
    </row>
    <row r="1120" spans="1:7" x14ac:dyDescent="0.3">
      <c r="B1120" s="13" t="s">
        <v>509</v>
      </c>
      <c r="E1120">
        <v>188.91</v>
      </c>
      <c r="G1120">
        <v>188.91</v>
      </c>
    </row>
    <row r="1121" spans="2:7" x14ac:dyDescent="0.3">
      <c r="B1121" s="13" t="s">
        <v>123</v>
      </c>
      <c r="C1121">
        <v>151.99888182973316</v>
      </c>
      <c r="G1121">
        <v>151.99888182973316</v>
      </c>
    </row>
    <row r="1122" spans="2:7" x14ac:dyDescent="0.3">
      <c r="B1122" s="13" t="s">
        <v>617</v>
      </c>
      <c r="F1122">
        <v>14090.939999999999</v>
      </c>
      <c r="G1122">
        <v>14090.939999999999</v>
      </c>
    </row>
    <row r="1123" spans="2:7" x14ac:dyDescent="0.3">
      <c r="B1123" s="13" t="s">
        <v>190</v>
      </c>
      <c r="D1123">
        <v>501.91999999999996</v>
      </c>
      <c r="E1123">
        <v>2224.63</v>
      </c>
      <c r="F1123">
        <v>1359.62</v>
      </c>
      <c r="G1123">
        <v>4086.17</v>
      </c>
    </row>
    <row r="1124" spans="2:7" x14ac:dyDescent="0.3">
      <c r="B1124" s="13" t="s">
        <v>150</v>
      </c>
      <c r="C1124">
        <v>2020.3303684879284</v>
      </c>
      <c r="D1124">
        <v>216.12</v>
      </c>
      <c r="E1124">
        <v>204.67000000000002</v>
      </c>
      <c r="F1124">
        <v>3502.5299999999997</v>
      </c>
      <c r="G1124">
        <v>5943.6503684879281</v>
      </c>
    </row>
    <row r="1125" spans="2:7" x14ac:dyDescent="0.3">
      <c r="B1125" s="36" t="s">
        <v>81</v>
      </c>
      <c r="C1125" s="37">
        <v>345.74</v>
      </c>
      <c r="D1125" s="37">
        <v>7769.17</v>
      </c>
      <c r="E1125" s="37">
        <v>18241.579999999998</v>
      </c>
      <c r="F1125" s="37">
        <v>11764.49</v>
      </c>
      <c r="G1125" s="37">
        <v>38120.979999999996</v>
      </c>
    </row>
    <row r="1126" spans="2:7" x14ac:dyDescent="0.3">
      <c r="B1126" s="20" t="s">
        <v>316</v>
      </c>
      <c r="C1126" s="29"/>
      <c r="D1126" s="29">
        <v>42352.42</v>
      </c>
      <c r="E1126" s="29">
        <v>128762.43000000002</v>
      </c>
      <c r="F1126" s="29">
        <v>242260.53000000006</v>
      </c>
      <c r="G1126" s="29">
        <v>413375.38000000012</v>
      </c>
    </row>
    <row r="1127" spans="2:7" x14ac:dyDescent="0.3">
      <c r="B1127" s="13" t="s">
        <v>252</v>
      </c>
      <c r="D1127">
        <v>460.61</v>
      </c>
      <c r="F1127">
        <v>1281.98</v>
      </c>
      <c r="G1127">
        <v>1742.5900000000001</v>
      </c>
    </row>
    <row r="1128" spans="2:7" x14ac:dyDescent="0.3">
      <c r="B1128" s="13" t="s">
        <v>659</v>
      </c>
      <c r="F1128">
        <v>3466.05</v>
      </c>
      <c r="G1128">
        <v>3466.05</v>
      </c>
    </row>
    <row r="1129" spans="2:7" x14ac:dyDescent="0.3">
      <c r="B1129" s="13" t="s">
        <v>104</v>
      </c>
      <c r="C1129">
        <v>548.7808515815085</v>
      </c>
      <c r="D1129">
        <v>3984.49</v>
      </c>
      <c r="F1129">
        <v>1696.53</v>
      </c>
      <c r="G1129">
        <v>6229.8008515815081</v>
      </c>
    </row>
    <row r="1130" spans="2:7" x14ac:dyDescent="0.3">
      <c r="B1130" s="13" t="s">
        <v>265</v>
      </c>
      <c r="D1130">
        <v>743.31000000000006</v>
      </c>
      <c r="E1130">
        <v>820.76</v>
      </c>
      <c r="G1130">
        <v>1564.0700000000002</v>
      </c>
    </row>
    <row r="1131" spans="2:7" x14ac:dyDescent="0.3">
      <c r="B1131" s="13" t="s">
        <v>653</v>
      </c>
      <c r="F1131">
        <v>220.23</v>
      </c>
      <c r="G1131">
        <v>220.23</v>
      </c>
    </row>
    <row r="1132" spans="2:7" x14ac:dyDescent="0.3">
      <c r="B1132" s="13" t="s">
        <v>157</v>
      </c>
      <c r="C1132">
        <v>88.945362134688693</v>
      </c>
      <c r="D1132">
        <v>108.42</v>
      </c>
      <c r="E1132">
        <v>73.040000000000006</v>
      </c>
      <c r="F1132">
        <v>1617.0300000000002</v>
      </c>
      <c r="G1132">
        <v>1887.4353621346888</v>
      </c>
    </row>
    <row r="1133" spans="2:7" x14ac:dyDescent="0.3">
      <c r="B1133" s="13" t="s">
        <v>236</v>
      </c>
      <c r="D1133">
        <v>2010.03</v>
      </c>
      <c r="G1133">
        <v>2010.03</v>
      </c>
    </row>
    <row r="1134" spans="2:7" x14ac:dyDescent="0.3">
      <c r="B1134" s="13" t="s">
        <v>544</v>
      </c>
      <c r="E1134">
        <v>5325.3</v>
      </c>
      <c r="G1134">
        <v>5325.3</v>
      </c>
    </row>
    <row r="1135" spans="2:7" x14ac:dyDescent="0.3">
      <c r="B1135" s="13" t="s">
        <v>343</v>
      </c>
      <c r="D1135">
        <v>368.69</v>
      </c>
      <c r="E1135">
        <v>1147.46</v>
      </c>
      <c r="F1135">
        <v>4651.0199999999995</v>
      </c>
      <c r="G1135">
        <v>6167.17</v>
      </c>
    </row>
    <row r="1136" spans="2:7" x14ac:dyDescent="0.3">
      <c r="B1136" s="13" t="s">
        <v>726</v>
      </c>
      <c r="F1136">
        <v>252.94</v>
      </c>
      <c r="G1136">
        <v>252.94</v>
      </c>
    </row>
    <row r="1137" spans="2:7" x14ac:dyDescent="0.3">
      <c r="B1137" s="13" t="s">
        <v>67</v>
      </c>
      <c r="C1137">
        <v>646.92364708102832</v>
      </c>
      <c r="D1137">
        <v>850.02</v>
      </c>
      <c r="E1137">
        <v>4730.32</v>
      </c>
      <c r="F1137">
        <v>2664.9509328621907</v>
      </c>
      <c r="G1137">
        <v>8892.2145799432183</v>
      </c>
    </row>
    <row r="1138" spans="2:7" x14ac:dyDescent="0.3">
      <c r="B1138" s="13" t="s">
        <v>129</v>
      </c>
      <c r="C1138">
        <v>1840.81</v>
      </c>
      <c r="E1138">
        <v>462.48</v>
      </c>
      <c r="F1138">
        <v>3066.77</v>
      </c>
      <c r="G1138">
        <v>5370.0599999999995</v>
      </c>
    </row>
    <row r="1139" spans="2:7" x14ac:dyDescent="0.3">
      <c r="B1139" s="13" t="s">
        <v>443</v>
      </c>
      <c r="E1139">
        <v>5563.43</v>
      </c>
      <c r="G1139">
        <v>5563.43</v>
      </c>
    </row>
    <row r="1140" spans="2:7" x14ac:dyDescent="0.3">
      <c r="B1140" s="30" t="s">
        <v>41</v>
      </c>
      <c r="C1140" s="31">
        <v>6095.7513131417654</v>
      </c>
      <c r="D1140" s="31">
        <v>12806.050000000003</v>
      </c>
      <c r="E1140" s="31">
        <v>19296.989999999998</v>
      </c>
      <c r="F1140" s="31">
        <v>20460.84</v>
      </c>
      <c r="G1140" s="31">
        <v>58659.63131314177</v>
      </c>
    </row>
    <row r="1141" spans="2:7" x14ac:dyDescent="0.3">
      <c r="B1141" s="13" t="s">
        <v>211</v>
      </c>
      <c r="D1141">
        <v>514.62</v>
      </c>
      <c r="G1141">
        <v>514.62</v>
      </c>
    </row>
    <row r="1142" spans="2:7" x14ac:dyDescent="0.3">
      <c r="B1142" s="13" t="s">
        <v>30</v>
      </c>
      <c r="C1142">
        <v>94.206685564985094</v>
      </c>
      <c r="D1142">
        <v>1719.79</v>
      </c>
      <c r="E1142">
        <v>3884.56</v>
      </c>
      <c r="F1142">
        <v>132.30000000000001</v>
      </c>
      <c r="G1142">
        <v>5830.8566855649851</v>
      </c>
    </row>
    <row r="1143" spans="2:7" x14ac:dyDescent="0.3">
      <c r="B1143" s="32" t="s">
        <v>50</v>
      </c>
      <c r="C1143" s="33">
        <v>22575.435129417408</v>
      </c>
      <c r="D1143" s="33">
        <v>18160.95</v>
      </c>
      <c r="E1143" s="33">
        <v>8949.7900000000009</v>
      </c>
      <c r="F1143" s="33">
        <v>13963.980000000001</v>
      </c>
      <c r="G1143" s="33">
        <v>63650.155129417413</v>
      </c>
    </row>
    <row r="1144" spans="2:7" x14ac:dyDescent="0.3">
      <c r="B1144" s="13" t="s">
        <v>112</v>
      </c>
      <c r="C1144">
        <v>2581.4542439644219</v>
      </c>
      <c r="F1144">
        <v>2948.2387377049181</v>
      </c>
      <c r="G1144">
        <v>5529.69298166934</v>
      </c>
    </row>
    <row r="1145" spans="2:7" x14ac:dyDescent="0.3">
      <c r="B1145" s="13" t="s">
        <v>1381</v>
      </c>
      <c r="C1145">
        <v>40630.086738347323</v>
      </c>
      <c r="D1145">
        <v>105464.63999999998</v>
      </c>
      <c r="E1145">
        <v>247325.42000000004</v>
      </c>
      <c r="F1145">
        <v>385940.93967056723</v>
      </c>
      <c r="G1145">
        <v>779361.08640891477</v>
      </c>
    </row>
  </sheetData>
  <pageMargins left="0.7" right="0.7" top="0.75" bottom="0.75" header="0.3" footer="0.3"/>
  <pageSetup orientation="portrait" r:id="rId12"/>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Final Clean Data</vt:lpstr>
      <vt:lpstr>Excluded Rows</vt:lpstr>
      <vt:lpstr>Manual Review</vt:lpstr>
      <vt:lpstr>Potential Duplicates</vt:lpstr>
      <vt:lpstr>Cleaning Summary</vt:lpstr>
      <vt:lpstr>Analysis</vt:lpstr>
      <vt:lpstr>'Final Clean Data'!Criteria</vt:lpstr>
      <vt:lpstr>'Final Clean Data'!Extract</vt:lpstr>
      <vt:lpstr>PumpkinData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Kawatra</cp:lastModifiedBy>
  <dcterms:created xsi:type="dcterms:W3CDTF">2026-08-08T12:20:35Z</dcterms:created>
  <dcterms:modified xsi:type="dcterms:W3CDTF">2026-08-08T22:41:05Z</dcterms:modified>
</cp:coreProperties>
</file>