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ssumptions" sheetId="2" state="visible" r:id="rId2"/>
    <sheet xmlns:r="http://schemas.openxmlformats.org/officeDocument/2006/relationships" name="Case4_Summary" sheetId="3" state="visible" r:id="rId3"/>
    <sheet xmlns:r="http://schemas.openxmlformats.org/officeDocument/2006/relationships" name="Case4_BreakEven_Live" sheetId="4" state="visible" r:id="rId4"/>
    <sheet xmlns:r="http://schemas.openxmlformats.org/officeDocument/2006/relationships" name="T1" sheetId="5" state="visible" r:id="rId5"/>
    <sheet xmlns:r="http://schemas.openxmlformats.org/officeDocument/2006/relationships" name="T2" sheetId="6" state="visible" r:id="rId6"/>
    <sheet xmlns:r="http://schemas.openxmlformats.org/officeDocument/2006/relationships" name="T3" sheetId="7" state="visible" r:id="rId7"/>
    <sheet xmlns:r="http://schemas.openxmlformats.org/officeDocument/2006/relationships" name="T4" sheetId="8" state="visible" r:id="rId8"/>
    <sheet xmlns:r="http://schemas.openxmlformats.org/officeDocument/2006/relationships" name="T5" sheetId="9" state="visible" r:id="rId9"/>
    <sheet xmlns:r="http://schemas.openxmlformats.org/officeDocument/2006/relationships" name="T6" sheetId="10" state="visible" r:id="rId10"/>
    <sheet xmlns:r="http://schemas.openxmlformats.org/officeDocument/2006/relationships" name="T7" sheetId="11" state="visible" r:id="rId11"/>
    <sheet xmlns:r="http://schemas.openxmlformats.org/officeDocument/2006/relationships" name="T8" sheetId="12" state="visible" r:id="rId12"/>
    <sheet xmlns:r="http://schemas.openxmlformats.org/officeDocument/2006/relationships" name="T9" sheetId="13" state="visible" r:id="rId13"/>
    <sheet xmlns:r="http://schemas.openxmlformats.org/officeDocument/2006/relationships" name="T10" sheetId="14" state="visible" r:id="rId14"/>
    <sheet xmlns:r="http://schemas.openxmlformats.org/officeDocument/2006/relationships" name="T11" sheetId="15" state="visible" r:id="rId15"/>
    <sheet xmlns:r="http://schemas.openxmlformats.org/officeDocument/2006/relationships" name="T12" sheetId="16" state="visible" r:id="rId16"/>
    <sheet xmlns:r="http://schemas.openxmlformats.org/officeDocument/2006/relationships" name="T13" sheetId="17" state="visible" r:id="rId17"/>
    <sheet xmlns:r="http://schemas.openxmlformats.org/officeDocument/2006/relationships" name="T14" sheetId="18" state="visible" r:id="rId18"/>
    <sheet xmlns:r="http://schemas.openxmlformats.org/officeDocument/2006/relationships" name="T15" sheetId="19" state="visible" r:id="rId19"/>
    <sheet xmlns:r="http://schemas.openxmlformats.org/officeDocument/2006/relationships" name="T16" sheetId="20" state="visible" r:id="rId20"/>
    <sheet xmlns:r="http://schemas.openxmlformats.org/officeDocument/2006/relationships" name="T17" sheetId="21" state="visible" r:id="rId21"/>
    <sheet xmlns:r="http://schemas.openxmlformats.org/officeDocument/2006/relationships" name="T18" sheetId="22" state="visible" r:id="rId22"/>
    <sheet xmlns:r="http://schemas.openxmlformats.org/officeDocument/2006/relationships" name="T19" sheetId="23" state="visible" r:id="rId23"/>
    <sheet xmlns:r="http://schemas.openxmlformats.org/officeDocument/2006/relationships" name="T20" sheetId="24" state="visible" r:id="rId24"/>
    <sheet xmlns:r="http://schemas.openxmlformats.org/officeDocument/2006/relationships" name="Risks" sheetId="25" state="visible" r:id="rId25"/>
    <sheet xmlns:r="http://schemas.openxmlformats.org/officeDocument/2006/relationships" name="Checks" sheetId="26" state="visible" r:id="rId2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84898"/>
      <sz val="16"/>
    </font>
    <font>
      <b val="1"/>
      <color rgb="00111111"/>
    </font>
    <font>
      <b val="1"/>
    </font>
  </fonts>
  <fills count="4">
    <fill>
      <patternFill/>
    </fill>
    <fill>
      <patternFill patternType="gray125"/>
    </fill>
    <fill>
      <patternFill patternType="solid">
        <fgColor rgb="00DCE4F0"/>
      </patternFill>
    </fill>
    <fill>
      <patternFill patternType="solid">
        <fgColor rgb="00FFF4CC"/>
      </patternFill>
    </fill>
  </fills>
  <borders count="2">
    <border>
      <left/>
      <right/>
      <top/>
      <bottom/>
      <diagonal/>
    </border>
    <border>
      <left style="thin">
        <color rgb="009CA3AF"/>
      </left>
      <right style="thin">
        <color rgb="009CA3AF"/>
      </right>
      <top style="thin">
        <color rgb="009CA3AF"/>
      </top>
      <bottom style="thin">
        <color rgb="009CA3AF"/>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pivotButton="0" quotePrefix="0" xfId="0"/>
    <xf numFmtId="0" fontId="0" fillId="0" borderId="1" pivotButton="0" quotePrefix="0" xfId="0"/>
    <xf numFmtId="0" fontId="0" fillId="3" borderId="1" pivotButton="0" quotePrefix="0" xfId="0"/>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20" customWidth="1" min="1" max="1"/>
  </cols>
  <sheetData>
    <row r="1">
      <c r="A1" s="1" t="inlineStr">
        <is>
          <t>Eurogrip Case Study 4: model workbook</t>
        </is>
      </c>
    </row>
    <row r="3">
      <c r="A3" t="inlineStr">
        <is>
          <t>Team IdeaForge: Harsh Kawatra, Delhi Technological University.</t>
        </is>
      </c>
    </row>
    <row r="4">
      <c r="A4" t="inlineStr">
        <is>
          <t>Prepared for the Eurogrip x Unstop Collaboration, Case Study 4.</t>
        </is>
      </c>
    </row>
    <row r="5">
      <c r="A5" t="inlineStr">
        <is>
          <t>Single source of truth: eurogrip_model.py. Model hash b1125880f5, run 2026-10-18T12:05:39.</t>
        </is>
      </c>
    </row>
    <row r="6">
      <c r="A6" t="inlineStr">
        <is>
          <t>This workbook renders the model's outputs. One sheet, Case4_BreakEven_Live, rebuilds the break-even with live</t>
        </is>
      </c>
    </row>
    <row r="7">
      <c r="A7" t="inlineStr">
        <is>
          <t>Excel formulas from editable inputs (yellow cells) and checks itself against the Python result.</t>
        </is>
      </c>
    </row>
    <row r="8">
      <c r="A8" t="inlineStr"/>
    </row>
    <row r="9">
      <c r="A9" t="inlineStr">
        <is>
          <t>Sheet guide:</t>
        </is>
      </c>
    </row>
    <row r="10">
      <c r="A10" t="inlineStr">
        <is>
          <t>Assumptions: all 130 assumptions, bear, base and bull, with units, basis and source IDs.</t>
        </is>
      </c>
    </row>
    <row r="11">
      <c r="A11" t="inlineStr">
        <is>
          <t>Case4_Summary: the Case 4 headline outputs by scenario.</t>
        </is>
      </c>
    </row>
    <row r="12">
      <c r="A12" t="inlineStr">
        <is>
          <t>Case4_BreakEven_Live: change any yellow cell to see the break-even move.</t>
        </is>
      </c>
    </row>
    <row r="13">
      <c r="A13" t="inlineStr">
        <is>
          <t>T1 to T20: every model table (T1 to T12 Case 4, T13 to T15 Case 1, T16 and T17 Case 2, T18 to T20 Case 3).</t>
        </is>
      </c>
    </row>
    <row r="14">
      <c r="A14" t="inlineStr">
        <is>
          <t>Risks: the Case 4 risk register with probability, impact and control.</t>
        </is>
      </c>
    </row>
    <row r="15">
      <c r="A15" t="inlineStr">
        <is>
          <t>Checks: the model's own internal checks, all of which must read TRUE.</t>
        </is>
      </c>
    </row>
    <row r="16">
      <c r="A16" t="inlineStr"/>
    </row>
    <row r="17">
      <c r="A17" t="inlineStr">
        <is>
          <t>Bear is the value least favourable to the recommendation; bull the most favourable.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3"/>
  <sheetViews>
    <sheetView workbookViewId="0">
      <selection activeCell="A1" sqref="A1"/>
    </sheetView>
  </sheetViews>
  <sheetFormatPr baseColWidth="8" defaultRowHeight="15"/>
  <cols>
    <col width="9" customWidth="1" min="1" max="1"/>
    <col width="6" customWidth="1" min="2" max="2"/>
    <col width="58" customWidth="1" min="3" max="3"/>
    <col width="11" customWidth="1" min="4" max="4"/>
    <col width="11" customWidth="1" min="5" max="5"/>
    <col width="11" customWidth="1" min="6" max="6"/>
    <col width="14" customWidth="1" min="7" max="7"/>
    <col width="90" customWidth="1" min="8" max="8"/>
    <col width="22" customWidth="1" min="9" max="9"/>
  </cols>
  <sheetData>
    <row r="1">
      <c r="A1" s="1" t="inlineStr">
        <is>
          <t>Assumptions register (bear, base, bull)</t>
        </is>
      </c>
    </row>
    <row r="3">
      <c r="A3" s="2" t="inlineStr">
        <is>
          <t>ID</t>
        </is>
      </c>
      <c r="B3" s="2" t="inlineStr">
        <is>
          <t>Case</t>
        </is>
      </c>
      <c r="C3" s="2" t="inlineStr">
        <is>
          <t>Assumption</t>
        </is>
      </c>
      <c r="D3" s="2" t="inlineStr">
        <is>
          <t>Bear</t>
        </is>
      </c>
      <c r="E3" s="2" t="inlineStr">
        <is>
          <t>Base</t>
        </is>
      </c>
      <c r="F3" s="2" t="inlineStr">
        <is>
          <t>Bull</t>
        </is>
      </c>
      <c r="G3" s="2" t="inlineStr">
        <is>
          <t>Unit</t>
        </is>
      </c>
      <c r="H3" s="2" t="inlineStr">
        <is>
          <t>Basis</t>
        </is>
      </c>
      <c r="I3" s="2" t="inlineStr">
        <is>
          <t>Sources</t>
        </is>
      </c>
    </row>
    <row r="4">
      <c r="A4" s="3" t="inlineStr">
        <is>
          <t>A01</t>
        </is>
      </c>
      <c r="B4" s="3" t="inlineStr">
        <is>
          <t>c4</t>
        </is>
      </c>
      <c r="C4" s="3" t="inlineStr">
        <is>
          <t>Relevant BU revenue: domestic two- and three-wheeler replacement revenue, FY26</t>
        </is>
      </c>
      <c r="D4" s="3" t="n">
        <v>1240</v>
      </c>
      <c r="E4" s="3" t="n">
        <v>1350</v>
      </c>
      <c r="F4" s="3" t="n">
        <v>1460</v>
      </c>
      <c r="G4" s="3" t="inlineStr">
        <is>
          <t>Rs crore</t>
        </is>
      </c>
      <c r="H4" s="3" t="inlineStr">
        <is>
          <t>R-A RA12: FY26 consolidated revenue Rs3,643 crore. R-A RA95 (CRISIL Apr 2023 rationale, most recent primary split) gives OEM ~46-48%, aftermarket/replacement ~37%, exports 13-14%, implying aftermarket is roughly 34% to 40% across the two bracket readings; bear/base/bull = Rs3,643 cr x 34%/37%/40% as three defensible readings of the partial CRISIL statement, per PLAN.md section 5.3's A01 rule.</t>
        </is>
      </c>
      <c r="I4" s="3" t="inlineStr">
        <is>
          <t>RA12;RA95;RA96</t>
        </is>
      </c>
    </row>
    <row r="5">
      <c r="A5" s="3" t="inlineStr">
        <is>
          <t>A02</t>
        </is>
      </c>
      <c r="B5" s="3" t="inlineStr">
        <is>
          <t>c4</t>
        </is>
      </c>
      <c r="C5" s="3" t="inlineStr">
        <is>
          <t>Budget share of BU revenue</t>
        </is>
      </c>
      <c r="D5" s="3" t="n">
        <v>1.5</v>
      </c>
      <c r="E5" s="3" t="n">
        <v>1.75</v>
      </c>
      <c r="F5" s="3" t="n">
        <v>2</v>
      </c>
      <c r="G5" s="3" t="inlineStr">
        <is>
          <t>%</t>
        </is>
      </c>
      <c r="H5" s="3" t="inlineStr">
        <is>
          <t>Brief C4-B19 states the budget is 1.5% to 2% of the relevant business-unit revenue; cross-checked against CEAT's and Apollo's own disclosed advertisement and sales-promotion spend, both about 2.1% of revenue in their most recent reported year (R-B RB49, RB50), just above this band and corroborating it as industry-realistic.</t>
        </is>
      </c>
      <c r="I5" s="3" t="inlineStr">
        <is>
          <t>C4-B19;RB49;RB50</t>
        </is>
      </c>
    </row>
    <row r="6">
      <c r="A6" s="3" t="inlineStr">
        <is>
          <t>A05a</t>
        </is>
      </c>
      <c r="B6" s="3" t="inlineStr">
        <is>
          <t>c4</t>
        </is>
      </c>
      <c r="C6" s="3" t="inlineStr">
        <is>
          <t>Share of outlets: S-A stocking mechanic-retailers</t>
        </is>
      </c>
      <c r="D6" s="3" t="n">
        <v>0.25</v>
      </c>
      <c r="E6" s="3" t="n">
        <v>0.25</v>
      </c>
      <c r="F6" s="3" t="n">
        <v>0.25</v>
      </c>
      <c r="G6" s="3" t="inlineStr">
        <is>
          <t>share</t>
        </is>
      </c>
      <c r="H6" s="3" t="inlineStr">
        <is>
          <t>No source splits S-A/S-B/S-C (R-C Gaps: 'No MoSPI ASUSE or Economic Census table gives an establishment count at the NIC 4540 level with a stocking/service/puncture sub-split'). Reasoned split: S-A stocking retailers are sized as the smallest segment because carrying tyre stock requires working capital most NIC-45 service establishments do not have; stated plainly as an assumption per PLAN.md section 2.2.3.</t>
        </is>
      </c>
      <c r="I6" s="3" t="inlineStr">
        <is>
          <t>RC58;RC59;RC60</t>
        </is>
      </c>
    </row>
    <row r="7">
      <c r="A7" s="3" t="inlineStr">
        <is>
          <t>A05b</t>
        </is>
      </c>
      <c r="B7" s="3" t="inlineStr">
        <is>
          <t>c4</t>
        </is>
      </c>
      <c r="C7" s="3" t="inlineStr">
        <is>
          <t>Share of outlets: S-B service mechanics, non-stocking</t>
        </is>
      </c>
      <c r="D7" s="3" t="n">
        <v>0.4</v>
      </c>
      <c r="E7" s="3" t="n">
        <v>0.4</v>
      </c>
      <c r="F7" s="3" t="n">
        <v>0.4</v>
      </c>
      <c r="G7" s="3" t="inlineStr">
        <is>
          <t>share</t>
        </is>
      </c>
      <c r="H7" s="3" t="inlineStr">
        <is>
          <t>No source splits S-A/S-B/S-C (R-C Gaps, as A05a). Reasoned split: S-B is sized as the largest formally-registered service segment, sitting between the stocking minority (S-A) and the informal puncture-shop majority (S-C); stated as an assumption per PLAN.md section 2.2.3.</t>
        </is>
      </c>
      <c r="I7" s="3" t="inlineStr">
        <is>
          <t>RC58;RC59;RC60</t>
        </is>
      </c>
    </row>
    <row r="8">
      <c r="A8" s="3" t="inlineStr">
        <is>
          <t>A05c</t>
        </is>
      </c>
      <c r="B8" s="3" t="inlineStr">
        <is>
          <t>c4</t>
        </is>
      </c>
      <c r="C8" s="3" t="inlineStr">
        <is>
          <t>Share of outlets: S-C puncture and tyre-repair shops</t>
        </is>
      </c>
      <c r="D8" s="3" t="n">
        <v>0.35</v>
      </c>
      <c r="E8" s="3" t="n">
        <v>0.35</v>
      </c>
      <c r="F8" s="3" t="n">
        <v>0.35</v>
      </c>
      <c r="G8" s="3" t="inlineStr">
        <is>
          <t>share</t>
        </is>
      </c>
      <c r="H8" s="3" t="inlineStr">
        <is>
          <t>No source splits S-A/S-B/S-C (R-C Gaps, as A05a). Reasoned split: R-C's parc-based universe triangulation (RC58) captures many informal roadside puncture points that an enterprise survey (RC59) undercounts, so S-C is sized as a large near-majority share of the universe; stated as an assumption per PLAN.md section 2.2.3.</t>
        </is>
      </c>
      <c r="I8" s="3" t="inlineStr">
        <is>
          <t>RC58;RC59;RC60</t>
        </is>
      </c>
    </row>
    <row r="9">
      <c r="A9" s="3" t="inlineStr">
        <is>
          <t>A06</t>
        </is>
      </c>
      <c r="B9" s="3" t="inlineStr">
        <is>
          <t>c4</t>
        </is>
      </c>
      <c r="C9" s="3" t="inlineStr">
        <is>
          <t>Coverage cap: members divided by universe at steady state</t>
        </is>
      </c>
      <c r="D9" s="3" t="n">
        <v>0.1</v>
      </c>
      <c r="E9" s="3" t="n">
        <v>0.15</v>
      </c>
      <c r="F9" s="3" t="n">
        <v>0.25</v>
      </c>
      <c r="G9" s="3" t="inlineStr">
        <is>
          <t>share</t>
        </is>
      </c>
      <c r="H9" s="3" t="inlineStr">
        <is>
          <t>Benchmarked on Castrol India's Fast Scan platform, which enrolled over 1.5 lakh mechanics and retailers by its 2019 launch (R-C RC25, R-D RD01) against R-C's own triangulated mechanic/puncture-shop universe of about 8 to 12 lakh outlets (RC60); 1.5 lakh over that range is roughly 12% to 19%, so base is set at 15% (anchored near the 1.5-lakh-over-10-lakh midpoint), with bear/bull spanning a slower first-mover coverage and a stronger steady-state coverage.</t>
        </is>
      </c>
      <c r="I9" s="3" t="inlineStr">
        <is>
          <t>RC25;RC58;RC59;RC60;RD01</t>
        </is>
      </c>
    </row>
    <row r="10">
      <c r="A10" s="3" t="inlineStr">
        <is>
          <t>A07a</t>
        </is>
      </c>
      <c r="B10" s="3" t="inlineStr">
        <is>
          <t>c4</t>
        </is>
      </c>
      <c r="C10" s="3" t="inlineStr">
        <is>
          <t>Member mix at steady state: Tier 1</t>
        </is>
      </c>
      <c r="D10" s="3" t="n">
        <v>0.75</v>
      </c>
      <c r="E10" s="3" t="n">
        <v>0.75</v>
      </c>
      <c r="F10" s="3" t="n">
        <v>0.75</v>
      </c>
      <c r="G10" s="3" t="inlineStr">
        <is>
          <t>share</t>
        </is>
      </c>
      <c r="H10" s="3" t="inlineStr">
        <is>
          <t>Design decision, benchmarked on the tier pyramids observed across R-D's adjacent-category programmes (e.g. Castrol Super Mechanic Contest and Shell Mechanic Samriddhi both show a large base of registered/participating mechanics against a much smaller qualifying/rewarded tier, R-D RD05, RD17); no India mechanic-tyre programme discloses an exact tier split, so this pyramid shape is a reasoned design choice, not a sourced figure.</t>
        </is>
      </c>
      <c r="I10" s="3" t="inlineStr">
        <is>
          <t>RD05;RD17</t>
        </is>
      </c>
    </row>
    <row r="11">
      <c r="A11" s="3" t="inlineStr">
        <is>
          <t>A07b</t>
        </is>
      </c>
      <c r="B11" s="3" t="inlineStr">
        <is>
          <t>c4</t>
        </is>
      </c>
      <c r="C11" s="3" t="inlineStr">
        <is>
          <t>Member mix at steady state: Tier 2</t>
        </is>
      </c>
      <c r="D11" s="3" t="n">
        <v>0.2</v>
      </c>
      <c r="E11" s="3" t="n">
        <v>0.2</v>
      </c>
      <c r="F11" s="3" t="n">
        <v>0.2</v>
      </c>
      <c r="G11" s="3" t="inlineStr">
        <is>
          <t>share</t>
        </is>
      </c>
      <c r="H11" s="3" t="inlineStr">
        <is>
          <t>Design decision, same pyramid-shape reasoning as A07a (R-D RD05, RD17): the middle tier is set well below Tier 1 but well above Tier 3, consistent with every adjacent-category programme's qualifying-tier shape found in this lane.</t>
        </is>
      </c>
      <c r="I11" s="3" t="inlineStr">
        <is>
          <t>RD05;RD17</t>
        </is>
      </c>
    </row>
    <row r="12">
      <c r="A12" s="3" t="inlineStr">
        <is>
          <t>A07c</t>
        </is>
      </c>
      <c r="B12" s="3" t="inlineStr">
        <is>
          <t>c4</t>
        </is>
      </c>
      <c r="C12" s="3" t="inlineStr">
        <is>
          <t>Member mix at steady state: Tier 3</t>
        </is>
      </c>
      <c r="D12" s="3" t="n">
        <v>0.05</v>
      </c>
      <c r="E12" s="3" t="n">
        <v>0.05</v>
      </c>
      <c r="F12" s="3" t="n">
        <v>0.05</v>
      </c>
      <c r="G12" s="3" t="inlineStr">
        <is>
          <t>share</t>
        </is>
      </c>
      <c r="H12" s="3" t="inlineStr">
        <is>
          <t>Design decision, same pyramid-shape reasoning as A07a: Tier 3 (hub-level stocking and highest referral volume) is deliberately the smallest tier, consistent with every adjacent-category programme's top-tier shape found in R-D (RD05, RD17) being a small fraction of total participants.</t>
        </is>
      </c>
      <c r="I12" s="3" t="inlineStr">
        <is>
          <t>RD05;RD17</t>
        </is>
      </c>
    </row>
    <row r="13">
      <c r="A13" s="3" t="inlineStr">
        <is>
          <t>A08</t>
        </is>
      </c>
      <c r="B13" s="3" t="inlineStr">
        <is>
          <t>c4</t>
        </is>
      </c>
      <c r="C13" s="3" t="inlineStr">
        <is>
          <t>One-time tools per member, Tier 1 (Eurogrip's share)</t>
        </is>
      </c>
      <c r="D13" s="3" t="n">
        <v>300</v>
      </c>
      <c r="E13" s="3" t="n">
        <v>180</v>
      </c>
      <c r="F13" s="3" t="n">
        <v>100</v>
      </c>
      <c r="G13" s="3" t="inlineStr">
        <is>
          <t>Rs</t>
        </is>
      </c>
      <c r="H13" s="3" t="inlineStr">
        <is>
          <t>tool_costs.csv row 'Tubeless repair kit (wholesale/trade)': bulk/wholesale IndiaMART quotes for a plug-and-patch tubeless puncture-repair kit range Rs30 to Rs300 per piece/set across Delhi, Mumbai and Gandhinagar/Surat sellers (R-D RD54); base is set near the lower-middle of that trade range reflecting Eurogrip's own bulk order volume, bear at the top of the quoted range, bull near the bottom with a further scale discount.</t>
        </is>
      </c>
      <c r="I13" s="3" t="inlineStr">
        <is>
          <t>RD54</t>
        </is>
      </c>
    </row>
    <row r="14">
      <c r="A14" s="3" t="inlineStr">
        <is>
          <t>A09</t>
        </is>
      </c>
      <c r="B14" s="3" t="inlineStr">
        <is>
          <t>c4</t>
        </is>
      </c>
      <c r="C14" s="3" t="inlineStr">
        <is>
          <t>One-time tools per member, Tier 2 (Eurogrip's share)</t>
        </is>
      </c>
      <c r="D14" s="3" t="n">
        <v>3000</v>
      </c>
      <c r="E14" s="3" t="n">
        <v>2000</v>
      </c>
      <c r="F14" s="3" t="n">
        <v>1200</v>
      </c>
      <c r="G14" s="3" t="inlineStr">
        <is>
          <t>Rs</t>
        </is>
      </c>
      <c r="H14" s="3" t="inlineStr">
        <is>
          <t>Sum of tool_costs.csv items a Tier 2 member receives: digital tyre pressure gauge Rs499 to Rs1,500 (RD56), two-wheeler tyre levers Rs90 to Rs980 each (RD93), and a basic bundled hand-tool kit or bead-breaker function Rs120 to Rs2,000 depending on finish (RD94, RD95); base combines mid-range picks from each line, bear takes the top of each range, bull takes the bottom with a bulk discount.</t>
        </is>
      </c>
      <c r="I14" s="3" t="inlineStr">
        <is>
          <t>RD56;RD93;RD94;RD95</t>
        </is>
      </c>
    </row>
    <row r="15">
      <c r="A15" s="3" t="inlineStr">
        <is>
          <t>A10</t>
        </is>
      </c>
      <c r="B15" s="3" t="inlineStr">
        <is>
          <t>c4</t>
        </is>
      </c>
      <c r="C15" s="3" t="inlineStr">
        <is>
          <t>One-time tools per member, Tier 3 (Eurogrip's share, cost-shared)</t>
        </is>
      </c>
      <c r="D15" s="3" t="n">
        <v>11000</v>
      </c>
      <c r="E15" s="3" t="n">
        <v>9000</v>
      </c>
      <c r="F15" s="3" t="n">
        <v>7000</v>
      </c>
      <c r="G15" s="3" t="inlineStr">
        <is>
          <t>Rs</t>
        </is>
      </c>
      <c r="H15" s="3" t="inlineStr">
        <is>
          <t>Eurogrip's cost-shared contribution toward the Rs45,000 motorcycle/2W tyre changer machine (tool_costs.csv, R-D RD58, matching PLAN.md lead L11): a 20% base subsidy = Rs9,000; bear assumes a 25% subsidy (Rs11,250, rounded) if cost-sharing with hub members proves harder to negotiate, bull assumes a 15% subsidy (Rs6,750, rounded) if hubs absorb more of the cost themselves.</t>
        </is>
      </c>
      <c r="I15" s="3" t="inlineStr">
        <is>
          <t>RD58</t>
        </is>
      </c>
    </row>
    <row r="16">
      <c r="A16" s="3" t="inlineStr">
        <is>
          <t>A08v</t>
        </is>
      </c>
      <c r="B16" s="3" t="inlineStr">
        <is>
          <t>c4</t>
        </is>
      </c>
      <c r="C16" s="3" t="inlineStr">
        <is>
          <t>One-time visibility items per member, Tier 1</t>
        </is>
      </c>
      <c r="D16" s="3" t="n">
        <v>250</v>
      </c>
      <c r="E16" s="3" t="n">
        <v>150</v>
      </c>
      <c r="F16" s="3" t="n">
        <v>80</v>
      </c>
      <c r="G16" s="3" t="inlineStr">
        <is>
          <t>Rs</t>
        </is>
      </c>
      <c r="H16" s="3" t="inlineStr">
        <is>
          <t>A small printed flex shop board for Tier 1, sized about 3 to 6 sq ft, priced at the printed/frontlit flex printing-service rate of Rs10 to Rs40 per sq ft (visibility_costs.csv, R-D RD67) plus a trivial QR sticker (Rs1 to Rs10 per piece, RD75); base takes a 6 sq ft board at the lower printing rate, bear the higher rate, bull a smaller 3 sq ft board at the lowest rate.</t>
        </is>
      </c>
      <c r="I16" s="3" t="inlineStr">
        <is>
          <t>RD67;RD75</t>
        </is>
      </c>
    </row>
    <row r="17">
      <c r="A17" s="3" t="inlineStr">
        <is>
          <t>A09v</t>
        </is>
      </c>
      <c r="B17" s="3" t="inlineStr">
        <is>
          <t>c4</t>
        </is>
      </c>
      <c r="C17" s="3" t="inlineStr">
        <is>
          <t>One-time visibility items per member, Tier 2</t>
        </is>
      </c>
      <c r="D17" s="3" t="n">
        <v>2400</v>
      </c>
      <c r="E17" s="3" t="n">
        <v>2000</v>
      </c>
      <c r="F17" s="3" t="n">
        <v>1600</v>
      </c>
      <c r="G17" s="3" t="inlineStr">
        <is>
          <t>Rs</t>
        </is>
      </c>
      <c r="H17" s="3" t="inlineStr">
        <is>
          <t>A larger, plain/unlit ACP shop signboard for Tier 2, sized about 10 to 12 sq ft, priced at the IndiaMART-anchored Rs180 to Rs200 per sq ft basic ACP board rate (visibility_costs.csv, R-D RD68); base and bear use 12 sq ft at the lower and higher ends of that rate, bull uses 10 sq ft at the lower rate with a bulk-order discount.</t>
        </is>
      </c>
      <c r="I17" s="3" t="inlineStr">
        <is>
          <t>RD68</t>
        </is>
      </c>
    </row>
    <row r="18">
      <c r="A18" s="3" t="inlineStr">
        <is>
          <t>A10v</t>
        </is>
      </c>
      <c r="B18" s="3" t="inlineStr">
        <is>
          <t>c4</t>
        </is>
      </c>
      <c r="C18" s="3" t="inlineStr">
        <is>
          <t>One-time visibility items per member, Tier 3</t>
        </is>
      </c>
      <c r="D18" s="3" t="n">
        <v>14000</v>
      </c>
      <c r="E18" s="3" t="n">
        <v>8000</v>
      </c>
      <c r="F18" s="3" t="n">
        <v>4500</v>
      </c>
      <c r="G18" s="3" t="inlineStr">
        <is>
          <t>Rs</t>
        </is>
      </c>
      <c r="H18" s="3" t="inlineStr">
        <is>
          <t>A Tier 3 lit shop fascia (ACP/acrylic LED-letter or glow-sign board), sized about 20 sq ft, priced at the Rs190 to Rs800 per sq ft lit-signboard range (visibility_costs.csv, R-D RD69); base uses a mid-range Rs400/sq ft finish, bear the Rs700 to Rs800/sq ft premium acrylic-LED finish, bull the Rs190 to Rs225/sq ft glow-sign low end. The featured online listing itself carries no separate hardware cost and sits under the tech line (A19).</t>
        </is>
      </c>
      <c r="I18" s="3" t="inlineStr">
        <is>
          <t>RD69</t>
        </is>
      </c>
    </row>
    <row r="19">
      <c r="A19" s="3" t="inlineStr">
        <is>
          <t>A11</t>
        </is>
      </c>
      <c r="B19" s="3" t="inlineStr">
        <is>
          <t>c4</t>
        </is>
      </c>
      <c r="C19" s="3" t="inlineStr">
        <is>
          <t>Amortisation period for one-time items</t>
        </is>
      </c>
      <c r="D19" s="3" t="n">
        <v>3</v>
      </c>
      <c r="E19" s="3" t="n">
        <v>3</v>
      </c>
      <c r="F19" s="3" t="n">
        <v>3</v>
      </c>
      <c r="G19" s="3" t="inlineStr">
        <is>
          <t>years</t>
        </is>
      </c>
      <c r="H19" s="3" t="inlineStr">
        <is>
          <t>Accounting judgement: a 3-year amortisation period for one-time tools and visibility items matches the stated renewal cycle elsewhere in the design (tool upgrades, re-tiering every 6 months accumulating to a multi-year hardware life) and a typical useful life for hand tools and signage under normal shop use; no source needed for an internal accounting convention.</t>
        </is>
      </c>
      <c r="I19" s="3" t="inlineStr">
        <is>
          <t>n/a</t>
        </is>
      </c>
    </row>
    <row r="20">
      <c r="A20" s="3" t="inlineStr">
        <is>
          <t>A12a</t>
        </is>
      </c>
      <c r="B20" s="3" t="inlineStr">
        <is>
          <t>c4</t>
        </is>
      </c>
      <c r="C20" s="3" t="inlineStr">
        <is>
          <t>Consumables refill per quarter, Tier 1</t>
        </is>
      </c>
      <c r="D20" s="3" t="n">
        <v>0</v>
      </c>
      <c r="E20" s="3" t="n">
        <v>0</v>
      </c>
      <c r="F20" s="3" t="n">
        <v>0</v>
      </c>
      <c r="G20" s="3" t="inlineStr">
        <is>
          <t>Rs</t>
        </is>
      </c>
      <c r="H20" s="3" t="inlineStr">
        <is>
          <t>Tier 1 members receive a one-time starter kit only; the design places no recurring consumables line on Tier 1 because the brief's own rule is that any logged referral in 6 months (not a purchase) keeps a Tier 1 member active, so there is no refill mechanism to price for this tier; design decision.</t>
        </is>
      </c>
      <c r="I20" s="3" t="inlineStr">
        <is>
          <t>n/a</t>
        </is>
      </c>
    </row>
    <row r="21">
      <c r="A21" s="3" t="inlineStr">
        <is>
          <t>A12b</t>
        </is>
      </c>
      <c r="B21" s="3" t="inlineStr">
        <is>
          <t>c4</t>
        </is>
      </c>
      <c r="C21" s="3" t="inlineStr">
        <is>
          <t>Consumables refill per quarter, Tier 2</t>
        </is>
      </c>
      <c r="D21" s="3" t="n">
        <v>450</v>
      </c>
      <c r="E21" s="3" t="n">
        <v>300</v>
      </c>
      <c r="F21" s="3" t="n">
        <v>180</v>
      </c>
      <c r="G21" s="3" t="inlineStr">
        <is>
          <t>Rs</t>
        </is>
      </c>
      <c r="H21" s="3" t="inlineStr">
        <is>
          <t>A quarterly refill of plugs, patches and a rubber-solution bottle for Tier 2: a tube/tubeless patch kit (Rs90 to Rs300, tool_costs.csv RD65/RD54), a rubber-solution bottle (Rs160 to Rs250, RD64) and a handful of individual patches (Rs62 each, RD65); base combines a mid-range kit and one bottle, bear the higher-priced combination, bull the lower-priced combination with a bulk discount.</t>
        </is>
      </c>
      <c r="I21" s="3" t="inlineStr">
        <is>
          <t>RD54;RD64;RD65</t>
        </is>
      </c>
    </row>
    <row r="22">
      <c r="A22" s="3" t="inlineStr">
        <is>
          <t>A12c</t>
        </is>
      </c>
      <c r="B22" s="3" t="inlineStr">
        <is>
          <t>c4</t>
        </is>
      </c>
      <c r="C22" s="3" t="inlineStr">
        <is>
          <t>Consumables refill per quarter, Tier 3</t>
        </is>
      </c>
      <c r="D22" s="3" t="n">
        <v>900</v>
      </c>
      <c r="E22" s="3" t="n">
        <v>600</v>
      </c>
      <c r="F22" s="3" t="n">
        <v>400</v>
      </c>
      <c r="G22" s="3" t="inlineStr">
        <is>
          <t>Rs</t>
        </is>
      </c>
      <c r="H22" s="3" t="inlineStr">
        <is>
          <t>Scaled at roughly double the Tier 2 refill (tool_costs.csv RD54, RD64, RD65) to reflect the higher volume of repairs and fittings a Tier 3 hub performs; design judgement on the scaling factor, the unit prices are the same sourced consumable items as A12b.</t>
        </is>
      </c>
      <c r="I22" s="3" t="inlineStr">
        <is>
          <t>RD54;RD64;RD65</t>
        </is>
      </c>
    </row>
    <row r="23">
      <c r="A23" s="3" t="inlineStr">
        <is>
          <t>A13</t>
        </is>
      </c>
      <c r="B23" s="3" t="inlineStr">
        <is>
          <t>c4</t>
        </is>
      </c>
      <c r="C23" s="3" t="inlineStr">
        <is>
          <t>Training cost per trainee (2-hour fitment course)</t>
        </is>
      </c>
      <c r="D23" s="3" t="n">
        <v>900</v>
      </c>
      <c r="E23" s="3" t="n">
        <v>700</v>
      </c>
      <c r="F23" s="3" t="n">
        <v>500</v>
      </c>
      <c r="G23" s="3" t="inlineStr">
        <is>
          <t>Rs</t>
        </is>
      </c>
      <c r="H23" s="3" t="inlineStr">
        <is>
          <t>No per-trainee fee for a short, in-person 2-hour tyre-fitment course was found (R-D Gaps: only free PMKVY/ASDC-subsidised courses or a Rs589 self-paced online ASC/Q1411 course, R-D RD81, were located, and the online self-paced fee is explicitly flagged as not a proxy for an in-person trainer-led day rate); reasoned estimate scales the Rs589 online floor up for in-person trainer time and materials, consistent with classroom delivery typically costing several times a self-paced course's fee.</t>
        </is>
      </c>
      <c r="I23" s="3" t="inlineStr">
        <is>
          <t>RD81</t>
        </is>
      </c>
    </row>
    <row r="24">
      <c r="A24" s="3" t="inlineStr">
        <is>
          <t>A13s</t>
        </is>
      </c>
      <c r="B24" s="3" t="inlineStr">
        <is>
          <t>c4</t>
        </is>
      </c>
      <c r="C24" s="3" t="inlineStr">
        <is>
          <t>Share of Tier 2 and 3 members trained per year</t>
        </is>
      </c>
      <c r="D24" s="3" t="n">
        <v>0.6</v>
      </c>
      <c r="E24" s="3" t="n">
        <v>0.5</v>
      </c>
      <c r="F24" s="3" t="n">
        <v>0.4</v>
      </c>
      <c r="G24" s="3" t="inlineStr">
        <is>
          <t>share</t>
        </is>
      </c>
      <c r="H24" s="3" t="inlineStr">
        <is>
          <t>Design decision: assumes a majority but not all Tier 2 and 3 members complete the optional training course in a given year, since the Tier 2 entry rule allows qualifying by referral count alone as an alternative to the course; no source needed for this programme-design choice.</t>
        </is>
      </c>
      <c r="I24" s="3" t="inlineStr">
        <is>
          <t>n/a</t>
        </is>
      </c>
    </row>
    <row r="25">
      <c r="A25" s="3" t="inlineStr">
        <is>
          <t>A14</t>
        </is>
      </c>
      <c r="B25" s="3" t="inlineStr">
        <is>
          <t>c4</t>
        </is>
      </c>
      <c r="C25" s="3" t="inlineStr">
        <is>
          <t>Tier 2 entry: logged referrals in 6 months</t>
        </is>
      </c>
      <c r="D25" s="3" t="n">
        <v>6</v>
      </c>
      <c r="E25" s="3" t="n">
        <v>6</v>
      </c>
      <c r="F25" s="3" t="n">
        <v>6</v>
      </c>
      <c r="G25" s="3" t="inlineStr">
        <is>
          <t>count</t>
        </is>
      </c>
      <c r="H25" s="3" t="inlineStr">
        <is>
          <t>Design decision: set at roughly one logged referral a month over the 6-month review window, the same cadence implied by the Tier 1 'any referral in 6 months keeps them active' rule scaled up to a genuine Tier 2 qualification bar; no source exists for a programme that has not yet run.</t>
        </is>
      </c>
      <c r="I25" s="3" t="inlineStr">
        <is>
          <t>n/a</t>
        </is>
      </c>
    </row>
    <row r="26">
      <c r="A26" s="3" t="inlineStr">
        <is>
          <t>A15a</t>
        </is>
      </c>
      <c r="B26" s="3" t="inlineStr">
        <is>
          <t>c4</t>
        </is>
      </c>
      <c r="C26" s="3" t="inlineStr">
        <is>
          <t>Expected referrals a year, Tier 1</t>
        </is>
      </c>
      <c r="D26" s="3" t="n">
        <v>2</v>
      </c>
      <c r="E26" s="3" t="n">
        <v>2</v>
      </c>
      <c r="F26" s="3" t="n">
        <v>2</v>
      </c>
      <c r="G26" s="3" t="inlineStr">
        <is>
          <t>count</t>
        </is>
      </c>
      <c r="H26" s="3" t="inlineStr">
        <is>
          <t>Design decision: Tier 1 is deliberately set at a low bar (about one referral every six months) since Tier 1 exists to keep the widest base of members active with minimal friction; no source needed.</t>
        </is>
      </c>
      <c r="I26" s="3" t="inlineStr">
        <is>
          <t>n/a</t>
        </is>
      </c>
    </row>
    <row r="27">
      <c r="A27" s="3" t="inlineStr">
        <is>
          <t>A15</t>
        </is>
      </c>
      <c r="B27" s="3" t="inlineStr">
        <is>
          <t>c4</t>
        </is>
      </c>
      <c r="C27" s="3" t="inlineStr">
        <is>
          <t>Tier 2 referrals a year</t>
        </is>
      </c>
      <c r="D27" s="3" t="n">
        <v>12</v>
      </c>
      <c r="E27" s="3" t="n">
        <v>12</v>
      </c>
      <c r="F27" s="3" t="n">
        <v>12</v>
      </c>
      <c r="G27" s="3" t="inlineStr">
        <is>
          <t>count</t>
        </is>
      </c>
      <c r="H27" s="3" t="inlineStr">
        <is>
          <t>Design decision: doubles the Tier 2 entry threshold (A14, 6 referrals in 6 months) to a full year, i.e. about one referral a month sustained, consistent with the tier ladder's stated 'Gives back' column in PLAN.md section 2.2.4; no source needed for a programme design choice.</t>
        </is>
      </c>
      <c r="I27" s="3" t="inlineStr">
        <is>
          <t>n/a</t>
        </is>
      </c>
    </row>
    <row r="28">
      <c r="A28" s="3" t="inlineStr">
        <is>
          <t>A16</t>
        </is>
      </c>
      <c r="B28" s="3" t="inlineStr">
        <is>
          <t>c4</t>
        </is>
      </c>
      <c r="C28" s="3" t="inlineStr">
        <is>
          <t>Tier 3 referrals a year</t>
        </is>
      </c>
      <c r="D28" s="3" t="n">
        <v>40</v>
      </c>
      <c r="E28" s="3" t="n">
        <v>40</v>
      </c>
      <c r="F28" s="3" t="n">
        <v>40</v>
      </c>
      <c r="G28" s="3" t="inlineStr">
        <is>
          <t>count</t>
        </is>
      </c>
      <c r="H28" s="3" t="inlineStr">
        <is>
          <t>Design decision: set at roughly one referral a week, reflecting Tier 3's status as the highest-volume hub tier that also typically stocks Eurogrip's core sizes (PLAN.md section 2.2.4); no source needed.</t>
        </is>
      </c>
      <c r="I28" s="3" t="inlineStr">
        <is>
          <t>n/a</t>
        </is>
      </c>
    </row>
    <row r="29">
      <c r="A29" s="3" t="inlineStr">
        <is>
          <t>A17</t>
        </is>
      </c>
      <c r="B29" s="3" t="inlineStr">
        <is>
          <t>c4</t>
        </is>
      </c>
      <c r="C29" s="3" t="inlineStr">
        <is>
          <t>Enrolment cost per new member</t>
        </is>
      </c>
      <c r="D29" s="3" t="n">
        <v>250</v>
      </c>
      <c r="E29" s="3" t="n">
        <v>180</v>
      </c>
      <c r="F29" s="3" t="n">
        <v>120</v>
      </c>
      <c r="G29" s="3" t="inlineStr">
        <is>
          <t>Rs</t>
        </is>
      </c>
      <c r="H29" s="3" t="inlineStr">
        <is>
          <t>Reasoned from R-D's field-sales day-rate benchmarks (RD83, RD84, RD85: reported take-home pay of roughly Rs20,000 to Rs39,000 a month, i.e. about Rs700 to Rs1,300 a working day before employer-side statutory loading) divided by an assumed 5 to 10 enrolment visits a distributor sales-staff member completes in a day; base assumes about 7 enrolments/day at the lower day-rate, bear fewer enrolments/day at the higher day-rate, bull more enrolments/day at the lower rate.</t>
        </is>
      </c>
      <c r="I29" s="3" t="inlineStr">
        <is>
          <t>RD83;RD84;RD85</t>
        </is>
      </c>
    </row>
    <row r="30">
      <c r="A30" s="3" t="inlineStr">
        <is>
          <t>A17c</t>
        </is>
      </c>
      <c r="B30" s="3" t="inlineStr">
        <is>
          <t>c4</t>
        </is>
      </c>
      <c r="C30" s="3" t="inlineStr">
        <is>
          <t>Annual member churn replaced</t>
        </is>
      </c>
      <c r="D30" s="3" t="n">
        <v>0.3</v>
      </c>
      <c r="E30" s="3" t="n">
        <v>0.2</v>
      </c>
      <c r="F30" s="3" t="n">
        <v>0.15</v>
      </c>
      <c r="G30" s="3" t="inlineStr">
        <is>
          <t>share</t>
        </is>
      </c>
      <c r="H30" s="3" t="inlineStr">
        <is>
          <t>Judgement: no source tracks churn for a programme that does not yet run; bear assumes a higher first-year churn typical of a new loyalty scheme before the renewal habit forms, bull assumes churn settles lower once the 6-month re-tiering cadence is established.</t>
        </is>
      </c>
      <c r="I30" s="3" t="inlineStr">
        <is>
          <t>n/a</t>
        </is>
      </c>
    </row>
    <row r="31">
      <c r="A31" s="3" t="inlineStr">
        <is>
          <t>A18</t>
        </is>
      </c>
      <c r="B31" s="3" t="inlineStr">
        <is>
          <t>c4</t>
        </is>
      </c>
      <c r="C31" s="3" t="inlineStr">
        <is>
          <t>Programme team and state coordinators (fixed)</t>
        </is>
      </c>
      <c r="D31" s="3" t="n">
        <v>250</v>
      </c>
      <c r="E31" s="3" t="n">
        <v>200</v>
      </c>
      <c r="F31" s="3" t="n">
        <v>160</v>
      </c>
      <c r="G31" s="3" t="inlineStr">
        <is>
          <t>Rs lakh/year</t>
        </is>
      </c>
      <c r="H31" s="3" t="inlineStr">
        <is>
          <t>Reasoned from R-D's field-sales salary benchmark (RD84, Payscale average Rs2.94 lakh/year for a field sales representative in India) applied to an estimated central-plus-state coordination team of roughly 55 to 85 people scaled to the pilot-to-national rollout headcount in PLAN.md section 2.2.7; base uses about 68 people at the Payscale average, bear a larger team, bull a leaner one.</t>
        </is>
      </c>
      <c r="I31" s="3" t="inlineStr">
        <is>
          <t>RD84</t>
        </is>
      </c>
    </row>
    <row r="32">
      <c r="A32" s="3" t="inlineStr">
        <is>
          <t>A19</t>
        </is>
      </c>
      <c r="B32" s="3" t="inlineStr">
        <is>
          <t>c4</t>
        </is>
      </c>
      <c r="C32" s="3" t="inlineStr">
        <is>
          <t>Tech fixed: app extension running cost, analytics, IVR rental</t>
        </is>
      </c>
      <c r="D32" s="3" t="n">
        <v>80</v>
      </c>
      <c r="E32" s="3" t="n">
        <v>60</v>
      </c>
      <c r="F32" s="3" t="n">
        <v>45</v>
      </c>
      <c r="G32" s="3" t="inlineStr">
        <is>
          <t>Rs lakh/year</t>
        </is>
      </c>
      <c r="H32" s="3" t="inlineStr">
        <is>
          <t>Combines an IVR/missed-call rental line (Knowlarity's published missed-call plan at about Rs5,000/month = Rs0.6 lakh/year, scaled up for toll-free and call-back audit use, R-D RD52) with an analytics/dashboard run cost reasoned from general software-maintenance practice, since no India mechanic-programme-specific analytics cost was found in any lane; base, bear and bull reflect increasingly lean versions of the same combined IVR-plus-analytics stack.</t>
        </is>
      </c>
      <c r="I32" s="3" t="inlineStr">
        <is>
          <t>RD52</t>
        </is>
      </c>
    </row>
    <row r="33">
      <c r="A33" s="3" t="inlineStr">
        <is>
          <t>A19m</t>
        </is>
      </c>
      <c r="B33" s="3" t="inlineStr">
        <is>
          <t>c4</t>
        </is>
      </c>
      <c r="C33" s="3" t="inlineStr">
        <is>
          <t>Messaging per member per year (WhatsApp or SMS)</t>
        </is>
      </c>
      <c r="D33" s="3" t="n">
        <v>80</v>
      </c>
      <c r="E33" s="3" t="n">
        <v>60</v>
      </c>
      <c r="F33" s="3" t="n">
        <v>30</v>
      </c>
      <c r="G33" s="3" t="inlineStr">
        <is>
          <t>Rs</t>
        </is>
      </c>
      <c r="H33" s="3" t="inlineStr">
        <is>
          <t>WhatsApp Business API India per-message rates (R-D RD50, RD51): utility/authentication messages at about Rs0.115 plus 18% GST and a typical BSP markup of Rs0.10 to Rs0.30, an all-in cost of roughly Rs0.25 to Rs1.26 per message depending on message type and markup; base assumes a weekly tip or reminder (about 52 messages/year) at the lower end of that per-message cost, bear assumes the marketing-tier rate (Rs0.8631/message, RD50) on the same cadence, bull assumes fewer, cheaper utility-only messages.</t>
        </is>
      </c>
      <c r="I33" s="3" t="inlineStr">
        <is>
          <t>RD50;RD51</t>
        </is>
      </c>
    </row>
    <row r="34">
      <c r="A34" s="3" t="inlineStr">
        <is>
          <t>A20</t>
        </is>
      </c>
      <c r="B34" s="3" t="inlineStr">
        <is>
          <t>c4</t>
        </is>
      </c>
      <c r="C34" s="3" t="inlineStr">
        <is>
          <t>Tool credit per logged referral</t>
        </is>
      </c>
      <c r="D34" s="3" t="n">
        <v>80</v>
      </c>
      <c r="E34" s="3" t="n">
        <v>60</v>
      </c>
      <c r="F34" s="3" t="n">
        <v>50</v>
      </c>
      <c r="G34" s="3" t="inlineStr">
        <is>
          <t>Rs</t>
        </is>
      </c>
      <c r="H34" s="3" t="inlineStr">
        <is>
          <t>Design decision, deliberately kept below a typical cash coupon rate (see A34) so the in-kind credit never functions as disguised cash; no source needed for an internal credit-point value, a programme design parameter, not an external fact.</t>
        </is>
      </c>
      <c r="I34" s="3" t="inlineStr">
        <is>
          <t>n/a</t>
        </is>
      </c>
    </row>
    <row r="35">
      <c r="A35" s="3" t="inlineStr">
        <is>
          <t>A21</t>
        </is>
      </c>
      <c r="B35" s="3" t="inlineStr">
        <is>
          <t>c4</t>
        </is>
      </c>
      <c r="C35" s="3" t="inlineStr">
        <is>
          <t>Fraud flag: retailer to mechanic distance</t>
        </is>
      </c>
      <c r="D35" s="3" t="n">
        <v>15</v>
      </c>
      <c r="E35" s="3" t="n">
        <v>15</v>
      </c>
      <c r="F35" s="3" t="n">
        <v>15</v>
      </c>
      <c r="G35" s="3" t="inlineStr">
        <is>
          <t>km</t>
        </is>
      </c>
      <c r="H35" s="3" t="inlineStr">
        <is>
          <t>Design decision: a round, easily explained distance threshold for flagging a retailer-mechanic pairing as suspicious; no source needed for an internal fraud-control parameter.</t>
        </is>
      </c>
      <c r="I35" s="3" t="inlineStr">
        <is>
          <t>n/a</t>
        </is>
      </c>
    </row>
    <row r="36">
      <c r="A36" s="3" t="inlineStr">
        <is>
          <t>A22</t>
        </is>
      </c>
      <c r="B36" s="3" t="inlineStr">
        <is>
          <t>c4</t>
        </is>
      </c>
      <c r="C36" s="3" t="inlineStr">
        <is>
          <t>Retailer-app one-time extension or build</t>
        </is>
      </c>
      <c r="D36" s="3" t="n">
        <v>60</v>
      </c>
      <c r="E36" s="3" t="n">
        <v>40</v>
      </c>
      <c r="F36" s="3" t="n">
        <v>25</v>
      </c>
      <c r="G36" s="3" t="inlineStr">
        <is>
          <t>Rs lakh</t>
        </is>
      </c>
      <c r="H36" s="3" t="inlineStr">
        <is>
          <t>R-A's app-status finding (RA32, RA33, RA70, RA71) confirms a Bandhan retailer app exists from a 2019 launch, but R-A's own Gaps note its live current status, version and whether mechanics (as opposed to registered retailers) can use it today is unconfirmed; per PLAN.md section 2.2.5's app-dependency rule, this uncertainty is priced as a one-time extension cost rather than a full build, reasoned from general mobile-app feature-extension costing since no India-specific figure for this exact scope was found in any lane.</t>
        </is>
      </c>
      <c r="I36" s="3" t="inlineStr">
        <is>
          <t>RA32;RA33;RA70;RA71</t>
        </is>
      </c>
    </row>
    <row r="37">
      <c r="A37" s="3" t="inlineStr">
        <is>
          <t>A23</t>
        </is>
      </c>
      <c r="B37" s="3" t="inlineStr">
        <is>
          <t>c4</t>
        </is>
      </c>
      <c r="C37" s="3" t="inlineStr">
        <is>
          <t>G1 gate: monthly active share</t>
        </is>
      </c>
      <c r="D37" s="3" t="n">
        <v>0.6</v>
      </c>
      <c r="E37" s="3" t="n">
        <v>0.6</v>
      </c>
      <c r="F37" s="3" t="n">
        <v>0.6</v>
      </c>
      <c r="G37" s="3" t="inlineStr">
        <is>
          <t>share</t>
        </is>
      </c>
      <c r="H37" s="3" t="inlineStr">
        <is>
          <t>Design decision: a round majority-activity bar for the pilot gate, consistent with PLAN.md section 2.2.9's stated gate value; no source needed for an internal gate threshold.</t>
        </is>
      </c>
      <c r="I37" s="3" t="inlineStr">
        <is>
          <t>n/a</t>
        </is>
      </c>
    </row>
    <row r="38">
      <c r="A38" s="3" t="inlineStr">
        <is>
          <t>A24</t>
        </is>
      </c>
      <c r="B38" s="3" t="inlineStr">
        <is>
          <t>c4</t>
        </is>
      </c>
      <c r="C38" s="3" t="inlineStr">
        <is>
          <t>G1 gate: advocacy lift vs control</t>
        </is>
      </c>
      <c r="D38" s="3" t="n">
        <v>15</v>
      </c>
      <c r="E38" s="3" t="n">
        <v>15</v>
      </c>
      <c r="F38" s="3" t="n">
        <v>15</v>
      </c>
      <c r="G38" s="3" t="inlineStr">
        <is>
          <t>points</t>
        </is>
      </c>
      <c r="H38" s="3" t="inlineStr">
        <is>
          <t>Design decision: set as a meaningful, clearly-detectable lift over the matched control districts for the pilot's difference-in-differences design; no source needed for an internal gate threshold.</t>
        </is>
      </c>
      <c r="I38" s="3" t="inlineStr">
        <is>
          <t>n/a</t>
        </is>
      </c>
    </row>
    <row r="39">
      <c r="A39" s="3" t="inlineStr">
        <is>
          <t>A25</t>
        </is>
      </c>
      <c r="B39" s="3" t="inlineStr">
        <is>
          <t>c4</t>
        </is>
      </c>
      <c r="C39" s="3" t="inlineStr">
        <is>
          <t>Baseline unprompted Eurogrip recommendation rate (for sample size only)</t>
        </is>
      </c>
      <c r="D39" s="3" t="n">
        <v>0.2</v>
      </c>
      <c r="E39" s="3" t="n">
        <v>0.2</v>
      </c>
      <c r="F39" s="3" t="n">
        <v>0.2</v>
      </c>
      <c r="G39" s="3" t="inlineStr">
        <is>
          <t>share</t>
        </is>
      </c>
      <c r="H39" s="3" t="inlineStr">
        <is>
          <t>Judgement, used only to size the mystery-audit sample (PLAN.md section 2.2.9 power calculation), not a claim about current recommendation rates; the brief itself says recommendations are 'not much in favour' of Eurogrip (brief C4-B07) without giving a number, so 20% is a conservative baseline for the power calculation only, flagged as an assumption throughout the document.</t>
        </is>
      </c>
      <c r="I39" s="3" t="inlineStr">
        <is>
          <t>C4-B07</t>
        </is>
      </c>
    </row>
    <row r="40">
      <c r="A40" s="3" t="inlineStr">
        <is>
          <t>A26</t>
        </is>
      </c>
      <c r="B40" s="3" t="inlineStr">
        <is>
          <t>c4</t>
        </is>
      </c>
      <c r="C40" s="3" t="inlineStr">
        <is>
          <t>Kill threshold: break-even tyres per member per year</t>
        </is>
      </c>
      <c r="D40" s="3" t="n">
        <v>12</v>
      </c>
      <c r="E40" s="3" t="n">
        <v>12</v>
      </c>
      <c r="F40" s="3" t="n">
        <v>12</v>
      </c>
      <c r="G40" s="3" t="inlineStr">
        <is>
          <t>count</t>
        </is>
      </c>
      <c r="H40" s="3" t="inlineStr">
        <is>
          <t>Design decision: one extra tyre a month per member shop, chosen as a round, easily communicated kill-criterion threshold per PLAN.md section 2.2.13; no source needed for an internal decision rule.</t>
        </is>
      </c>
      <c r="I40" s="3" t="inlineStr">
        <is>
          <t>n/a</t>
        </is>
      </c>
    </row>
    <row r="41">
      <c r="A41" s="3" t="inlineStr">
        <is>
          <t>A27</t>
        </is>
      </c>
      <c r="B41" s="3" t="inlineStr">
        <is>
          <t>c4</t>
        </is>
      </c>
      <c r="C41" s="3" t="inlineStr">
        <is>
          <t>Weighted average replacement tyre MRP</t>
        </is>
      </c>
      <c r="D41" s="3" t="n">
        <v>1900</v>
      </c>
      <c r="E41" s="3" t="n">
        <v>2050</v>
      </c>
      <c r="F41" s="3" t="n">
        <v>2200</v>
      </c>
      <c r="G41" s="3" t="inlineStr">
        <is>
          <t>Rs</t>
        </is>
      </c>
      <c r="H41" s="3" t="inlineStr">
        <is>
          <t>research/data/prices.csv: the four fully-confirmed Eurogrip MRPs located (Conta 625N Rs2,001, Jumbo GT Rs1,962, Dragon Plus Rs1,752, Jumbo 3.00-18 Rs2,560) average about Rs2,069; base is set near that average, bear uses the lower three sizes' average (about Rs1,905) reflecting a size mix weighted toward cheaper scooter sizes, bull uses a mix weighted toward the larger Rs2,560 motorcycle size.</t>
        </is>
      </c>
      <c r="I41" s="3" t="inlineStr">
        <is>
          <t>S038;S039;S040;S047</t>
        </is>
      </c>
    </row>
    <row r="42">
      <c r="A42" s="3" t="inlineStr">
        <is>
          <t>A28</t>
        </is>
      </c>
      <c r="B42" s="3" t="inlineStr">
        <is>
          <t>c4</t>
        </is>
      </c>
      <c r="C42" s="3" t="inlineStr">
        <is>
          <t>GST on two-wheeler tyres</t>
        </is>
      </c>
      <c r="D42" s="3" t="n">
        <v>18</v>
      </c>
      <c r="E42" s="3" t="n">
        <v>18</v>
      </c>
      <c r="F42" s="3" t="n">
        <v>18</v>
      </c>
      <c r="G42" s="3" t="inlineStr">
        <is>
          <t>%</t>
        </is>
      </c>
      <c r="H42" s="3" t="inlineStr">
        <is>
          <t>CBIC Notification No. 09/2025-Central Tax (Rate), confirmed by both R-A (RA60) and R-B (RB30, RB31) via direct fetch: two-wheeler tyres (HSN 40114020) moved from 28% to 18% GST effective 22 September 2025.</t>
        </is>
      </c>
      <c r="I42" s="3" t="inlineStr">
        <is>
          <t>RA60;RB30;RB31</t>
        </is>
      </c>
    </row>
    <row r="43">
      <c r="A43" s="3" t="inlineStr">
        <is>
          <t>A29</t>
        </is>
      </c>
      <c r="B43" s="3" t="inlineStr">
        <is>
          <t>c4</t>
        </is>
      </c>
      <c r="C43" s="3" t="inlineStr">
        <is>
          <t>Channel margin (distributor and retailer) on the ex-GST price</t>
        </is>
      </c>
      <c r="D43" s="3" t="n">
        <v>22</v>
      </c>
      <c r="E43" s="3" t="n">
        <v>18</v>
      </c>
      <c r="F43" s="3" t="n">
        <v>15</v>
      </c>
      <c r="G43" s="3" t="inlineStr">
        <is>
          <t>%</t>
        </is>
      </c>
      <c r="H43" s="3" t="inlineStr">
        <is>
          <t>No source discloses a two-wheeler tyre dealer/distributor margin as a percentage of MRP (R-B Gaps: 'two-wheeler-specific dealer/distributor margin as a percentage of MRP was not found'); carried as a stated bear/base/bull assumption per R-B's own recommended fallback, with bear at the higher end to be conservative about how much margin the model assumes stays with the channel before contribution per tyre is calculated.</t>
        </is>
      </c>
      <c r="I43" s="3" t="inlineStr">
        <is>
          <t>n/a</t>
        </is>
      </c>
    </row>
    <row r="44">
      <c r="A44" s="3" t="inlineStr">
        <is>
          <t>A30</t>
        </is>
      </c>
      <c r="B44" s="3" t="inlineStr">
        <is>
          <t>c4</t>
        </is>
      </c>
      <c r="C44" s="3" t="inlineStr">
        <is>
          <t>Contribution margin on the company's net realisation</t>
        </is>
      </c>
      <c r="D44" s="3" t="n">
        <v>26</v>
      </c>
      <c r="E44" s="3" t="n">
        <v>30</v>
      </c>
      <c r="F44" s="3" t="n">
        <v>34</v>
      </c>
      <c r="G44" s="3" t="inlineStr">
        <is>
          <t>%</t>
        </is>
      </c>
      <c r="H44" s="3" t="inlineStr">
        <is>
          <t>No standalone raw-material/variable-cost breakdown was found for TVS Srichakra (R-A Gaps: 'Standalone breakdown of raw-material cost, employee cost and other-expenses as % of revenue... not found'); reasoned estimate benchmarked to the company's own disclosed consolidated operating margin of about 7% to 10% across FY23 to FY26 (R-A RA13, RA96, RA97), grossed up for the fixed manufacturing, R&amp;D and SG&amp;A costs that sit between contribution margin and operating margin.</t>
        </is>
      </c>
      <c r="I44" s="3" t="inlineStr">
        <is>
          <t>RA13;RA96;RA97</t>
        </is>
      </c>
    </row>
    <row r="45">
      <c r="A45" s="3" t="inlineStr">
        <is>
          <t>A31</t>
        </is>
      </c>
      <c r="B45" s="3" t="inlineStr">
        <is>
          <t>c4</t>
        </is>
      </c>
      <c r="C45" s="3" t="inlineStr">
        <is>
          <t>Cost per mystery-rider audit</t>
        </is>
      </c>
      <c r="D45" s="3" t="n">
        <v>900</v>
      </c>
      <c r="E45" s="3" t="n">
        <v>700</v>
      </c>
      <c r="F45" s="3" t="n">
        <v>500</v>
      </c>
      <c r="G45" s="3" t="inlineStr">
        <is>
          <t>Rs</t>
        </is>
      </c>
      <c r="H45" s="3" t="inlineStr">
        <is>
          <t>No India rupee figure for a brand-commissioned mystery-rider audit visit was found (R-D RD91: a vendor guide gives cost drivers but 'no rupee figure anywhere'); reasoned from a global (non-India) benchmark for in-store retail mystery-shop audits of USD 25 to 75 per visit (R-D RD87), converted at about Rs83/USD and discounted for the lower cost of India-based field audit delivery that RD87 itself notes is commonly outsourced to India-based providers.</t>
        </is>
      </c>
      <c r="I45" s="3" t="inlineStr">
        <is>
          <t>RD87;RD91</t>
        </is>
      </c>
    </row>
    <row r="46">
      <c r="A46" s="3" t="inlineStr">
        <is>
          <t>A31n</t>
        </is>
      </c>
      <c r="B46" s="3" t="inlineStr">
        <is>
          <t>c4</t>
        </is>
      </c>
      <c r="C46" s="3" t="inlineStr">
        <is>
          <t>Audit rounds per year at steady state</t>
        </is>
      </c>
      <c r="D46" s="3" t="n">
        <v>2</v>
      </c>
      <c r="E46" s="3" t="n">
        <v>2</v>
      </c>
      <c r="F46" s="3" t="n">
        <v>2</v>
      </c>
      <c r="G46" s="3" t="inlineStr">
        <is>
          <t>count</t>
        </is>
      </c>
      <c r="H46" s="3" t="inlineStr">
        <is>
          <t>Design decision: quarterly audits in the pilot stepping down to twice a year at steady state, per PLAN.md section 2.2.9; no source needed for an internal measurement-cadence choice.</t>
        </is>
      </c>
      <c r="I46" s="3" t="inlineStr">
        <is>
          <t>n/a</t>
        </is>
      </c>
    </row>
    <row r="47">
      <c r="A47" s="3" t="inlineStr">
        <is>
          <t>A32</t>
        </is>
      </c>
      <c r="B47" s="3" t="inlineStr">
        <is>
          <t>c4</t>
        </is>
      </c>
      <c r="C47" s="3" t="inlineStr">
        <is>
          <t>Brand-track re-run</t>
        </is>
      </c>
      <c r="D47" s="3" t="n">
        <v>40</v>
      </c>
      <c r="E47" s="3" t="n">
        <v>30</v>
      </c>
      <c r="F47" s="3" t="n">
        <v>20</v>
      </c>
      <c r="G47" s="3" t="inlineStr">
        <is>
          <t>Rs lakh/year</t>
        </is>
      </c>
      <c r="H47" s="3" t="inlineStr">
        <is>
          <t>No India-specific brand-tracking study cost from a named agency was found (R-D Gaps: 'India-specific brand-tracking study cost from a named agency: no figure found'); carried as R-D's own recommended fallback, a stated assumption pending a direct market-research-agency RFP quote before the deck finalises the measurement-cost line.</t>
        </is>
      </c>
      <c r="I47" s="3" t="inlineStr">
        <is>
          <t>n/a</t>
        </is>
      </c>
    </row>
    <row r="48">
      <c r="A48" s="3" t="inlineStr">
        <is>
          <t>A33</t>
        </is>
      </c>
      <c r="B48" s="3" t="inlineStr">
        <is>
          <t>c4</t>
        </is>
      </c>
      <c r="C48" s="3" t="inlineStr">
        <is>
          <t>Meets and recognition per Tier 2 and 3 member</t>
        </is>
      </c>
      <c r="D48" s="3" t="n">
        <v>200</v>
      </c>
      <c r="E48" s="3" t="n">
        <v>150</v>
      </c>
      <c r="F48" s="3" t="n">
        <v>100</v>
      </c>
      <c r="G48" s="3" t="inlineStr">
        <is>
          <t>Rs/year</t>
        </is>
      </c>
      <c r="H48" s="3" t="inlineStr">
        <is>
          <t>No source prices a distributor-run cluster meet or state-level recognition event per member; reasoned small annual per-head allocation for venue, refreshments and a token recognition item, consistent with the scale of adjacent-category cluster events described qualitatively in R-D (Castrol's Super Mechanic Contest finale and Schaeffler's mobile training van events, RD07, RD26) without a disclosed per-head cost in either source.</t>
        </is>
      </c>
      <c r="I48" s="3" t="inlineStr">
        <is>
          <t>RD07;RD26</t>
        </is>
      </c>
    </row>
    <row r="49">
      <c r="A49" s="3" t="inlineStr">
        <is>
          <t>A34</t>
        </is>
      </c>
      <c r="B49" s="3" t="inlineStr">
        <is>
          <t>c4</t>
        </is>
      </c>
      <c r="C49" s="3" t="inlineStr">
        <is>
          <t>Cash coupon per tyre in the obvious scheme</t>
        </is>
      </c>
      <c r="D49" s="3" t="n">
        <v>60</v>
      </c>
      <c r="E49" s="3" t="n">
        <v>80</v>
      </c>
      <c r="F49" s="3" t="n">
        <v>100</v>
      </c>
      <c r="G49" s="3" t="inlineStr">
        <is>
          <t>Rs</t>
        </is>
      </c>
      <c r="H49" s="3" t="inlineStr">
        <is>
          <t>Scaled from Castrol Fast Scan's own disclosed reward rate: about Rs6 crore reimbursed monthly across over 1 lakh transactions a day (R-C RC26), implying roughly Rs20 per lubricant-category transaction; scaled up for a tyre's much higher basket value relative to a lubricant top-up, base set at Rs80 per tyre, with bear and bull spanning a lower and a higher coupon to stress-test the obvious cash-scheme's deadweight cost (a higher coupon is worse for the cash scheme's own economics, per PLAN.md section 5.3's note on this assumption's direction).</t>
        </is>
      </c>
      <c r="I49" s="3" t="inlineStr">
        <is>
          <t>RC26</t>
        </is>
      </c>
    </row>
    <row r="50">
      <c r="A50" s="3" t="inlineStr">
        <is>
          <t>A35</t>
        </is>
      </c>
      <c r="B50" s="3" t="inlineStr">
        <is>
          <t>c4</t>
        </is>
      </c>
      <c r="C50" s="3" t="inlineStr">
        <is>
          <t>Share of Eurogrip replacement tyres fitted through mechanics today</t>
        </is>
      </c>
      <c r="D50" s="3" t="n">
        <v>40</v>
      </c>
      <c r="E50" s="3" t="n">
        <v>50</v>
      </c>
      <c r="F50" s="3" t="n">
        <v>60</v>
      </c>
      <c r="G50" s="3" t="inlineStr">
        <is>
          <t>%</t>
        </is>
      </c>
      <c r="H50" s="3" t="inlineStr">
        <is>
          <t>No study quantifies the share of two-wheeler tyre replacement volume that passes through a mechanic recommendation specifically for Eurogrip (confirmed as a gap in both R-B and R-C; R-C's own fallback is to cite the brief's qualitative claim only, C4-B03/C4-B04, without an invented percentage); carried as a stated bear/base/bull judgement, flagged throughout the document as an assumption, not a measured figure.</t>
        </is>
      </c>
      <c r="I50" s="3" t="inlineStr">
        <is>
          <t>C4-B03;C4-B04</t>
        </is>
      </c>
    </row>
    <row r="51">
      <c r="A51" s="3" t="inlineStr">
        <is>
          <t>A36</t>
        </is>
      </c>
      <c r="B51" s="3" t="inlineStr">
        <is>
          <t>c4</t>
        </is>
      </c>
      <c r="C51" s="3" t="inlineStr">
        <is>
          <t>Volume lift a cash scheme achieves</t>
        </is>
      </c>
      <c r="D51" s="3" t="n">
        <v>15</v>
      </c>
      <c r="E51" s="3" t="n">
        <v>10</v>
      </c>
      <c r="F51" s="3" t="n">
        <v>6</v>
      </c>
      <c r="G51" s="3" t="inlineStr">
        <is>
          <t>%</t>
        </is>
      </c>
      <c r="H51" s="3" t="inlineStr">
        <is>
          <t>Judgement, explicitly flagged per PLAN.md section 5.3: no India tyre-category study measures the volume lift from a per-tyre cash coupon; bear assumes a higher lift (the conservative, worse case for our thesis since it makes the rejected cash scheme look more tempting), bull assumes the lift is smaller than naive intuition would suggest, consistent with the deadweight argument in PLAN.md section 2.2.1.</t>
        </is>
      </c>
      <c r="I51" s="3" t="inlineStr">
        <is>
          <t>n/a</t>
        </is>
      </c>
    </row>
    <row r="52">
      <c r="A52" s="3" t="inlineStr">
        <is>
          <t>A37a</t>
        </is>
      </c>
      <c r="B52" s="3" t="inlineStr">
        <is>
          <t>c4</t>
        </is>
      </c>
      <c r="C52" s="3" t="inlineStr">
        <is>
          <t>Ramp: share of steady-state members active in Q1</t>
        </is>
      </c>
      <c r="D52" s="3" t="n">
        <v>0.03</v>
      </c>
      <c r="E52" s="3" t="n">
        <v>0.03</v>
      </c>
      <c r="F52" s="3" t="n">
        <v>0.03</v>
      </c>
      <c r="G52" s="3" t="inlineStr">
        <is>
          <t>share</t>
        </is>
      </c>
      <c r="H52" s="3" t="inlineStr">
        <is>
          <t>Design decision: rollout ramp follows PLAN.md section 2.2.7's three-phase, eight-quarter plan (pilot Q1-Q2 in 2 states, scale Q3-Q4 across 8 states, national Q5-Q8); the quarter-by-quarter share-of-steady-state curve is a reasoned S-curve consistent with that phase structure, not a sourced figure, since no comparable programme discloses its own quarterly ramp.</t>
        </is>
      </c>
      <c r="I52" s="3" t="inlineStr">
        <is>
          <t>n/a</t>
        </is>
      </c>
    </row>
    <row r="53">
      <c r="A53" s="3" t="inlineStr">
        <is>
          <t>A37b</t>
        </is>
      </c>
      <c r="B53" s="3" t="inlineStr">
        <is>
          <t>c4</t>
        </is>
      </c>
      <c r="C53" s="3" t="inlineStr">
        <is>
          <t>Ramp: share of steady-state members active in Q2</t>
        </is>
      </c>
      <c r="D53" s="3" t="n">
        <v>0.06</v>
      </c>
      <c r="E53" s="3" t="n">
        <v>0.06</v>
      </c>
      <c r="F53" s="3" t="n">
        <v>0.06</v>
      </c>
      <c r="G53" s="3" t="inlineStr">
        <is>
          <t>share</t>
        </is>
      </c>
      <c r="H53" s="3" t="inlineStr">
        <is>
          <t>Design decision, same rollout-ramp reasoning as A37a: end of the pilot phase (PLAN.md section 2.2.7), the point at which gate G1 is assessed.</t>
        </is>
      </c>
      <c r="I53" s="3" t="inlineStr">
        <is>
          <t>n/a</t>
        </is>
      </c>
    </row>
    <row r="54">
      <c r="A54" s="3" t="inlineStr">
        <is>
          <t>A37c</t>
        </is>
      </c>
      <c r="B54" s="3" t="inlineStr">
        <is>
          <t>c4</t>
        </is>
      </c>
      <c r="C54" s="3" t="inlineStr">
        <is>
          <t>Ramp: share of steady-state members active in Q3</t>
        </is>
      </c>
      <c r="D54" s="3" t="n">
        <v>0.25</v>
      </c>
      <c r="E54" s="3" t="n">
        <v>0.25</v>
      </c>
      <c r="F54" s="3" t="n">
        <v>0.25</v>
      </c>
      <c r="G54" s="3" t="inlineStr">
        <is>
          <t>share</t>
        </is>
      </c>
      <c r="H54" s="3" t="inlineStr">
        <is>
          <t>Design decision, same rollout-ramp reasoning as A37a: start of the scale phase (8 states) per PLAN.md section 2.2.7, the step-up reflects distributor-led enrolment at volume.</t>
        </is>
      </c>
      <c r="I54" s="3" t="inlineStr">
        <is>
          <t>n/a</t>
        </is>
      </c>
    </row>
    <row r="55">
      <c r="A55" s="3" t="inlineStr">
        <is>
          <t>A37d</t>
        </is>
      </c>
      <c r="B55" s="3" t="inlineStr">
        <is>
          <t>c4</t>
        </is>
      </c>
      <c r="C55" s="3" t="inlineStr">
        <is>
          <t>Ramp: share of steady-state members active in Q4</t>
        </is>
      </c>
      <c r="D55" s="3" t="n">
        <v>0.45</v>
      </c>
      <c r="E55" s="3" t="n">
        <v>0.45</v>
      </c>
      <c r="F55" s="3" t="n">
        <v>0.45</v>
      </c>
      <c r="G55" s="3" t="inlineStr">
        <is>
          <t>share</t>
        </is>
      </c>
      <c r="H55" s="3" t="inlineStr">
        <is>
          <t>Design decision, same rollout-ramp reasoning as A37a: end of the scale phase, the point at which gate G2 is assessed per PLAN.md section 2.2.7.</t>
        </is>
      </c>
      <c r="I55" s="3" t="inlineStr">
        <is>
          <t>n/a</t>
        </is>
      </c>
    </row>
    <row r="56">
      <c r="A56" s="3" t="inlineStr">
        <is>
          <t>A37e</t>
        </is>
      </c>
      <c r="B56" s="3" t="inlineStr">
        <is>
          <t>c4</t>
        </is>
      </c>
      <c r="C56" s="3" t="inlineStr">
        <is>
          <t>Ramp: share of steady-state members active in Q5</t>
        </is>
      </c>
      <c r="D56" s="3" t="n">
        <v>0.65</v>
      </c>
      <c r="E56" s="3" t="n">
        <v>0.65</v>
      </c>
      <c r="F56" s="3" t="n">
        <v>0.65</v>
      </c>
      <c r="G56" s="3" t="inlineStr">
        <is>
          <t>share</t>
        </is>
      </c>
      <c r="H56" s="3" t="inlineStr">
        <is>
          <t>Design decision, same rollout-ramp reasoning as A37a: start of the national phase (all states through the distributor network) per PLAN.md section 2.2.7.</t>
        </is>
      </c>
      <c r="I56" s="3" t="inlineStr">
        <is>
          <t>n/a</t>
        </is>
      </c>
    </row>
    <row r="57">
      <c r="A57" s="3" t="inlineStr">
        <is>
          <t>A37f</t>
        </is>
      </c>
      <c r="B57" s="3" t="inlineStr">
        <is>
          <t>c4</t>
        </is>
      </c>
      <c r="C57" s="3" t="inlineStr">
        <is>
          <t>Ramp: share of steady-state members active in Q6</t>
        </is>
      </c>
      <c r="D57" s="3" t="n">
        <v>0.8</v>
      </c>
      <c r="E57" s="3" t="n">
        <v>0.8</v>
      </c>
      <c r="F57" s="3" t="n">
        <v>0.8</v>
      </c>
      <c r="G57" s="3" t="inlineStr">
        <is>
          <t>share</t>
        </is>
      </c>
      <c r="H57" s="3" t="inlineStr">
        <is>
          <t>Design decision, same rollout-ramp reasoning as A37a: continued national build-out per PLAN.md section 2.2.7.</t>
        </is>
      </c>
      <c r="I57" s="3" t="inlineStr">
        <is>
          <t>n/a</t>
        </is>
      </c>
    </row>
    <row r="58">
      <c r="A58" s="3" t="inlineStr">
        <is>
          <t>A37g</t>
        </is>
      </c>
      <c r="B58" s="3" t="inlineStr">
        <is>
          <t>c4</t>
        </is>
      </c>
      <c r="C58" s="3" t="inlineStr">
        <is>
          <t>Ramp: share of steady-state members active in Q7</t>
        </is>
      </c>
      <c r="D58" s="3" t="n">
        <v>0.95</v>
      </c>
      <c r="E58" s="3" t="n">
        <v>0.95</v>
      </c>
      <c r="F58" s="3" t="n">
        <v>0.95</v>
      </c>
      <c r="G58" s="3" t="inlineStr">
        <is>
          <t>share</t>
        </is>
      </c>
      <c r="H58" s="3" t="inlineStr">
        <is>
          <t>Design decision, same rollout-ramp reasoning as A37a: near-complete national coverage per PLAN.md section 2.2.7.</t>
        </is>
      </c>
      <c r="I58" s="3" t="inlineStr">
        <is>
          <t>n/a</t>
        </is>
      </c>
    </row>
    <row r="59">
      <c r="A59" s="3" t="inlineStr">
        <is>
          <t>A37h</t>
        </is>
      </c>
      <c r="B59" s="3" t="inlineStr">
        <is>
          <t>c4</t>
        </is>
      </c>
      <c r="C59" s="3" t="inlineStr">
        <is>
          <t>Ramp: share of steady-state members active in Q8</t>
        </is>
      </c>
      <c r="D59" s="3" t="n">
        <v>1</v>
      </c>
      <c r="E59" s="3" t="n">
        <v>1</v>
      </c>
      <c r="F59" s="3" t="n">
        <v>1</v>
      </c>
      <c r="G59" s="3" t="inlineStr">
        <is>
          <t>share</t>
        </is>
      </c>
      <c r="H59" s="3" t="inlineStr">
        <is>
          <t>Design decision, same rollout-ramp reasoning as A37a: full steady state reached, the point at which gate G3 (annual brand-track re-run) is assessed per PLAN.md section 2.2.7.</t>
        </is>
      </c>
      <c r="I59" s="3" t="inlineStr">
        <is>
          <t>n/a</t>
        </is>
      </c>
    </row>
    <row r="60">
      <c r="A60" s="3" t="inlineStr">
        <is>
          <t>A38</t>
        </is>
      </c>
      <c r="B60" s="3" t="inlineStr">
        <is>
          <t>c4</t>
        </is>
      </c>
      <c r="C60" s="3" t="inlineStr">
        <is>
          <t>Validation interviews before pilot</t>
        </is>
      </c>
      <c r="D60" s="3" t="n">
        <v>60</v>
      </c>
      <c r="E60" s="3" t="n">
        <v>60</v>
      </c>
      <c r="F60" s="3" t="n">
        <v>60</v>
      </c>
      <c r="G60" s="3" t="inlineStr">
        <is>
          <t>count</t>
        </is>
      </c>
      <c r="H60" s="3" t="inlineStr">
        <is>
          <t>Design decision: 20 interviews per segment (S-A, S-B, S-C) as a practical minimum for a qualitative Customer Validation Plan per PLAN.md section 5.3 and the golden rule against fabricated primary research (PLAN.md section 0.3, rule 4); no source needed for a planned-but-not-yet-run interview count.</t>
        </is>
      </c>
      <c r="I60" s="3" t="inlineStr">
        <is>
          <t>n/a</t>
        </is>
      </c>
    </row>
    <row r="61">
      <c r="A61" s="3" t="inlineStr">
        <is>
          <t>A39</t>
        </is>
      </c>
      <c r="B61" s="3" t="inlineStr">
        <is>
          <t>c4</t>
        </is>
      </c>
      <c r="C61" s="3" t="inlineStr">
        <is>
          <t>Validation cities</t>
        </is>
      </c>
      <c r="D61" s="3" t="n">
        <v>4</v>
      </c>
      <c r="E61" s="3" t="n">
        <v>4</v>
      </c>
      <c r="F61" s="3" t="n">
        <v>4</v>
      </c>
      <c r="G61" s="3" t="inlineStr">
        <is>
          <t>count</t>
        </is>
      </c>
      <c r="H61" s="3" t="inlineStr">
        <is>
          <t>Design decision: two cities in each of the two pilot states (Tamil Nadu and Uttar Pradesh, per PLAN.md section 2.2.7's pilot-state rule), giving four validation cities; no source needed for a planned fieldwork count.</t>
        </is>
      </c>
      <c r="I61" s="3" t="inlineStr">
        <is>
          <t>n/a</t>
        </is>
      </c>
    </row>
    <row r="62">
      <c r="A62" s="3" t="inlineStr">
        <is>
          <t>A1-01</t>
        </is>
      </c>
      <c r="B62" s="3" t="inlineStr">
        <is>
          <t>c1</t>
        </is>
      </c>
      <c r="C62" s="3" t="inlineStr">
        <is>
          <t>Consolidated revenue from operations, FY26</t>
        </is>
      </c>
      <c r="D62" s="3" t="n">
        <v>3643</v>
      </c>
      <c r="E62" s="3" t="n">
        <v>3643</v>
      </c>
      <c r="F62" s="3" t="n">
        <v>3658</v>
      </c>
      <c r="G62" s="3" t="inlineStr">
        <is>
          <t>INR crore</t>
        </is>
      </c>
      <c r="H62" s="3" t="inlineStr">
        <is>
          <t>FY26 consolidated revenue per Screener.in compilation of filed results (RA12/RA92); a second source gives total income INR 3658.32 crore (RA16), used as the bull-side variant.</t>
        </is>
      </c>
      <c r="I62" s="3" t="inlineStr">
        <is>
          <t>RA12;RA92;RA16</t>
        </is>
      </c>
    </row>
    <row r="63">
      <c r="A63" s="3" t="inlineStr">
        <is>
          <t>A1-02</t>
        </is>
      </c>
      <c r="B63" s="3" t="inlineStr">
        <is>
          <t>c1</t>
        </is>
      </c>
      <c r="C63" s="3" t="inlineStr">
        <is>
          <t>Budget share of operating revenue</t>
        </is>
      </c>
      <c r="D63" s="3" t="n">
        <v>1.5</v>
      </c>
      <c r="E63" s="3" t="n">
        <v>1.75</v>
      </c>
      <c r="F63" s="3" t="n">
        <v>2</v>
      </c>
      <c r="G63" s="3" t="inlineStr">
        <is>
          <t>%</t>
        </is>
      </c>
      <c r="H63" s="3" t="inlineStr">
        <is>
          <t>Brief C1-B12 states the marketing budget is 1.5% to 2% of operating revenue; base set at the convention used elsewhere in this build.</t>
        </is>
      </c>
      <c r="I63" s="3" t="inlineStr">
        <is>
          <t>C1-B12</t>
        </is>
      </c>
    </row>
    <row r="64">
      <c r="A64" s="3" t="inlineStr">
        <is>
          <t>A1-03</t>
        </is>
      </c>
      <c r="B64" s="3" t="inlineStr">
        <is>
          <t>c1</t>
        </is>
      </c>
      <c r="C64" s="3" t="inlineStr">
        <is>
          <t>Share of budget: Commuter segment</t>
        </is>
      </c>
      <c r="D64" s="3" t="n">
        <v>0.4</v>
      </c>
      <c r="E64" s="3" t="n">
        <v>0.4</v>
      </c>
      <c r="F64" s="3" t="n">
        <v>0.4</v>
      </c>
      <c r="G64" s="3" t="inlineStr">
        <is>
          <t>share</t>
        </is>
      </c>
      <c r="H64" s="3" t="inlineStr">
        <is>
          <t>Design allocation: Commuter is the largest-volume, lowest-margin segment and gets the largest nominal share though the lowest per-rider spend; sized with A1-04/05/06 to sum to 1.0.</t>
        </is>
      </c>
      <c r="I64" s="3" t="inlineStr">
        <is>
          <t>design</t>
        </is>
      </c>
    </row>
    <row r="65">
      <c r="A65" s="3" t="inlineStr">
        <is>
          <t>A1-04</t>
        </is>
      </c>
      <c r="B65" s="3" t="inlineStr">
        <is>
          <t>c1</t>
        </is>
      </c>
      <c r="C65" s="3" t="inlineStr">
        <is>
          <t>Share of budget: Gig segment</t>
        </is>
      </c>
      <c r="D65" s="3" t="n">
        <v>0.25</v>
      </c>
      <c r="E65" s="3" t="n">
        <v>0.25</v>
      </c>
      <c r="F65" s="3" t="n">
        <v>0.25</v>
      </c>
      <c r="G65" s="3" t="inlineStr">
        <is>
          <t>share</t>
        </is>
      </c>
      <c r="H65" s="3" t="inlineStr">
        <is>
          <t>Design allocation: gig riders carry the proof-of-distance evidence central to the Case 1 recommendation, so the second-largest share; sized with A1-03/05/06 to sum to 1.0.</t>
        </is>
      </c>
      <c r="I65" s="3" t="inlineStr">
        <is>
          <t>design</t>
        </is>
      </c>
    </row>
    <row r="66">
      <c r="A66" s="3" t="inlineStr">
        <is>
          <t>A1-05</t>
        </is>
      </c>
      <c r="B66" s="3" t="inlineStr">
        <is>
          <t>c1</t>
        </is>
      </c>
      <c r="C66" s="3" t="inlineStr">
        <is>
          <t>Share of budget: Premium segment</t>
        </is>
      </c>
      <c r="D66" s="3" t="n">
        <v>0.2</v>
      </c>
      <c r="E66" s="3" t="n">
        <v>0.2</v>
      </c>
      <c r="F66" s="3" t="n">
        <v>0.2</v>
      </c>
      <c r="G66" s="3" t="inlineStr">
        <is>
          <t>share</t>
        </is>
      </c>
      <c r="H66" s="3" t="inlineStr">
        <is>
          <t>Design allocation: Premium is lower volume but highest margin and carries the technology story; sized with A1-03/04/06 to sum to 1.0.</t>
        </is>
      </c>
      <c r="I66" s="3" t="inlineStr">
        <is>
          <t>design</t>
        </is>
      </c>
    </row>
    <row r="67">
      <c r="A67" s="3" t="inlineStr">
        <is>
          <t>A1-06</t>
        </is>
      </c>
      <c r="B67" s="3" t="inlineStr">
        <is>
          <t>c1</t>
        </is>
      </c>
      <c r="C67" s="3" t="inlineStr">
        <is>
          <t>Share of budget: Brand platform (masterbrand, sponsorship)</t>
        </is>
      </c>
      <c r="D67" s="3" t="n">
        <v>0.15</v>
      </c>
      <c r="E67" s="3" t="n">
        <v>0.15</v>
      </c>
      <c r="F67" s="3" t="n">
        <v>0.15</v>
      </c>
      <c r="G67" s="3" t="inlineStr">
        <is>
          <t>share</t>
        </is>
      </c>
      <c r="H67" s="3" t="inlineStr">
        <is>
          <t>Design allocation: residual share funds the shared masterbrand platform (for example the existing CSK sponsorship, RA37) that sits above all three segments; sized with A1-03/04/05 to sum to 1.0.</t>
        </is>
      </c>
      <c r="I67" s="3" t="inlineStr">
        <is>
          <t>design;RA37</t>
        </is>
      </c>
    </row>
    <row r="68">
      <c r="A68" s="3" t="inlineStr">
        <is>
          <t>A1-07</t>
        </is>
      </c>
      <c r="B68" s="3" t="inlineStr">
        <is>
          <t>c1</t>
        </is>
      </c>
      <c r="C68" s="3" t="inlineStr">
        <is>
          <t>Commuter channel split: Digital</t>
        </is>
      </c>
      <c r="D68" s="3" t="n">
        <v>0.35</v>
      </c>
      <c r="E68" s="3" t="n">
        <v>0.35</v>
      </c>
      <c r="F68" s="3" t="n">
        <v>0.35</v>
      </c>
      <c r="G68" s="3" t="inlineStr">
        <is>
          <t>share</t>
        </is>
      </c>
      <c r="H68" s="3" t="inlineStr">
        <is>
          <t>Design allocation inside the Commuter budget; sized with A1-08/09 to sum to 1.0. Commuter reach leans on retail-counter proof over pure digital spend.</t>
        </is>
      </c>
      <c r="I68" s="3" t="inlineStr">
        <is>
          <t>design</t>
        </is>
      </c>
    </row>
    <row r="69">
      <c r="A69" s="3" t="inlineStr">
        <is>
          <t>A1-08</t>
        </is>
      </c>
      <c r="B69" s="3" t="inlineStr">
        <is>
          <t>c1</t>
        </is>
      </c>
      <c r="C69" s="3" t="inlineStr">
        <is>
          <t>Commuter channel split: Retail</t>
        </is>
      </c>
      <c r="D69" s="3" t="n">
        <v>0.4</v>
      </c>
      <c r="E69" s="3" t="n">
        <v>0.4</v>
      </c>
      <c r="F69" s="3" t="n">
        <v>0.4</v>
      </c>
      <c r="G69" s="3" t="inlineStr">
        <is>
          <t>share</t>
        </is>
      </c>
      <c r="H69" s="3" t="inlineStr">
        <is>
          <t>Design allocation: Commuter riders decide largely at the retail counter and mechanic shop, so retail gets the largest Commuter share; sized with A1-07/09 to sum to 1.0.</t>
        </is>
      </c>
      <c r="I69" s="3" t="inlineStr">
        <is>
          <t>design</t>
        </is>
      </c>
    </row>
    <row r="70">
      <c r="A70" s="3" t="inlineStr">
        <is>
          <t>A1-09</t>
        </is>
      </c>
      <c r="B70" s="3" t="inlineStr">
        <is>
          <t>c1</t>
        </is>
      </c>
      <c r="C70" s="3" t="inlineStr">
        <is>
          <t>Commuter channel split: On-ground</t>
        </is>
      </c>
      <c r="D70" s="3" t="n">
        <v>0.25</v>
      </c>
      <c r="E70" s="3" t="n">
        <v>0.25</v>
      </c>
      <c r="F70" s="3" t="n">
        <v>0.25</v>
      </c>
      <c r="G70" s="3" t="inlineStr">
        <is>
          <t>share</t>
        </is>
      </c>
      <c r="H70" s="3" t="inlineStr">
        <is>
          <t>Design allocation; sized with A1-07/08 to sum to 1.0.</t>
        </is>
      </c>
      <c r="I70" s="3" t="inlineStr">
        <is>
          <t>design</t>
        </is>
      </c>
    </row>
    <row r="71">
      <c r="A71" s="3" t="inlineStr">
        <is>
          <t>A1-10</t>
        </is>
      </c>
      <c r="B71" s="3" t="inlineStr">
        <is>
          <t>c1</t>
        </is>
      </c>
      <c r="C71" s="3" t="inlineStr">
        <is>
          <t>Gig channel split: Digital</t>
        </is>
      </c>
      <c r="D71" s="3" t="n">
        <v>0.25</v>
      </c>
      <c r="E71" s="3" t="n">
        <v>0.25</v>
      </c>
      <c r="F71" s="3" t="n">
        <v>0.25</v>
      </c>
      <c r="G71" s="3" t="inlineStr">
        <is>
          <t>share</t>
        </is>
      </c>
      <c r="H71" s="3" t="inlineStr">
        <is>
          <t>Design allocation inside the Gig budget; sized with A1-11/12 to sum to 1.0.</t>
        </is>
      </c>
      <c r="I71" s="3" t="inlineStr">
        <is>
          <t>design</t>
        </is>
      </c>
    </row>
    <row r="72">
      <c r="A72" s="3" t="inlineStr">
        <is>
          <t>A1-11</t>
        </is>
      </c>
      <c r="B72" s="3" t="inlineStr">
        <is>
          <t>c1</t>
        </is>
      </c>
      <c r="C72" s="3" t="inlineStr">
        <is>
          <t>Gig channel split: Retail</t>
        </is>
      </c>
      <c r="D72" s="3" t="n">
        <v>0.25</v>
      </c>
      <c r="E72" s="3" t="n">
        <v>0.25</v>
      </c>
      <c r="F72" s="3" t="n">
        <v>0.25</v>
      </c>
      <c r="G72" s="3" t="inlineStr">
        <is>
          <t>share</t>
        </is>
      </c>
      <c r="H72" s="3" t="inlineStr">
        <is>
          <t>Design allocation; sized with A1-10/12 to sum to 1.0.</t>
        </is>
      </c>
      <c r="I72" s="3" t="inlineStr">
        <is>
          <t>design</t>
        </is>
      </c>
    </row>
    <row r="73">
      <c r="A73" s="3" t="inlineStr">
        <is>
          <t>A1-12</t>
        </is>
      </c>
      <c r="B73" s="3" t="inlineStr">
        <is>
          <t>c1</t>
        </is>
      </c>
      <c r="C73" s="3" t="inlineStr">
        <is>
          <t>Gig channel split: On-ground (fleet operator and platform enrolment)</t>
        </is>
      </c>
      <c r="D73" s="3" t="n">
        <v>0.5</v>
      </c>
      <c r="E73" s="3" t="n">
        <v>0.5</v>
      </c>
      <c r="F73" s="3" t="n">
        <v>0.5</v>
      </c>
      <c r="G73" s="3" t="inlineStr">
        <is>
          <t>share</t>
        </is>
      </c>
      <c r="H73" s="3" t="inlineStr">
        <is>
          <t>Design allocation: gig riders are reached chiefly through fleet operators and delivery/ride-hailing platform partnerships, not mass media, so on-ground carries the largest Gig share; sized with A1-10/11 to sum to 1.0.</t>
        </is>
      </c>
      <c r="I73" s="3" t="inlineStr">
        <is>
          <t>design</t>
        </is>
      </c>
    </row>
    <row r="74">
      <c r="A74" s="3" t="inlineStr">
        <is>
          <t>A1-13</t>
        </is>
      </c>
      <c r="B74" s="3" t="inlineStr">
        <is>
          <t>c1</t>
        </is>
      </c>
      <c r="C74" s="3" t="inlineStr">
        <is>
          <t>Premium channel split: Digital</t>
        </is>
      </c>
      <c r="D74" s="3" t="n">
        <v>0.45</v>
      </c>
      <c r="E74" s="3" t="n">
        <v>0.45</v>
      </c>
      <c r="F74" s="3" t="n">
        <v>0.45</v>
      </c>
      <c r="G74" s="3" t="inlineStr">
        <is>
          <t>share</t>
        </is>
      </c>
      <c r="H74" s="3" t="inlineStr">
        <is>
          <t>Design allocation: Premium riders are reached through riding-community digital content and peer advocacy; sized with A1-14/15 to sum to 1.0.</t>
        </is>
      </c>
      <c r="I74" s="3" t="inlineStr">
        <is>
          <t>design</t>
        </is>
      </c>
    </row>
    <row r="75">
      <c r="A75" s="3" t="inlineStr">
        <is>
          <t>A1-14</t>
        </is>
      </c>
      <c r="B75" s="3" t="inlineStr">
        <is>
          <t>c1</t>
        </is>
      </c>
      <c r="C75" s="3" t="inlineStr">
        <is>
          <t>Premium channel split: Retail</t>
        </is>
      </c>
      <c r="D75" s="3" t="n">
        <v>0.15</v>
      </c>
      <c r="E75" s="3" t="n">
        <v>0.15</v>
      </c>
      <c r="F75" s="3" t="n">
        <v>0.15</v>
      </c>
      <c r="G75" s="3" t="inlineStr">
        <is>
          <t>share</t>
        </is>
      </c>
      <c r="H75" s="3" t="inlineStr">
        <is>
          <t>Design allocation: Premium retail footprint is smaller, fewer signature stores (RA49); sized with A1-13/15 to sum to 1.0.</t>
        </is>
      </c>
      <c r="I75" s="3" t="inlineStr">
        <is>
          <t>design;RA49</t>
        </is>
      </c>
    </row>
    <row r="76">
      <c r="A76" s="3" t="inlineStr">
        <is>
          <t>A1-15</t>
        </is>
      </c>
      <c r="B76" s="3" t="inlineStr">
        <is>
          <t>c1</t>
        </is>
      </c>
      <c r="C76" s="3" t="inlineStr">
        <is>
          <t>Premium channel split: On-ground (track and test events)</t>
        </is>
      </c>
      <c r="D76" s="3" t="n">
        <v>0.4</v>
      </c>
      <c r="E76" s="3" t="n">
        <v>0.4</v>
      </c>
      <c r="F76" s="3" t="n">
        <v>0.4</v>
      </c>
      <c r="G76" s="3" t="inlineStr">
        <is>
          <t>share</t>
        </is>
      </c>
      <c r="H76" s="3" t="inlineStr">
        <is>
          <t>Design allocation: track days and test events (media_costs.csv trackday_mmrt_halfday, trackday_bic_motorcycle) carry the technology proof for this segment; sized with A1-13/14 to sum to 1.0.</t>
        </is>
      </c>
      <c r="I76" s="3" t="inlineStr">
        <is>
          <t>design;S443;S444</t>
        </is>
      </c>
    </row>
    <row r="77">
      <c r="A77" s="3" t="inlineStr">
        <is>
          <t>A1-16</t>
        </is>
      </c>
      <c r="B77" s="3" t="inlineStr">
        <is>
          <t>c1</t>
        </is>
      </c>
      <c r="C77" s="3" t="inlineStr">
        <is>
          <t>Brand platform channel split: Digital</t>
        </is>
      </c>
      <c r="D77" s="3" t="n">
        <v>0.6</v>
      </c>
      <c r="E77" s="3" t="n">
        <v>0.6</v>
      </c>
      <c r="F77" s="3" t="n">
        <v>0.6</v>
      </c>
      <c r="G77" s="3" t="inlineStr">
        <is>
          <t>share</t>
        </is>
      </c>
      <c r="H77" s="3" t="inlineStr">
        <is>
          <t>Design allocation: the masterbrand platform's reach is built on digital and sponsorship amplification; sized with A1-17/18 to sum to 1.0.</t>
        </is>
      </c>
      <c r="I77" s="3" t="inlineStr">
        <is>
          <t>design</t>
        </is>
      </c>
    </row>
    <row r="78">
      <c r="A78" s="3" t="inlineStr">
        <is>
          <t>A1-17</t>
        </is>
      </c>
      <c r="B78" s="3" t="inlineStr">
        <is>
          <t>c1</t>
        </is>
      </c>
      <c r="C78" s="3" t="inlineStr">
        <is>
          <t>Brand platform channel split: Retail</t>
        </is>
      </c>
      <c r="D78" s="3" t="n">
        <v>0.2</v>
      </c>
      <c r="E78" s="3" t="n">
        <v>0.2</v>
      </c>
      <c r="F78" s="3" t="n">
        <v>0.2</v>
      </c>
      <c r="G78" s="3" t="inlineStr">
        <is>
          <t>share</t>
        </is>
      </c>
      <c r="H78" s="3" t="inlineStr">
        <is>
          <t>Design allocation; sized with A1-16/18 to sum to 1.0.</t>
        </is>
      </c>
      <c r="I78" s="3" t="inlineStr">
        <is>
          <t>design</t>
        </is>
      </c>
    </row>
    <row r="79">
      <c r="A79" s="3" t="inlineStr">
        <is>
          <t>A1-18</t>
        </is>
      </c>
      <c r="B79" s="3" t="inlineStr">
        <is>
          <t>c1</t>
        </is>
      </c>
      <c r="C79" s="3" t="inlineStr">
        <is>
          <t>Brand platform channel split: On-ground</t>
        </is>
      </c>
      <c r="D79" s="3" t="n">
        <v>0.2</v>
      </c>
      <c r="E79" s="3" t="n">
        <v>0.2</v>
      </c>
      <c r="F79" s="3" t="n">
        <v>0.2</v>
      </c>
      <c r="G79" s="3" t="inlineStr">
        <is>
          <t>share</t>
        </is>
      </c>
      <c r="H79" s="3" t="inlineStr">
        <is>
          <t>Design allocation; sized with A1-16/17 to sum to 1.0.</t>
        </is>
      </c>
      <c r="I79" s="3" t="inlineStr">
        <is>
          <t>design</t>
        </is>
      </c>
    </row>
    <row r="80">
      <c r="A80" s="3" t="inlineStr">
        <is>
          <t>A1-19</t>
        </is>
      </c>
      <c r="B80" s="3" t="inlineStr">
        <is>
          <t>c1</t>
        </is>
      </c>
      <c r="C80" s="3" t="inlineStr">
        <is>
          <t>Digital CPM, cost per 1,000 impressions</t>
        </is>
      </c>
      <c r="D80" s="3" t="n">
        <v>250</v>
      </c>
      <c r="E80" s="3" t="n">
        <v>120</v>
      </c>
      <c r="F80" s="3" t="n">
        <v>40</v>
      </c>
      <c r="G80" s="3" t="inlineStr">
        <is>
          <t>INR</t>
        </is>
      </c>
      <c r="H80" s="3" t="inlineStr">
        <is>
          <t>media_costs.csv digital_youtube_cpm gives a vendor-reported India CPM range of INR 40 to 250 depending on content niche; bear takes the high end of the range (costlier), bull the low end.</t>
        </is>
      </c>
      <c r="I80" s="3" t="inlineStr">
        <is>
          <t>S425</t>
        </is>
      </c>
    </row>
    <row r="81">
      <c r="A81" s="3" t="inlineStr">
        <is>
          <t>A1-20</t>
        </is>
      </c>
      <c r="B81" s="3" t="inlineStr">
        <is>
          <t>c1</t>
        </is>
      </c>
      <c r="C81" s="3" t="inlineStr">
        <is>
          <t>Retail branding cost per outlet per year</t>
        </is>
      </c>
      <c r="D81" s="3" t="n">
        <v>4500</v>
      </c>
      <c r="E81" s="3" t="n">
        <v>2500</v>
      </c>
      <c r="F81" s="3" t="n">
        <v>1250</v>
      </c>
      <c r="G81" s="3" t="inlineStr">
        <is>
          <t>INR</t>
        </is>
      </c>
      <c r="H81" s="3" t="inlineStr">
        <is>
          <t>Derived from media_costs.csv retail_glow_signboard and retail_led_signboard installed rates (INR 250 to 900 per sq ft) assuming a 15 sq ft shop board amortised over 3 years (design assumption for board size and amortisation, since no single per-outlet annual branding cost figure was found).</t>
        </is>
      </c>
      <c r="I81" s="3" t="inlineStr">
        <is>
          <t>S440</t>
        </is>
      </c>
    </row>
    <row r="82">
      <c r="A82" s="3" t="inlineStr">
        <is>
          <t>A1-21</t>
        </is>
      </c>
      <c r="B82" s="3" t="inlineStr">
        <is>
          <t>c1</t>
        </is>
      </c>
      <c r="C82" s="3" t="inlineStr">
        <is>
          <t>Cost per on-ground event</t>
        </is>
      </c>
      <c r="D82" s="3" t="n">
        <v>800000</v>
      </c>
      <c r="E82" s="3" t="n">
        <v>500000</v>
      </c>
      <c r="F82" s="3" t="n">
        <v>300000</v>
      </c>
      <c r="G82" s="3" t="inlineStr">
        <is>
          <t>INR</t>
        </is>
      </c>
      <c r="H82" s="3" t="inlineStr">
        <is>
          <t>media_costs.csv onground_activation_popup gives a vendor-reported single-city metro-mall activation cost of INR 3,00,000 to 8,00,000; bear takes the high end, bull the low end.</t>
        </is>
      </c>
      <c r="I82" s="3" t="inlineStr">
        <is>
          <t>S441</t>
        </is>
      </c>
    </row>
    <row r="83">
      <c r="A83" s="3" t="inlineStr">
        <is>
          <t>A1-22</t>
        </is>
      </c>
      <c r="B83" s="3" t="inlineStr">
        <is>
          <t>c1</t>
        </is>
      </c>
      <c r="C83" s="3" t="inlineStr">
        <is>
          <t>Riders reached per event</t>
        </is>
      </c>
      <c r="D83" s="3" t="n">
        <v>2000</v>
      </c>
      <c r="E83" s="3" t="n">
        <v>3000</v>
      </c>
      <c r="F83" s="3" t="n">
        <v>5000</v>
      </c>
      <c r="G83" s="3" t="inlineStr">
        <is>
          <t>count</t>
        </is>
      </c>
      <c r="H83" s="3" t="inlineStr">
        <is>
          <t>No source found for riders reached per activation; reasoned design estimate based on typical footfall engagement at a metro-mall pop-up activation of the scale costed in A1-21.</t>
        </is>
      </c>
      <c r="I83" s="3" t="inlineStr">
        <is>
          <t>design</t>
        </is>
      </c>
    </row>
    <row r="84">
      <c r="A84" s="3" t="inlineStr">
        <is>
          <t>A1-23</t>
        </is>
      </c>
      <c r="B84" s="3" t="inlineStr">
        <is>
          <t>c1</t>
        </is>
      </c>
      <c r="C84" s="3" t="inlineStr">
        <is>
          <t>Cost per gig rider enrolled through a fleet partner</t>
        </is>
      </c>
      <c r="D84" s="3" t="n">
        <v>400</v>
      </c>
      <c r="E84" s="3" t="n">
        <v>250</v>
      </c>
      <c r="F84" s="3" t="n">
        <v>150</v>
      </c>
      <c r="G84" s="3" t="inlineStr">
        <is>
          <t>INR</t>
        </is>
      </c>
      <c r="H84" s="3" t="inlineStr">
        <is>
          <t>No direct source found; reasoned estimate benchmarked to the Case 4 enrolment-cost logic (A17, distributor staff incentive plus visit) scaled up for a fleet-partner commission or integration cost.</t>
        </is>
      </c>
      <c r="I84" s="3" t="inlineStr">
        <is>
          <t>design;A17</t>
        </is>
      </c>
    </row>
    <row r="85">
      <c r="A85" s="3" t="inlineStr">
        <is>
          <t>A1-24</t>
        </is>
      </c>
      <c r="B85" s="3" t="inlineStr">
        <is>
          <t>c1</t>
        </is>
      </c>
      <c r="C85" s="3" t="inlineStr">
        <is>
          <t>Average frequency for digital reach, exposures per unique viewer in a campaign period</t>
        </is>
      </c>
      <c r="D85" s="3" t="n">
        <v>3</v>
      </c>
      <c r="E85" s="3" t="n">
        <v>4</v>
      </c>
      <c r="F85" s="3" t="n">
        <v>5</v>
      </c>
      <c r="G85" s="3" t="inlineStr">
        <is>
          <t>count</t>
        </is>
      </c>
      <c r="H85" s="3" t="inlineStr">
        <is>
          <t>Standard media-planning assumption, no case-specific source; a frequency of 3 to 5 is the conventional range used to size reach from a digital spend and CPM.</t>
        </is>
      </c>
      <c r="I85" s="3" t="inlineStr">
        <is>
          <t>design</t>
        </is>
      </c>
    </row>
    <row r="86">
      <c r="A86" s="3" t="inlineStr">
        <is>
          <t>A2-02</t>
        </is>
      </c>
      <c r="B86" s="3" t="inlineStr">
        <is>
          <t>c2</t>
        </is>
      </c>
      <c r="C86" s="3" t="inlineStr">
        <is>
          <t>Reference tyre mass, EV scooter class (90/90-12 to 100/90-12)</t>
        </is>
      </c>
      <c r="D86" s="3" t="n">
        <v>2.5</v>
      </c>
      <c r="E86" s="3" t="n">
        <v>2</v>
      </c>
      <c r="F86" s="3" t="n">
        <v>1.5</v>
      </c>
      <c r="G86" s="3" t="inlineStr">
        <is>
          <t>kg</t>
        </is>
      </c>
      <c r="H86" s="3" t="inlineStr">
        <is>
          <t>No direct tyre-mass figure found in R-F (only vehicle kerb weights, RF12/RF13/RF17); reasoned estimate for a scooter-class tubeless tyre in this rim size (per ev_models.csv), informed by general tyre-engineering knowledge rather than a cited figure.</t>
        </is>
      </c>
      <c r="I86" s="3" t="inlineStr">
        <is>
          <t>design;RF12;RF13</t>
        </is>
      </c>
    </row>
    <row r="87">
      <c r="A87" s="3" t="inlineStr">
        <is>
          <t>A2-03</t>
        </is>
      </c>
      <c r="B87" s="3" t="inlineStr">
        <is>
          <t>c2</t>
        </is>
      </c>
      <c r="C87" s="3" t="inlineStr">
        <is>
          <t>Cost-delta ceiling for the EV-ready variant vs the ICE baseline</t>
        </is>
      </c>
      <c r="D87" s="3" t="n">
        <v>10</v>
      </c>
      <c r="E87" s="3" t="n">
        <v>8</v>
      </c>
      <c r="F87" s="3" t="n">
        <v>6</v>
      </c>
      <c r="G87" s="3" t="inlineStr">
        <is>
          <t>%</t>
        </is>
      </c>
      <c r="H87" s="3" t="inlineStr">
        <is>
          <t>Design ceiling consistent with the brief's mass-market cost-realism constraint (C2-B17); base set at the plan's own working default of 8%.</t>
        </is>
      </c>
      <c r="I87" s="3" t="inlineStr">
        <is>
          <t>C2-B17</t>
        </is>
      </c>
    </row>
    <row r="88">
      <c r="A88" s="3" t="inlineStr">
        <is>
          <t>A2-04</t>
        </is>
      </c>
      <c r="B88" s="3" t="inlineStr">
        <is>
          <t>c2</t>
        </is>
      </c>
      <c r="C88" s="3" t="inlineStr">
        <is>
          <t>Tread share of total tyre mass</t>
        </is>
      </c>
      <c r="D88" s="3" t="n">
        <v>0.4</v>
      </c>
      <c r="E88" s="3" t="n">
        <v>0.35</v>
      </c>
      <c r="F88" s="3" t="n">
        <v>0.3</v>
      </c>
      <c r="G88" s="3" t="inlineStr">
        <is>
          <t>share</t>
        </is>
      </c>
      <c r="H88" s="3" t="inlineStr">
        <is>
          <t>No Eurogrip-specific figure found; reasoned estimate from general tyre construction, where tread (cap plus base) commonly runs roughly 30% to 40% of total tyre mass for a motorcycle or scooter tyre.</t>
        </is>
      </c>
      <c r="I88" s="3" t="inlineStr">
        <is>
          <t>design</t>
        </is>
      </c>
    </row>
    <row r="89">
      <c r="A89" s="3" t="inlineStr">
        <is>
          <t>A2-05</t>
        </is>
      </c>
      <c r="B89" s="3" t="inlineStr">
        <is>
          <t>c2</t>
        </is>
      </c>
      <c r="C89" s="3" t="inlineStr">
        <is>
          <t>Cap compound share of tread mass, dual-layer cap-and-base tread</t>
        </is>
      </c>
      <c r="D89" s="3" t="n">
        <v>0.55</v>
      </c>
      <c r="E89" s="3" t="n">
        <v>0.6</v>
      </c>
      <c r="F89" s="3" t="n">
        <v>0.65</v>
      </c>
      <c r="G89" s="3" t="inlineStr">
        <is>
          <t>share</t>
        </is>
      </c>
      <c r="H89" s="3" t="inlineStr">
        <is>
          <t>Reasoned estimate for a dual-layer cap-and-base tread construction (R-F RF24 on silica cap compounds); no numeric cap/base mass split was found in R-F, so the split is a design judgement.</t>
        </is>
      </c>
      <c r="I89" s="3" t="inlineStr">
        <is>
          <t>design;RF24</t>
        </is>
      </c>
    </row>
    <row r="90">
      <c r="A90" s="3" t="inlineStr">
        <is>
          <t>A2-06</t>
        </is>
      </c>
      <c r="B90" s="3" t="inlineStr">
        <is>
          <t>c2</t>
        </is>
      </c>
      <c r="C90" s="3" t="inlineStr">
        <is>
          <t>Baseline factory cost per tyre, reference EV scooter size</t>
        </is>
      </c>
      <c r="D90" s="3" t="n">
        <v>950</v>
      </c>
      <c r="E90" s="3" t="n">
        <v>850</v>
      </c>
      <c r="F90" s="3" t="n">
        <v>750</v>
      </c>
      <c r="G90" s="3" t="inlineStr">
        <is>
          <t>INR</t>
        </is>
      </c>
      <c r="H90" s="3" t="inlineStr">
        <is>
          <t>Derived from Eurogrip scooter-class replacement tyre MRP (prices.csv; RA98 Jumbo GT INR 1,962, RA99 Dragon Plus INR 1,752, average about INR 1,850) net of GST (A28, 18%), channel margin (A29) and a residual company margin consistent with A30; a derivation, not a directly quoted factory cost.</t>
        </is>
      </c>
      <c r="I90" s="3" t="inlineStr">
        <is>
          <t>RA98;RA99</t>
        </is>
      </c>
    </row>
    <row r="91">
      <c r="A91" s="3" t="inlineStr">
        <is>
          <t>A2-07</t>
        </is>
      </c>
      <c r="B91" s="3" t="inlineStr">
        <is>
          <t>c2</t>
        </is>
      </c>
      <c r="C91" s="3" t="inlineStr">
        <is>
          <t>Extra mixing cost per kg of silica compound, additional processing pass</t>
        </is>
      </c>
      <c r="D91" s="3" t="n">
        <v>25</v>
      </c>
      <c r="E91" s="3" t="n">
        <v>20</v>
      </c>
      <c r="F91" s="3" t="n">
        <v>15</v>
      </c>
      <c r="G91" s="3" t="inlineStr">
        <is>
          <t>INR</t>
        </is>
      </c>
      <c r="H91" s="3" t="inlineStr">
        <is>
          <t>No source found for a mixing-pass processing cost; reasoned estimate for the extra energy, time and equipment-amortisation cost of adding a dedicated silica mixing stage, distinct from the material cost itself (materials_prices.csv silica and silane rows).</t>
        </is>
      </c>
      <c r="I91" s="3" t="inlineStr">
        <is>
          <t>design;S485;S489</t>
        </is>
      </c>
    </row>
    <row r="92">
      <c r="A92" s="3" t="inlineStr">
        <is>
          <t>A2-08</t>
        </is>
      </c>
      <c r="B92" s="3" t="inlineStr">
        <is>
          <t>c2</t>
        </is>
      </c>
      <c r="C92" s="3" t="inlineStr">
        <is>
          <t>Reinforcement material cost per tyre for the one- to two-step higher load index</t>
        </is>
      </c>
      <c r="D92" s="3" t="n">
        <v>90</v>
      </c>
      <c r="E92" s="3" t="n">
        <v>65</v>
      </c>
      <c r="F92" s="3" t="n">
        <v>45</v>
      </c>
      <c r="G92" s="3" t="inlineStr">
        <is>
          <t>INR</t>
        </is>
      </c>
      <c r="H92" s="3" t="inlineStr">
        <is>
          <t>Reasoned estimate: additional bead and cord reinforcement mass of about 0.4 kg per tyre at the materials_prices.csv blended 'other' reinforcement-material rate (INR 120 per kg, bead wire and nylon cord); no Eurogrip-specific reinforcement cost was found.</t>
        </is>
      </c>
      <c r="I92" s="3" t="inlineStr">
        <is>
          <t>S517</t>
        </is>
      </c>
    </row>
    <row r="93">
      <c r="A93" s="3" t="inlineStr">
        <is>
          <t>A2-10</t>
        </is>
      </c>
      <c r="B93" s="3" t="inlineStr">
        <is>
          <t>c2</t>
        </is>
      </c>
      <c r="C93" s="3" t="inlineStr">
        <is>
          <t>ICE tread recipe fraction: natural rubber</t>
        </is>
      </c>
      <c r="D93" s="3" t="n">
        <v>0.3</v>
      </c>
      <c r="E93" s="3" t="n">
        <v>0.3</v>
      </c>
      <c r="F93" s="3" t="n">
        <v>0.3</v>
      </c>
      <c r="G93" s="3" t="inlineStr">
        <is>
          <t>share</t>
        </is>
      </c>
      <c r="H93" s="3" t="inlineStr">
        <is>
          <t>Generic motorcycle/scooter tread compound formulation (reasoned; Eurogrip's actual recipe is proprietary and was not found in R-F); sized with A2-11..A2-15 to sum to 1.0.</t>
        </is>
      </c>
      <c r="I93" s="3" t="inlineStr">
        <is>
          <t>design</t>
        </is>
      </c>
    </row>
    <row r="94">
      <c r="A94" s="3" t="inlineStr">
        <is>
          <t>A2-11</t>
        </is>
      </c>
      <c r="B94" s="3" t="inlineStr">
        <is>
          <t>c2</t>
        </is>
      </c>
      <c r="C94" s="3" t="inlineStr">
        <is>
          <t>ICE tread recipe fraction: SBR</t>
        </is>
      </c>
      <c r="D94" s="3" t="n">
        <v>0.25</v>
      </c>
      <c r="E94" s="3" t="n">
        <v>0.25</v>
      </c>
      <c r="F94" s="3" t="n">
        <v>0.25</v>
      </c>
      <c r="G94" s="3" t="inlineStr">
        <is>
          <t>share</t>
        </is>
      </c>
      <c r="H94" s="3" t="inlineStr">
        <is>
          <t>Generic formulation, reasoned as for A2-10; sized with the other five ICE fractions to sum to 1.0.</t>
        </is>
      </c>
      <c r="I94" s="3" t="inlineStr">
        <is>
          <t>design</t>
        </is>
      </c>
    </row>
    <row r="95">
      <c r="A95" s="3" t="inlineStr">
        <is>
          <t>A2-12</t>
        </is>
      </c>
      <c r="B95" s="3" t="inlineStr">
        <is>
          <t>c2</t>
        </is>
      </c>
      <c r="C95" s="3" t="inlineStr">
        <is>
          <t>ICE tread recipe fraction: carbon black</t>
        </is>
      </c>
      <c r="D95" s="3" t="n">
        <v>0.28</v>
      </c>
      <c r="E95" s="3" t="n">
        <v>0.28</v>
      </c>
      <c r="F95" s="3" t="n">
        <v>0.28</v>
      </c>
      <c r="G95" s="3" t="inlineStr">
        <is>
          <t>share</t>
        </is>
      </c>
      <c r="H95" s="3" t="inlineStr">
        <is>
          <t>Generic formulation, reasoned as for A2-10; sized with the other five ICE fractions to sum to 1.0.</t>
        </is>
      </c>
      <c r="I95" s="3" t="inlineStr">
        <is>
          <t>design</t>
        </is>
      </c>
    </row>
    <row r="96">
      <c r="A96" s="3" t="inlineStr">
        <is>
          <t>A2-13</t>
        </is>
      </c>
      <c r="B96" s="3" t="inlineStr">
        <is>
          <t>c2</t>
        </is>
      </c>
      <c r="C96" s="3" t="inlineStr">
        <is>
          <t>ICE tread recipe fraction: process oil</t>
        </is>
      </c>
      <c r="D96" s="3" t="n">
        <v>0.08</v>
      </c>
      <c r="E96" s="3" t="n">
        <v>0.08</v>
      </c>
      <c r="F96" s="3" t="n">
        <v>0.08</v>
      </c>
      <c r="G96" s="3" t="inlineStr">
        <is>
          <t>share</t>
        </is>
      </c>
      <c r="H96" s="3" t="inlineStr">
        <is>
          <t>Generic formulation, reasoned as for A2-10; sized with the other five ICE fractions to sum to 1.0.</t>
        </is>
      </c>
      <c r="I96" s="3" t="inlineStr">
        <is>
          <t>design</t>
        </is>
      </c>
    </row>
    <row r="97">
      <c r="A97" s="3" t="inlineStr">
        <is>
          <t>A2-14</t>
        </is>
      </c>
      <c r="B97" s="3" t="inlineStr">
        <is>
          <t>c2</t>
        </is>
      </c>
      <c r="C97" s="3" t="inlineStr">
        <is>
          <t>ICE tread recipe fraction: chemicals (accelerators, anti-oxidants, zinc oxide, stearic acid)</t>
        </is>
      </c>
      <c r="D97" s="3" t="n">
        <v>0.05</v>
      </c>
      <c r="E97" s="3" t="n">
        <v>0.05</v>
      </c>
      <c r="F97" s="3" t="n">
        <v>0.05</v>
      </c>
      <c r="G97" s="3" t="inlineStr">
        <is>
          <t>share</t>
        </is>
      </c>
      <c r="H97" s="3" t="inlineStr">
        <is>
          <t>Generic formulation, reasoned as for A2-10; sized with the other five ICE fractions to sum to 1.0.</t>
        </is>
      </c>
      <c r="I97" s="3" t="inlineStr">
        <is>
          <t>design</t>
        </is>
      </c>
    </row>
    <row r="98">
      <c r="A98" s="3" t="inlineStr">
        <is>
          <t>A2-15</t>
        </is>
      </c>
      <c r="B98" s="3" t="inlineStr">
        <is>
          <t>c2</t>
        </is>
      </c>
      <c r="C98" s="3" t="inlineStr">
        <is>
          <t>ICE tread recipe fraction: other, fillers and minor additives</t>
        </is>
      </c>
      <c r="D98" s="3" t="n">
        <v>0.04</v>
      </c>
      <c r="E98" s="3" t="n">
        <v>0.04</v>
      </c>
      <c r="F98" s="3" t="n">
        <v>0.04</v>
      </c>
      <c r="G98" s="3" t="inlineStr">
        <is>
          <t>share</t>
        </is>
      </c>
      <c r="H98" s="3" t="inlineStr">
        <is>
          <t>Residual share closing the six-part ICE tread recipe to 1.0; reasoned, not sourced.</t>
        </is>
      </c>
      <c r="I98" s="3" t="inlineStr">
        <is>
          <t>design</t>
        </is>
      </c>
    </row>
    <row r="99">
      <c r="A99" s="3" t="inlineStr">
        <is>
          <t>A2-16</t>
        </is>
      </c>
      <c r="B99" s="3" t="inlineStr">
        <is>
          <t>c2</t>
        </is>
      </c>
      <c r="C99" s="3" t="inlineStr">
        <is>
          <t>EV cap recipe fraction: natural rubber</t>
        </is>
      </c>
      <c r="D99" s="3" t="n">
        <v>0.2</v>
      </c>
      <c r="E99" s="3" t="n">
        <v>0.2</v>
      </c>
      <c r="F99" s="3" t="n">
        <v>0.2</v>
      </c>
      <c r="G99" s="3" t="inlineStr">
        <is>
          <t>share</t>
        </is>
      </c>
      <c r="H99" s="3" t="inlineStr">
        <is>
          <t>Generic silica-rich EV cap compound formulation, reasoned and informed by R-F's qualitative description of silica/solution-SBR cap compounds (RF24), but no numeric recipe was found; sized with A2-17..A2-22 to sum to 1.0.</t>
        </is>
      </c>
      <c r="I99" s="3" t="inlineStr">
        <is>
          <t>design;RF24</t>
        </is>
      </c>
    </row>
    <row r="100">
      <c r="A100" s="3" t="inlineStr">
        <is>
          <t>A2-17</t>
        </is>
      </c>
      <c r="B100" s="3" t="inlineStr">
        <is>
          <t>c2</t>
        </is>
      </c>
      <c r="C100" s="3" t="inlineStr">
        <is>
          <t>EV cap recipe fraction: solution SBR</t>
        </is>
      </c>
      <c r="D100" s="3" t="n">
        <v>0.3</v>
      </c>
      <c r="E100" s="3" t="n">
        <v>0.3</v>
      </c>
      <c r="F100" s="3" t="n">
        <v>0.3</v>
      </c>
      <c r="G100" s="3" t="inlineStr">
        <is>
          <t>share</t>
        </is>
      </c>
      <c r="H100" s="3" t="inlineStr">
        <is>
          <t>Reasoned as for A2-16; sized with the other six EV fractions to sum to 1.0.</t>
        </is>
      </c>
      <c r="I100" s="3" t="inlineStr">
        <is>
          <t>design</t>
        </is>
      </c>
    </row>
    <row r="101">
      <c r="A101" s="3" t="inlineStr">
        <is>
          <t>A2-18</t>
        </is>
      </c>
      <c r="B101" s="3" t="inlineStr">
        <is>
          <t>c2</t>
        </is>
      </c>
      <c r="C101" s="3" t="inlineStr">
        <is>
          <t>EV cap recipe fraction: silica</t>
        </is>
      </c>
      <c r="D101" s="3" t="n">
        <v>0.25</v>
      </c>
      <c r="E101" s="3" t="n">
        <v>0.25</v>
      </c>
      <c r="F101" s="3" t="n">
        <v>0.25</v>
      </c>
      <c r="G101" s="3" t="inlineStr">
        <is>
          <t>share</t>
        </is>
      </c>
      <c r="H101" s="3" t="inlineStr">
        <is>
          <t>Reasoned as for A2-16, consistent with a silica-rich tread per R-F's silane-coupling description (RF24); sized with the other six EV fractions to sum to 1.0.</t>
        </is>
      </c>
      <c r="I101" s="3" t="inlineStr">
        <is>
          <t>design;RF24</t>
        </is>
      </c>
    </row>
    <row r="102">
      <c r="A102" s="3" t="inlineStr">
        <is>
          <t>A2-19</t>
        </is>
      </c>
      <c r="B102" s="3" t="inlineStr">
        <is>
          <t>c2</t>
        </is>
      </c>
      <c r="C102" s="3" t="inlineStr">
        <is>
          <t>EV cap recipe fraction: silane coupling agent</t>
        </is>
      </c>
      <c r="D102" s="3" t="n">
        <v>0.03</v>
      </c>
      <c r="E102" s="3" t="n">
        <v>0.03</v>
      </c>
      <c r="F102" s="3" t="n">
        <v>0.03</v>
      </c>
      <c r="G102" s="3" t="inlineStr">
        <is>
          <t>share</t>
        </is>
      </c>
      <c r="H102" s="3" t="inlineStr">
        <is>
          <t>Reasoned as for A2-16; silane is typically a small-fraction coupling agent relative to the silica it bonds (materials_prices.csv prices it per kg at a specialty-chemical premium); sized with the other six EV fractions to sum to 1.0.</t>
        </is>
      </c>
      <c r="I102" s="3" t="inlineStr">
        <is>
          <t>design;S489</t>
        </is>
      </c>
    </row>
    <row r="103">
      <c r="A103" s="3" t="inlineStr">
        <is>
          <t>A2-20</t>
        </is>
      </c>
      <c r="B103" s="3" t="inlineStr">
        <is>
          <t>c2</t>
        </is>
      </c>
      <c r="C103" s="3" t="inlineStr">
        <is>
          <t>EV cap recipe fraction: carbon black</t>
        </is>
      </c>
      <c r="D103" s="3" t="n">
        <v>0.1</v>
      </c>
      <c r="E103" s="3" t="n">
        <v>0.1</v>
      </c>
      <c r="F103" s="3" t="n">
        <v>0.1</v>
      </c>
      <c r="G103" s="3" t="inlineStr">
        <is>
          <t>share</t>
        </is>
      </c>
      <c r="H103" s="3" t="inlineStr">
        <is>
          <t>Reasoned as for A2-16; carbon black share is reduced relative to the ICE recipe (A2-12) because silica substitutes for part of the reinforcing filler; sized with the other six EV fractions to sum to 1.0.</t>
        </is>
      </c>
      <c r="I103" s="3" t="inlineStr">
        <is>
          <t>design</t>
        </is>
      </c>
    </row>
    <row r="104">
      <c r="A104" s="3" t="inlineStr">
        <is>
          <t>A2-21</t>
        </is>
      </c>
      <c r="B104" s="3" t="inlineStr">
        <is>
          <t>c2</t>
        </is>
      </c>
      <c r="C104" s="3" t="inlineStr">
        <is>
          <t>EV cap recipe fraction: process oil</t>
        </is>
      </c>
      <c r="D104" s="3" t="n">
        <v>0.07000000000000001</v>
      </c>
      <c r="E104" s="3" t="n">
        <v>0.07000000000000001</v>
      </c>
      <c r="F104" s="3" t="n">
        <v>0.07000000000000001</v>
      </c>
      <c r="G104" s="3" t="inlineStr">
        <is>
          <t>share</t>
        </is>
      </c>
      <c r="H104" s="3" t="inlineStr">
        <is>
          <t>Reasoned as for A2-16; sized with the other six EV fractions to sum to 1.0.</t>
        </is>
      </c>
      <c r="I104" s="3" t="inlineStr">
        <is>
          <t>design</t>
        </is>
      </c>
    </row>
    <row r="105">
      <c r="A105" s="3" t="inlineStr">
        <is>
          <t>A2-22</t>
        </is>
      </c>
      <c r="B105" s="3" t="inlineStr">
        <is>
          <t>c2</t>
        </is>
      </c>
      <c r="C105" s="3" t="inlineStr">
        <is>
          <t>EV cap recipe fraction: chemicals</t>
        </is>
      </c>
      <c r="D105" s="3" t="n">
        <v>0.05</v>
      </c>
      <c r="E105" s="3" t="n">
        <v>0.05</v>
      </c>
      <c r="F105" s="3" t="n">
        <v>0.05</v>
      </c>
      <c r="G105" s="3" t="inlineStr">
        <is>
          <t>share</t>
        </is>
      </c>
      <c r="H105" s="3" t="inlineStr">
        <is>
          <t>Residual share closing the seven-part EV cap recipe to 1.0; reasoned, not sourced.</t>
        </is>
      </c>
      <c r="I105" s="3" t="inlineStr">
        <is>
          <t>design</t>
        </is>
      </c>
    </row>
    <row r="106">
      <c r="A106" s="3" t="inlineStr">
        <is>
          <t>A2-23</t>
        </is>
      </c>
      <c r="B106" s="3" t="inlineStr">
        <is>
          <t>c2</t>
        </is>
      </c>
      <c r="C106" s="3" t="inlineStr">
        <is>
          <t>Rolling-resistance reduction of the EV-ready silica cap compound vs the ICE baseline</t>
        </is>
      </c>
      <c r="D106" s="3" t="n">
        <v>15</v>
      </c>
      <c r="E106" s="3" t="n">
        <v>20</v>
      </c>
      <c r="F106" s="3" t="n">
        <v>25</v>
      </c>
      <c r="G106" s="3" t="inlineStr">
        <is>
          <t>%</t>
        </is>
      </c>
      <c r="H106" s="3" t="inlineStr">
        <is>
          <t>R-F's literature review (RF21-RF24) confirms the mechanism, silica/silane lowers low-frequency hysteresis, but gives no numeric reduction figure; this is a reasoned estimate informed by general tyre-compound literature on silica tread benefits, not a verbatim R-F number.</t>
        </is>
      </c>
      <c r="I106" s="3" t="inlineStr">
        <is>
          <t>RF24</t>
        </is>
      </c>
    </row>
    <row r="107">
      <c r="A107" s="3" t="inlineStr">
        <is>
          <t>A2-24</t>
        </is>
      </c>
      <c r="B107" s="3" t="inlineStr">
        <is>
          <t>c2</t>
        </is>
      </c>
      <c r="C107" s="3" t="inlineStr">
        <is>
          <t>Rolling resistance share of total propulsion energy use at urban duty cycle</t>
        </is>
      </c>
      <c r="D107" s="3" t="n">
        <v>0.15</v>
      </c>
      <c r="E107" s="3" t="n">
        <v>0.2</v>
      </c>
      <c r="F107" s="3" t="n">
        <v>0.25</v>
      </c>
      <c r="G107" s="3" t="inlineStr">
        <is>
          <t>share</t>
        </is>
      </c>
      <c r="H107" s="3" t="inlineStr">
        <is>
          <t>No urban-duty energy-split figure was found in R-F; reasoned estimate consistent with general EV energy-use literature, where rolling resistance is a larger share of propulsion energy at low urban speeds than at highway speed, where aerodynamic drag dominates.</t>
        </is>
      </c>
      <c r="I107" s="3" t="inlineStr">
        <is>
          <t>design</t>
        </is>
      </c>
    </row>
    <row r="108">
      <c r="A108" s="3" t="inlineStr">
        <is>
          <t>A2-25</t>
        </is>
      </c>
      <c r="B108" s="3" t="inlineStr">
        <is>
          <t>c2</t>
        </is>
      </c>
      <c r="C108" s="3" t="inlineStr">
        <is>
          <t>Reference EV range used for the range-gain sensitivity</t>
        </is>
      </c>
      <c r="D108" s="3" t="n">
        <v>120</v>
      </c>
      <c r="E108" s="3" t="n">
        <v>150</v>
      </c>
      <c r="F108" s="3" t="n">
        <v>195</v>
      </c>
      <c r="G108" s="3" t="inlineStr">
        <is>
          <t>km</t>
        </is>
      </c>
      <c r="H108" s="3" t="inlineStr">
        <is>
          <t>No single confirmed range figure for the ev_models.csv model set was found in R-F; base is a reasoned central estimate across commonly claimed IDC ranges for this model class (roughly 140 to 195 km), not an independently verified test figure.</t>
        </is>
      </c>
      <c r="I108" s="3" t="inlineStr">
        <is>
          <t>S472;S507;S508</t>
        </is>
      </c>
    </row>
    <row r="109">
      <c r="A109" s="3" t="inlineStr">
        <is>
          <t>A3-01</t>
        </is>
      </c>
      <c r="B109" s="3" t="inlineStr">
        <is>
          <t>c3</t>
        </is>
      </c>
      <c r="C109" s="3" t="inlineStr">
        <is>
          <t>Domestic off-highway tyre (OHT) revenue, FY26</t>
        </is>
      </c>
      <c r="D109" s="3" t="n">
        <v>200</v>
      </c>
      <c r="E109" s="3" t="n">
        <v>255</v>
      </c>
      <c r="F109" s="3" t="n">
        <v>310</v>
      </c>
      <c r="G109" s="3" t="inlineStr">
        <is>
          <t>INR crore</t>
        </is>
      </c>
      <c r="H109" s="3" t="inlineStr">
        <is>
          <t>No company-disclosed domestic-OHT-only revenue split was found (R-A/R-G gaps); R-G (RG74-RG77) describes OHT as currently small-scale and export-led domestically. Reasoned estimate as a modest share, about 5.5% to 8.5%, of FY26 consolidated revenue (RA12, INR 3,643 crore).</t>
        </is>
      </c>
      <c r="I109" s="3" t="inlineStr">
        <is>
          <t>RA12;RG74;RG77</t>
        </is>
      </c>
    </row>
    <row r="110">
      <c r="A110" s="3" t="inlineStr">
        <is>
          <t>A3-02</t>
        </is>
      </c>
      <c r="B110" s="3" t="inlineStr">
        <is>
          <t>c3</t>
        </is>
      </c>
      <c r="C110" s="3" t="inlineStr">
        <is>
          <t>Budget share of domestic OHT revenue</t>
        </is>
      </c>
      <c r="D110" s="3" t="n">
        <v>1.5</v>
      </c>
      <c r="E110" s="3" t="n">
        <v>1.75</v>
      </c>
      <c r="F110" s="3" t="n">
        <v>2</v>
      </c>
      <c r="G110" s="3" t="inlineStr">
        <is>
          <t>%</t>
        </is>
      </c>
      <c r="H110" s="3" t="inlineStr">
        <is>
          <t>Brief C3-B10 states the GTM budget is 1.5% to 2% of the relevant business-unit revenue.</t>
        </is>
      </c>
      <c r="I110" s="3" t="inlineStr">
        <is>
          <t>C3-B10</t>
        </is>
      </c>
    </row>
    <row r="111">
      <c r="A111" s="3" t="inlineStr">
        <is>
          <t>A3-03</t>
        </is>
      </c>
      <c r="B111" s="3" t="inlineStr">
        <is>
          <t>c3</t>
        </is>
      </c>
      <c r="C111" s="3" t="inlineStr">
        <is>
          <t>India tractor parc</t>
        </is>
      </c>
      <c r="D111" s="3" t="n">
        <v>130</v>
      </c>
      <c r="E111" s="3" t="n">
        <v>150</v>
      </c>
      <c r="F111" s="3" t="n">
        <v>170</v>
      </c>
      <c r="G111" s="3" t="inlineStr">
        <is>
          <t>lakh units</t>
        </is>
      </c>
      <c r="H111" s="3" t="inlineStr">
        <is>
          <t>No national tractor-parc figure was found directly in R-G, a logged gap; reasoned estimate derived from FY26 domestic wholesale dispatches of 11.60 lakh units (RG01) and recent-year sales levels (RG07, RG09) accumulated over a typical 12 to 15 year operating life (design assumption for the life span).</t>
        </is>
      </c>
      <c r="I111" s="3" t="inlineStr">
        <is>
          <t>RG01;RG07;RG09</t>
        </is>
      </c>
    </row>
    <row r="112">
      <c r="A112" s="3" t="inlineStr">
        <is>
          <t>A3-04</t>
        </is>
      </c>
      <c r="B112" s="3" t="inlineStr">
        <is>
          <t>c3</t>
        </is>
      </c>
      <c r="C112" s="3" t="inlineStr">
        <is>
          <t>Tractor parc share: commercial and haulage operators (incl. custom hiring centres run commercially)</t>
        </is>
      </c>
      <c r="D112" s="3" t="n">
        <v>0.15</v>
      </c>
      <c r="E112" s="3" t="n">
        <v>0.15</v>
      </c>
      <c r="F112" s="3" t="n">
        <v>0.15</v>
      </c>
      <c r="G112" s="3" t="inlineStr">
        <is>
          <t>share</t>
        </is>
      </c>
      <c r="H112" s="3" t="inlineStr">
        <is>
          <t>Reasoned split; commercial/haulage use is a minority of the national parc, since most tractors are owner-operated on small holdings (RG50/RG51); sized with A3-05/06 to sum to 1.0.</t>
        </is>
      </c>
      <c r="I112" s="3" t="inlineStr">
        <is>
          <t>design;RG50</t>
        </is>
      </c>
    </row>
    <row r="113">
      <c r="A113" s="3" t="inlineStr">
        <is>
          <t>A3-05</t>
        </is>
      </c>
      <c r="B113" s="3" t="inlineStr">
        <is>
          <t>c3</t>
        </is>
      </c>
      <c r="C113" s="3" t="inlineStr">
        <is>
          <t>Tractor parc share: smallholder owner-operators</t>
        </is>
      </c>
      <c r="D113" s="3" t="n">
        <v>0.7</v>
      </c>
      <c r="E113" s="3" t="n">
        <v>0.7</v>
      </c>
      <c r="F113" s="3" t="n">
        <v>0.7</v>
      </c>
      <c r="G113" s="3" t="inlineStr">
        <is>
          <t>share</t>
        </is>
      </c>
      <c r="H113" s="3" t="inlineStr">
        <is>
          <t>Reasoned split consistent with the Agriculture Census 2015-16 finding that marginal-plus-small holdings are 86.1% of all operational holdings nationally (RG50); sized with A3-04/06 to sum to 1.0.</t>
        </is>
      </c>
      <c r="I113" s="3" t="inlineStr">
        <is>
          <t>RG50</t>
        </is>
      </c>
    </row>
    <row r="114">
      <c r="A114" s="3" t="inlineStr">
        <is>
          <t>A3-06</t>
        </is>
      </c>
      <c r="B114" s="3" t="inlineStr">
        <is>
          <t>c3</t>
        </is>
      </c>
      <c r="C114" s="3" t="inlineStr">
        <is>
          <t>Tractor parc share: custom hiring centres (as a distinct channel from A3-04's commercial operators)</t>
        </is>
      </c>
      <c r="D114" s="3" t="n">
        <v>0.15</v>
      </c>
      <c r="E114" s="3" t="n">
        <v>0.15</v>
      </c>
      <c r="F114" s="3" t="n">
        <v>0.15</v>
      </c>
      <c r="G114" s="3" t="inlineStr">
        <is>
          <t>share</t>
        </is>
      </c>
      <c r="H114" s="3" t="inlineStr">
        <is>
          <t>Residual share; custom hiring centres number 27,554 to 75,915 depending on scope (RG61/RG62) and represent a distinct, growing rental channel; sized with A3-04/05 to sum to 1.0.</t>
        </is>
      </c>
      <c r="I114" s="3" t="inlineStr">
        <is>
          <t>RG61;RG62</t>
        </is>
      </c>
    </row>
    <row r="115">
      <c r="A115" s="3" t="inlineStr">
        <is>
          <t>A3-07</t>
        </is>
      </c>
      <c r="B115" s="3" t="inlineStr">
        <is>
          <t>c3</t>
        </is>
      </c>
      <c r="C115" s="3" t="inlineStr">
        <is>
          <t>Rear-tyre replacement interval, commercial and haulage use</t>
        </is>
      </c>
      <c r="D115" s="3" t="n">
        <v>4</v>
      </c>
      <c r="E115" s="3" t="n">
        <v>3.3</v>
      </c>
      <c r="F115" s="3" t="n">
        <v>2.8</v>
      </c>
      <c r="G115" s="3" t="inlineStr">
        <is>
          <t>years</t>
        </is>
      </c>
      <c r="H115" s="3" t="inlineStr">
        <is>
          <t>Derived from RG44's general tractor-tyre service life of 2,000 to 4,000 hours divided by the higher annual operating hours reported for commercial/custom-hiring use, about 830 to 900 hours a year (RG65); a triangulation, not a directly sourced interval.</t>
        </is>
      </c>
      <c r="I115" s="3" t="inlineStr">
        <is>
          <t>RG44;RG65</t>
        </is>
      </c>
    </row>
    <row r="116">
      <c r="A116" s="3" t="inlineStr">
        <is>
          <t>A3-08</t>
        </is>
      </c>
      <c r="B116" s="3" t="inlineStr">
        <is>
          <t>c3</t>
        </is>
      </c>
      <c r="C116" s="3" t="inlineStr">
        <is>
          <t>Rear-tyre replacement interval, smallholder owner-operator use</t>
        </is>
      </c>
      <c r="D116" s="3" t="n">
        <v>10</v>
      </c>
      <c r="E116" s="3" t="n">
        <v>8</v>
      </c>
      <c r="F116" s="3" t="n">
        <v>6</v>
      </c>
      <c r="G116" s="3" t="inlineStr">
        <is>
          <t>years</t>
        </is>
      </c>
      <c r="H116" s="3" t="inlineStr">
        <is>
          <t>Derived from RG44's tyre life divided by a lower assumed annual operating hours for smallholder own-farm use (design assumption, since no smallholder-specific annual-hours figure was found; RG66's Aligarh study shows most owner hours are own-farm use, implying lower total annual hours than commercial/CHC use).</t>
        </is>
      </c>
      <c r="I116" s="3" t="inlineStr">
        <is>
          <t>RG44;RG66</t>
        </is>
      </c>
    </row>
    <row r="117">
      <c r="A117" s="3" t="inlineStr">
        <is>
          <t>A3-09</t>
        </is>
      </c>
      <c r="B117" s="3" t="inlineStr">
        <is>
          <t>c3</t>
        </is>
      </c>
      <c r="C117" s="3" t="inlineStr">
        <is>
          <t>Rear-tyre replacement interval, custom hiring centre use</t>
        </is>
      </c>
      <c r="D117" s="3" t="n">
        <v>3.5</v>
      </c>
      <c r="E117" s="3" t="n">
        <v>3</v>
      </c>
      <c r="F117" s="3" t="n">
        <v>2.5</v>
      </c>
      <c r="G117" s="3" t="inlineStr">
        <is>
          <t>years</t>
        </is>
      </c>
      <c r="H117" s="3" t="inlineStr">
        <is>
          <t>Derived from RG44's tyre life divided by the Punjab cooperative CHC annual-hours figure of about 900 hours (RG65), the highest usage intensity found in this lane's regional studies.</t>
        </is>
      </c>
      <c r="I117" s="3" t="inlineStr">
        <is>
          <t>RG44;RG65</t>
        </is>
      </c>
    </row>
    <row r="118">
      <c r="A118" s="3" t="inlineStr">
        <is>
          <t>A3-10</t>
        </is>
      </c>
      <c r="B118" s="3" t="inlineStr">
        <is>
          <t>c3</t>
        </is>
      </c>
      <c r="C118" s="3" t="inlineStr">
        <is>
          <t>Rear tyre price, 13.6-28 class</t>
        </is>
      </c>
      <c r="D118" s="3" t="n">
        <v>17440</v>
      </c>
      <c r="E118" s="3" t="n">
        <v>16900</v>
      </c>
      <c r="F118" s="3" t="n">
        <v>16400</v>
      </c>
      <c r="G118" s="3" t="inlineStr">
        <is>
          <t>INR</t>
        </is>
      </c>
      <c r="H118" s="3" t="inlineStr">
        <is>
          <t>RG35: Apollo Krishak Gold - Drive INR 16,400; Good Year Vajra Super INR 17,440 for this size, both TractorGyan-listed MRPs; base is the midpoint of the two quoted prices.</t>
        </is>
      </c>
      <c r="I118" s="3" t="inlineStr">
        <is>
          <t>RG35</t>
        </is>
      </c>
    </row>
    <row r="119">
      <c r="A119" s="3" t="inlineStr">
        <is>
          <t>A3-11</t>
        </is>
      </c>
      <c r="B119" s="3" t="inlineStr">
        <is>
          <t>c3</t>
        </is>
      </c>
      <c r="C119" s="3" t="inlineStr">
        <is>
          <t>Tyre life, commercial use</t>
        </is>
      </c>
      <c r="D119" s="3" t="n">
        <v>2000</v>
      </c>
      <c r="E119" s="3" t="n">
        <v>3000</v>
      </c>
      <c r="F119" s="3" t="n">
        <v>4000</v>
      </c>
      <c r="G119" s="3" t="inlineStr">
        <is>
          <t>hours</t>
        </is>
      </c>
      <c r="H119" s="3" t="inlineStr">
        <is>
          <t>RG44: a farm-advisory aggregator's rule-of-thumb tractor-tyre service life of 2,000 to 4,000 hours under normal conditions.</t>
        </is>
      </c>
      <c r="I119" s="3" t="inlineStr">
        <is>
          <t>RG44</t>
        </is>
      </c>
    </row>
    <row r="120">
      <c r="A120" s="3" t="inlineStr">
        <is>
          <t>A3-14</t>
        </is>
      </c>
      <c r="B120" s="3" t="inlineStr">
        <is>
          <t>c3</t>
        </is>
      </c>
      <c r="C120" s="3" t="inlineStr">
        <is>
          <t>Expected claim rate under the dealer-administered tyre-life assurance</t>
        </is>
      </c>
      <c r="D120" s="3" t="n">
        <v>5</v>
      </c>
      <c r="E120" s="3" t="n">
        <v>3</v>
      </c>
      <c r="F120" s="3" t="n">
        <v>1.5</v>
      </c>
      <c r="G120" s="3" t="inlineStr">
        <is>
          <t>%</t>
        </is>
      </c>
      <c r="H120" s="3" t="inlineStr">
        <is>
          <t>No source found for a tractor-tyre assurance claim rate, since this is a new, un-launched product; reasoned estimate benchmarked to typical low single-digit manufacturing-defect warranty claim experience, analogous to Apollo's published pro-rata farm-tyre warranty (RG42).</t>
        </is>
      </c>
      <c r="I120" s="3" t="inlineStr">
        <is>
          <t>RG42</t>
        </is>
      </c>
    </row>
    <row r="121">
      <c r="A121" s="3" t="inlineStr">
        <is>
          <t>A3-15</t>
        </is>
      </c>
      <c r="B121" s="3" t="inlineStr">
        <is>
          <t>c3</t>
        </is>
      </c>
      <c r="C121" s="3" t="inlineStr">
        <is>
          <t>Contribution margin per OHT tyre</t>
        </is>
      </c>
      <c r="D121" s="3" t="n">
        <v>22</v>
      </c>
      <c r="E121" s="3" t="n">
        <v>28</v>
      </c>
      <c r="F121" s="3" t="n">
        <v>34</v>
      </c>
      <c r="G121" s="3" t="inlineStr">
        <is>
          <t>%</t>
        </is>
      </c>
      <c r="H121" s="3" t="inlineStr">
        <is>
          <t>No OHT-specific margin was disclosed; reasoned estimate using the same band as the Case 4 contribution-margin assumption (A30), itself derived from TVS Srichakra's consolidated operating-margin range of about 7% to 12% (RA13, RA66, RA96) grossed up for the raw-material and conversion-cost structure.</t>
        </is>
      </c>
      <c r="I121" s="3" t="inlineStr">
        <is>
          <t>RA13;RA96</t>
        </is>
      </c>
    </row>
    <row r="122">
      <c r="A122" s="3" t="inlineStr">
        <is>
          <t>A3-16</t>
        </is>
      </c>
      <c r="B122" s="3" t="inlineStr">
        <is>
          <t>c3</t>
        </is>
      </c>
      <c r="C122" s="3" t="inlineStr">
        <is>
          <t>Dealers enrolled in the programme at steady state</t>
        </is>
      </c>
      <c r="D122" s="3" t="n">
        <v>500</v>
      </c>
      <c r="E122" s="3" t="n">
        <v>800</v>
      </c>
      <c r="F122" s="3" t="n">
        <v>1200</v>
      </c>
      <c r="G122" s="3" t="inlineStr">
        <is>
          <t>count</t>
        </is>
      </c>
      <c r="H122" s="3" t="inlineStr">
        <is>
          <t>Rollout design assumption; no source gives a target dealer count for a new tractor-tyre dealer programme. Benchmarked loosely against the scale of Eurogrip's existing distributor network (RA45: 600 distributors nationally).</t>
        </is>
      </c>
      <c r="I122" s="3" t="inlineStr">
        <is>
          <t>RA45</t>
        </is>
      </c>
    </row>
    <row r="123">
      <c r="A123" s="3" t="inlineStr">
        <is>
          <t>A3-17</t>
        </is>
      </c>
      <c r="B123" s="3" t="inlineStr">
        <is>
          <t>c3</t>
        </is>
      </c>
      <c r="C123" s="3" t="inlineStr">
        <is>
          <t>Dealer programme cost per dealer per year</t>
        </is>
      </c>
      <c r="D123" s="3" t="n">
        <v>30000</v>
      </c>
      <c r="E123" s="3" t="n">
        <v>20000</v>
      </c>
      <c r="F123" s="3" t="n">
        <v>12000</v>
      </c>
      <c r="G123" s="3" t="inlineStr">
        <is>
          <t>INR</t>
        </is>
      </c>
      <c r="H123" s="3" t="inlineStr">
        <is>
          <t>No source found for a tractor-tyre dealer programme cost; reasoned estimate covering display materials, dealer-meet participation and incentive administration, scaled from the retail-branding cost logic used in A1-20 and the tool/visibility cost bands in tool_costs.csv and visibility_costs.csv.</t>
        </is>
      </c>
      <c r="I123" s="3" t="inlineStr">
        <is>
          <t>design;A1-20</t>
        </is>
      </c>
    </row>
    <row r="124">
      <c r="A124" s="3" t="inlineStr">
        <is>
          <t>A3-18</t>
        </is>
      </c>
      <c r="B124" s="3" t="inlineStr">
        <is>
          <t>c3</t>
        </is>
      </c>
      <c r="C124" s="3" t="inlineStr">
        <is>
          <t>Village mechanics enrolled</t>
        </is>
      </c>
      <c r="D124" s="3" t="n">
        <v>5000</v>
      </c>
      <c r="E124" s="3" t="n">
        <v>10000</v>
      </c>
      <c r="F124" s="3" t="n">
        <v>18000</v>
      </c>
      <c r="G124" s="3" t="inlineStr">
        <is>
          <t>count</t>
        </is>
      </c>
      <c r="H124" s="3" t="inlineStr">
        <is>
          <t>Rollout design assumption for the village-mechanic and dealer influence channel named in the Case 3 recommendation; no source gives a target count.</t>
        </is>
      </c>
      <c r="I124" s="3" t="inlineStr">
        <is>
          <t>design</t>
        </is>
      </c>
    </row>
    <row r="125">
      <c r="A125" s="3" t="inlineStr">
        <is>
          <t>A3-19</t>
        </is>
      </c>
      <c r="B125" s="3" t="inlineStr">
        <is>
          <t>c3</t>
        </is>
      </c>
      <c r="C125" s="3" t="inlineStr">
        <is>
          <t>Cost per village mechanic per year</t>
        </is>
      </c>
      <c r="D125" s="3" t="n">
        <v>500</v>
      </c>
      <c r="E125" s="3" t="n">
        <v>420</v>
      </c>
      <c r="F125" s="3" t="n">
        <v>350</v>
      </c>
      <c r="G125" s="3" t="inlineStr">
        <is>
          <t>INR</t>
        </is>
      </c>
      <c r="H125" s="3" t="inlineStr">
        <is>
          <t>Reuses the Case 4 Tier 1 per-member cost logic: (one-time tools A08 plus one-time visibility A08v) divided by the amortisation period A11, plus the per-member messaging cost A19m, giving approximately INR 367 to 417 a year; rounded outward for the bear/bull spread.</t>
        </is>
      </c>
      <c r="I125" s="3" t="inlineStr">
        <is>
          <t>A08;A08v;A11;A19m</t>
        </is>
      </c>
    </row>
    <row r="126">
      <c r="A126" s="3" t="inlineStr">
        <is>
          <t>A3-20</t>
        </is>
      </c>
      <c r="B126" s="3" t="inlineStr">
        <is>
          <t>c3</t>
        </is>
      </c>
      <c r="C126" s="3" t="inlineStr">
        <is>
          <t>Field days held per year at steady state</t>
        </is>
      </c>
      <c r="D126" s="3" t="n">
        <v>100</v>
      </c>
      <c r="E126" s="3" t="n">
        <v>150</v>
      </c>
      <c r="F126" s="3" t="n">
        <v>220</v>
      </c>
      <c r="G126" s="3" t="inlineStr">
        <is>
          <t>count</t>
        </is>
      </c>
      <c r="H126" s="3" t="inlineStr">
        <is>
          <t>Rollout design assumption; no source gives a target field-day count for the Case 3 programme.</t>
        </is>
      </c>
      <c r="I126" s="3" t="inlineStr">
        <is>
          <t>design</t>
        </is>
      </c>
    </row>
    <row r="127">
      <c r="A127" s="3" t="inlineStr">
        <is>
          <t>A3-21</t>
        </is>
      </c>
      <c r="B127" s="3" t="inlineStr">
        <is>
          <t>c3</t>
        </is>
      </c>
      <c r="C127" s="3" t="inlineStr">
        <is>
          <t>Cost per field day</t>
        </is>
      </c>
      <c r="D127" s="3" t="n">
        <v>40000</v>
      </c>
      <c r="E127" s="3" t="n">
        <v>25000</v>
      </c>
      <c r="F127" s="3" t="n">
        <v>15000</v>
      </c>
      <c r="G127" s="3" t="inlineStr">
        <is>
          <t>INR</t>
        </is>
      </c>
      <c r="H127" s="3" t="inlineStr">
        <is>
          <t>No rural field-day cost benchmark was found (media_costs.csv's onground_activation_popup rows price urban metro-mall activations only, at a materially higher scale); reasoned estimate for venue, refreshment and local staff cost of a rural farmer field day.</t>
        </is>
      </c>
      <c r="I127" s="3" t="inlineStr">
        <is>
          <t>design</t>
        </is>
      </c>
    </row>
    <row r="128">
      <c r="A128" s="3" t="inlineStr">
        <is>
          <t>A3-22</t>
        </is>
      </c>
      <c r="B128" s="3" t="inlineStr">
        <is>
          <t>c3</t>
        </is>
      </c>
      <c r="C128" s="3" t="inlineStr">
        <is>
          <t>Financed tyre sets sold per year under the credit programme</t>
        </is>
      </c>
      <c r="D128" s="3" t="n">
        <v>2000</v>
      </c>
      <c r="E128" s="3" t="n">
        <v>4000</v>
      </c>
      <c r="F128" s="3" t="n">
        <v>7000</v>
      </c>
      <c r="G128" s="3" t="inlineStr">
        <is>
          <t>count</t>
        </is>
      </c>
      <c r="H128" s="3" t="inlineStr">
        <is>
          <t>Rollout design assumption for the harvest-timed NBFC/co-operative credit channel named in the Case 3 recommendation; no source gives a target volume.</t>
        </is>
      </c>
      <c r="I128" s="3" t="inlineStr">
        <is>
          <t>design</t>
        </is>
      </c>
    </row>
    <row r="129">
      <c r="A129" s="3" t="inlineStr">
        <is>
          <t>A3-23</t>
        </is>
      </c>
      <c r="B129" s="3" t="inlineStr">
        <is>
          <t>c3</t>
        </is>
      </c>
      <c r="C129" s="3" t="inlineStr">
        <is>
          <t>Credit subvention per financed set</t>
        </is>
      </c>
      <c r="D129" s="3" t="n">
        <v>2700</v>
      </c>
      <c r="E129" s="3" t="n">
        <v>2000</v>
      </c>
      <c r="F129" s="3" t="n">
        <v>1500</v>
      </c>
      <c r="G129" s="3" t="inlineStr">
        <is>
          <t>INR</t>
        </is>
      </c>
      <c r="H129" s="3" t="inlineStr">
        <is>
          <t>Reasoned estimate as a partial interest-rate buy-down of roughly 5% to 8% of a rear-pair price at the A3-10 base rate, about INR 33,800 for a pair; no source gives a tractor-tyre credit-subvention rate.</t>
        </is>
      </c>
      <c r="I129" s="3" t="inlineStr">
        <is>
          <t>A3-10</t>
        </is>
      </c>
    </row>
    <row r="130">
      <c r="A130" s="3" t="inlineStr">
        <is>
          <t>A3-24</t>
        </is>
      </c>
      <c r="B130" s="3" t="inlineStr">
        <is>
          <t>c3</t>
        </is>
      </c>
      <c r="C130" s="3" t="inlineStr">
        <is>
          <t>Tyre sets sold under the tyre-life assurance per year</t>
        </is>
      </c>
      <c r="D130" s="3" t="n">
        <v>1500</v>
      </c>
      <c r="E130" s="3" t="n">
        <v>3000</v>
      </c>
      <c r="F130" s="3" t="n">
        <v>5500</v>
      </c>
      <c r="G130" s="3" t="inlineStr">
        <is>
          <t>count</t>
        </is>
      </c>
      <c r="H130" s="3" t="inlineStr">
        <is>
          <t>Rollout design assumption for the assurance programme's take-up; no source gives a target volume.</t>
        </is>
      </c>
      <c r="I130" s="3" t="inlineStr">
        <is>
          <t>design</t>
        </is>
      </c>
    </row>
    <row r="131">
      <c r="A131" s="3" t="inlineStr">
        <is>
          <t>A3-25</t>
        </is>
      </c>
      <c r="B131" s="3" t="inlineStr">
        <is>
          <t>c3</t>
        </is>
      </c>
      <c r="C131" s="3" t="inlineStr">
        <is>
          <t>Average payout per claim as a share of the set price</t>
        </is>
      </c>
      <c r="D131" s="3" t="n">
        <v>0.5</v>
      </c>
      <c r="E131" s="3" t="n">
        <v>0.35</v>
      </c>
      <c r="F131" s="3" t="n">
        <v>0.25</v>
      </c>
      <c r="G131" s="3" t="inlineStr">
        <is>
          <t>share</t>
        </is>
      </c>
      <c r="H131" s="3" t="inlineStr">
        <is>
          <t>Reasoned pro-rata payout consistent with the structure of Apollo's published pro-rata farm-tyre warranty (RG42, settled on remaining tread depth); no tractor-tyre assurance payout-rate source exists since this is a new product design.</t>
        </is>
      </c>
      <c r="I131" s="3" t="inlineStr">
        <is>
          <t>RG42</t>
        </is>
      </c>
    </row>
    <row r="132">
      <c r="A132" s="3" t="inlineStr">
        <is>
          <t>A3-26</t>
        </is>
      </c>
      <c r="B132" s="3" t="inlineStr">
        <is>
          <t>c3</t>
        </is>
      </c>
      <c r="C132" s="3" t="inlineStr">
        <is>
          <t>GST on tractor tyres</t>
        </is>
      </c>
      <c r="D132" s="3" t="n">
        <v>5</v>
      </c>
      <c r="E132" s="3" t="n">
        <v>5</v>
      </c>
      <c r="F132" s="3" t="n">
        <v>5</v>
      </c>
      <c r="G132" s="3" t="inlineStr">
        <is>
          <t>%</t>
        </is>
      </c>
      <c r="H132" s="3" t="inlineStr">
        <is>
          <t>RG03: the GST Council's September 2025 rate rationalisation cut tractor tyres and tubes from 18% to 5%, effective 22 September 2025; current rate, no spread.</t>
        </is>
      </c>
      <c r="I132" s="3" t="inlineStr">
        <is>
          <t>RG03</t>
        </is>
      </c>
    </row>
    <row r="133">
      <c r="A133" s="3" t="inlineStr">
        <is>
          <t>A3-27</t>
        </is>
      </c>
      <c r="B133" s="3" t="inlineStr">
        <is>
          <t>c3</t>
        </is>
      </c>
      <c r="C133" s="3" t="inlineStr">
        <is>
          <t>Channel margin on tractor tyres, dealer plus distributor, on the ex-GST price</t>
        </is>
      </c>
      <c r="D133" s="3" t="n">
        <v>20</v>
      </c>
      <c r="E133" s="3" t="n">
        <v>15</v>
      </c>
      <c r="F133" s="3" t="n">
        <v>12</v>
      </c>
      <c r="G133" s="3" t="inlineStr">
        <is>
          <t>%</t>
        </is>
      </c>
      <c r="H133" s="3" t="inlineStr">
        <is>
          <t>No tractor-tyre-specific channel margin was found; reasoned estimate in line with general agricultural-input dealer margin practice, somewhat lower than the two-wheeler replacement channel margin (A29) given tractor tyres' higher unit value and more relationship-driven, less promotionally discounted channel.</t>
        </is>
      </c>
      <c r="I133" s="3" t="inlineStr">
        <is>
          <t>design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s>
  <sheetData>
    <row r="1">
      <c r="A1" s="1" t="inlineStr">
        <is>
          <t>Case 4 headline outputs by scenario</t>
        </is>
      </c>
    </row>
    <row r="3">
      <c r="A3" s="2" t="inlineStr">
        <is>
          <t>Output</t>
        </is>
      </c>
      <c r="B3" s="2" t="inlineStr">
        <is>
          <t>Bear</t>
        </is>
      </c>
      <c r="C3" s="2" t="inlineStr">
        <is>
          <t>Base</t>
        </is>
      </c>
      <c r="D3" s="2" t="inlineStr">
        <is>
          <t>Bull</t>
        </is>
      </c>
    </row>
    <row r="4">
      <c r="A4" s="3" t="inlineStr">
        <is>
          <t>Relevant unit revenue, ₹ crore</t>
        </is>
      </c>
      <c r="B4" s="3" t="n">
        <v>1240</v>
      </c>
      <c r="C4" s="3" t="n">
        <v>1350</v>
      </c>
      <c r="D4" s="3" t="n">
        <v>1460</v>
      </c>
    </row>
    <row r="5">
      <c r="A5" s="3" t="inlineStr">
        <is>
          <t>Budget share of unit revenue, %</t>
        </is>
      </c>
      <c r="B5" s="3" t="n">
        <v>1.5</v>
      </c>
      <c r="C5" s="3" t="n">
        <v>1.75</v>
      </c>
      <c r="D5" s="3" t="n">
        <v>2</v>
      </c>
    </row>
    <row r="6">
      <c r="A6" s="3" t="inlineStr">
        <is>
          <t>Budget envelope, ₹ crore</t>
        </is>
      </c>
      <c r="B6" s="3" t="n">
        <v>18.6</v>
      </c>
      <c r="C6" s="3" t="n">
        <v>23.625</v>
      </c>
      <c r="D6" s="3" t="n">
        <v>29.2</v>
      </c>
    </row>
    <row r="7">
      <c r="A7" s="3" t="inlineStr">
        <is>
          <t>Programme spend, ₹ crore</t>
        </is>
      </c>
      <c r="B7" s="3" t="n">
        <v>10.294</v>
      </c>
      <c r="C7" s="3" t="n">
        <v>21.992</v>
      </c>
      <c r="D7" s="3" t="n">
        <v>29.2</v>
      </c>
    </row>
    <row r="8">
      <c r="A8" s="3" t="inlineStr">
        <is>
          <t>Spend as % of unit revenue</t>
        </is>
      </c>
      <c r="B8" s="3" t="n">
        <v>0.83</v>
      </c>
      <c r="C8" s="3" t="n">
        <v>1.629</v>
      </c>
      <c r="D8" s="3" t="n">
        <v>2</v>
      </c>
    </row>
    <row r="9">
      <c r="A9" s="3" t="inlineStr">
        <is>
          <t>Member shops, lakh</t>
        </is>
      </c>
      <c r="B9" s="3" t="n">
        <v>0.27</v>
      </c>
      <c r="C9" s="3" t="n">
        <v>1.162</v>
      </c>
      <c r="D9" s="3" t="n">
        <v>2.428</v>
      </c>
    </row>
    <row r="10">
      <c r="A10" s="3" t="inlineStr">
        <is>
          <t>Cost per member a year, ₹</t>
        </is>
      </c>
      <c r="B10" s="3" t="n">
        <v>2349.5</v>
      </c>
      <c r="C10" s="3" t="n">
        <v>1627.5</v>
      </c>
      <c r="D10" s="3" t="n">
        <v>1105.333</v>
      </c>
    </row>
    <row r="11">
      <c r="A11" s="3" t="inlineStr">
        <is>
          <t>Contribution per tyre, ₹</t>
        </is>
      </c>
      <c r="B11" s="3" t="n">
        <v>326.542</v>
      </c>
      <c r="C11" s="3" t="n">
        <v>427.373</v>
      </c>
      <c r="D11" s="3" t="n">
        <v>538.814</v>
      </c>
    </row>
    <row r="12">
      <c r="A12" s="3" t="inlineStr">
        <is>
          <t>Break-even extra tyres per member shop a year</t>
        </is>
      </c>
      <c r="B12" s="3" t="n">
        <v>11.676</v>
      </c>
      <c r="C12" s="3" t="n">
        <v>4.427</v>
      </c>
      <c r="D12" s="3" t="n">
        <v>2.232</v>
      </c>
    </row>
    <row r="13">
      <c r="A13" s="3" t="inlineStr">
        <is>
          <t>One extra tyre every (weeks)</t>
        </is>
      </c>
      <c r="B13" s="3" t="n">
        <v>4.454</v>
      </c>
      <c r="C13" s="3" t="n">
        <v>11.747</v>
      </c>
      <c r="D13" s="3" t="n">
        <v>23.298</v>
      </c>
    </row>
    <row r="16">
      <c r="A16" s="2" t="inlineStr">
        <is>
          <t>The obvious cash-per-tyre scheme (base)</t>
        </is>
      </c>
      <c r="B16" s="2" t="inlineStr">
        <is>
          <t>Value</t>
        </is>
      </c>
    </row>
    <row r="17">
      <c r="A17" s="3" t="inlineStr">
        <is>
          <t>Annual cost, ₹ crore</t>
        </is>
      </c>
      <c r="B17" s="3" t="n">
        <v>41.7</v>
      </c>
    </row>
    <row r="18">
      <c r="A18" s="3" t="inlineStr">
        <is>
          <t>Share of spend on tyres that sell anyway, %</t>
        </is>
      </c>
      <c r="B18" s="3" t="n">
        <v>90.90000000000001</v>
      </c>
    </row>
    <row r="19">
      <c r="A19" s="3" t="inlineStr">
        <is>
          <t>Tyres rewarded, lakh</t>
        </is>
      </c>
      <c r="B19" s="3" t="n">
        <v>52.12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44" customWidth="1" min="1" max="1"/>
    <col width="14" customWidth="1" min="2" max="2"/>
    <col width="14" customWidth="1" min="3" max="3"/>
    <col width="14" customWidth="1" min="4" max="4"/>
    <col width="44" customWidth="1" min="5" max="5"/>
  </cols>
  <sheetData>
    <row r="1">
      <c r="A1" s="1" t="inlineStr">
        <is>
          <t>Break-even, rebuilt with live formulas (edit the yellow cells)</t>
        </is>
      </c>
    </row>
    <row r="3">
      <c r="A3" s="2" t="inlineStr">
        <is>
          <t>Item</t>
        </is>
      </c>
      <c r="B3" s="2" t="inlineStr">
        <is>
          <t>Bear</t>
        </is>
      </c>
      <c r="C3" s="2" t="inlineStr">
        <is>
          <t>Base</t>
        </is>
      </c>
      <c r="D3" s="2" t="inlineStr">
        <is>
          <t>Bull</t>
        </is>
      </c>
      <c r="E3" s="2" t="inlineStr">
        <is>
          <t>How it is computed</t>
        </is>
      </c>
    </row>
    <row r="4">
      <c r="A4" s="3" t="inlineStr">
        <is>
          <t>Weighted replacement tyre MRP, ₹</t>
        </is>
      </c>
      <c r="B4" s="4" t="n">
        <v>1900</v>
      </c>
      <c r="C4" s="4" t="n">
        <v>2050</v>
      </c>
      <c r="D4" s="4" t="n">
        <v>2200</v>
      </c>
      <c r="E4" s="3" t="inlineStr">
        <is>
          <t>assumption A27</t>
        </is>
      </c>
    </row>
    <row r="5">
      <c r="A5" s="3" t="inlineStr">
        <is>
          <t>GST on two-wheeler tyres, %</t>
        </is>
      </c>
      <c r="B5" s="4" t="n">
        <v>18</v>
      </c>
      <c r="C5" s="4" t="n">
        <v>18</v>
      </c>
      <c r="D5" s="4" t="n">
        <v>18</v>
      </c>
      <c r="E5" s="3" t="inlineStr">
        <is>
          <t>assumption A28</t>
        </is>
      </c>
    </row>
    <row r="6">
      <c r="A6" s="3" t="inlineStr">
        <is>
          <t>Channel margin on ex-GST price, %</t>
        </is>
      </c>
      <c r="B6" s="4" t="n">
        <v>22</v>
      </c>
      <c r="C6" s="4" t="n">
        <v>18</v>
      </c>
      <c r="D6" s="4" t="n">
        <v>15</v>
      </c>
      <c r="E6" s="3" t="inlineStr">
        <is>
          <t>assumption A29</t>
        </is>
      </c>
    </row>
    <row r="7">
      <c r="A7" s="3" t="inlineStr">
        <is>
          <t>Contribution margin, %</t>
        </is>
      </c>
      <c r="B7" s="4" t="n">
        <v>26</v>
      </c>
      <c r="C7" s="4" t="n">
        <v>30</v>
      </c>
      <c r="D7" s="4" t="n">
        <v>34</v>
      </c>
      <c r="E7" s="3" t="inlineStr">
        <is>
          <t>assumption A30</t>
        </is>
      </c>
    </row>
    <row r="8">
      <c r="A8" s="3" t="inlineStr">
        <is>
          <t>Programme spend, ₹ crore</t>
        </is>
      </c>
      <c r="B8" s="4" t="n">
        <v>10.29405</v>
      </c>
      <c r="C8" s="4" t="n">
        <v>21.992221</v>
      </c>
      <c r="D8" s="4" t="n">
        <v>29.2</v>
      </c>
      <c r="E8" s="3" t="inlineStr">
        <is>
          <t>model output c4.spend_cr</t>
        </is>
      </c>
    </row>
    <row r="9">
      <c r="A9" s="3" t="inlineStr">
        <is>
          <t>Member shops, lakh</t>
        </is>
      </c>
      <c r="B9" s="4" t="n">
        <v>0.27</v>
      </c>
      <c r="C9" s="4" t="n">
        <v>1.1625</v>
      </c>
      <c r="D9" s="4" t="n">
        <v>2.428106</v>
      </c>
      <c r="E9" s="3" t="inlineStr">
        <is>
          <t>model output c4.members_lakh</t>
        </is>
      </c>
    </row>
    <row r="10">
      <c r="A10" s="5" t="inlineStr">
        <is>
          <t>Net realisation per tyre, ₹</t>
        </is>
      </c>
      <c r="B10" s="3">
        <f>B4/(1+B5/100)*(1-B6/100)</f>
        <v/>
      </c>
      <c r="C10" s="3">
        <f>C4/(1+C5/100)*(1-C6/100)</f>
        <v/>
      </c>
      <c r="D10" s="3">
        <f>D4/(1+D5/100)*(1-D6/100)</f>
        <v/>
      </c>
      <c r="E10" s="3" t="inlineStr">
        <is>
          <t>MRP / (1 + GST) x (1 - channel margin)</t>
        </is>
      </c>
    </row>
    <row r="11">
      <c r="A11" s="5" t="inlineStr">
        <is>
          <t>Contribution per tyre, ₹</t>
        </is>
      </c>
      <c r="B11" s="3">
        <f>B10*B7/100</f>
        <v/>
      </c>
      <c r="C11" s="3">
        <f>C10*C7/100</f>
        <v/>
      </c>
      <c r="D11" s="3">
        <f>D10*D7/100</f>
        <v/>
      </c>
      <c r="E11" s="3" t="inlineStr">
        <is>
          <t>net realisation x contribution margin</t>
        </is>
      </c>
    </row>
    <row r="12">
      <c r="A12" s="5" t="inlineStr">
        <is>
          <t>Break-even extra tyres per shop a year</t>
        </is>
      </c>
      <c r="B12" s="3">
        <f>(B8*10000000)/(B9*100000)/B11</f>
        <v/>
      </c>
      <c r="C12" s="3">
        <f>(C8*10000000)/(C9*100000)/C11</f>
        <v/>
      </c>
      <c r="D12" s="3">
        <f>(D8*10000000)/(D9*100000)/D11</f>
        <v/>
      </c>
      <c r="E12" s="3" t="inlineStr">
        <is>
          <t>spend / members / contribution per tyre</t>
        </is>
      </c>
    </row>
    <row r="13">
      <c r="A13" s="5" t="inlineStr">
        <is>
          <t>One extra tyre every (weeks)</t>
        </is>
      </c>
      <c r="B13" s="3">
        <f>52/B12</f>
        <v/>
      </c>
      <c r="C13" s="3">
        <f>52/C12</f>
        <v/>
      </c>
      <c r="D13" s="3">
        <f>52/D12</f>
        <v/>
      </c>
      <c r="E13" s="3" t="inlineStr">
        <is>
          <t>52 / break-even</t>
        </is>
      </c>
    </row>
    <row r="14">
      <c r="A14" s="5" t="inlineStr">
        <is>
          <t>Break-even from the Python model</t>
        </is>
      </c>
      <c r="B14" s="3" t="n">
        <v>11.675701</v>
      </c>
      <c r="C14" s="3" t="n">
        <v>4.426589</v>
      </c>
      <c r="D14" s="3" t="n">
        <v>2.23191</v>
      </c>
      <c r="E14" s="3" t="inlineStr">
        <is>
          <t>model output c4.be</t>
        </is>
      </c>
    </row>
    <row r="15">
      <c r="A15" s="5" t="inlineStr">
        <is>
          <t>Check</t>
        </is>
      </c>
      <c r="B15" s="3">
        <f>IF(ABS(B12-B14)&lt;0.01,"MATCHES MODEL","CHECK")</f>
        <v/>
      </c>
      <c r="C15" s="3">
        <f>IF(ABS(C12-C14)&lt;0.01,"MATCHES MODEL","CHECK")</f>
        <v/>
      </c>
      <c r="D15" s="3">
        <f>IF(ABS(D12-D14)&lt;0.01,"MATCHES MODEL","CHECK")</f>
        <v/>
      </c>
      <c r="E15" s="3" t="inlineStr">
        <is>
          <t>live formula vs model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48" customWidth="1" min="1" max="1"/>
    <col width="16" customWidth="1" min="2" max="2"/>
    <col width="16" customWidth="1" min="3" max="3"/>
    <col width="16" customWidth="1" min="4" max="4"/>
    <col width="16" customWidth="1" min="5" max="5"/>
  </cols>
  <sheetData>
    <row r="1">
      <c r="A1" s="1" t="inlineStr">
        <is>
          <t>T1. Case 4: four ways to count the mechanic and puncture-shop universe (lakh outlets)</t>
        </is>
      </c>
    </row>
    <row r="3">
      <c r="A3" s="2" t="inlineStr">
        <is>
          <t>Method</t>
        </is>
      </c>
      <c r="B3" s="2" t="inlineStr">
        <is>
          <t>Kind</t>
        </is>
      </c>
      <c r="C3" s="2" t="inlineStr">
        <is>
          <t>Low</t>
        </is>
      </c>
      <c r="D3" s="2" t="inlineStr">
        <is>
          <t>Base</t>
        </is>
      </c>
      <c r="E3" s="2" t="inlineStr">
        <is>
          <t>High</t>
        </is>
      </c>
    </row>
    <row r="4">
      <c r="A4" s="3" t="inlineStr">
        <is>
          <t>Enterprise survey</t>
        </is>
      </c>
      <c r="B4" s="3" t="inlineStr">
        <is>
          <t>estimate</t>
        </is>
      </c>
      <c r="C4" s="3" t="n">
        <v>2.7</v>
      </c>
      <c r="D4" s="3" t="n">
        <v>5</v>
      </c>
      <c r="E4" s="3" t="n">
        <v>7.5</v>
      </c>
    </row>
    <row r="5">
      <c r="A5" s="3" t="inlineStr">
        <is>
          <t>Two-wheeler parc</t>
        </is>
      </c>
      <c r="B5" s="3" t="inlineStr">
        <is>
          <t>estimate</t>
        </is>
      </c>
      <c r="C5" s="3" t="n">
        <v>7.7</v>
      </c>
      <c r="D5" s="3" t="n">
        <v>10.5</v>
      </c>
      <c r="E5" s="3" t="n">
        <v>15</v>
      </c>
    </row>
    <row r="6">
      <c r="A6" s="3" t="inlineStr">
        <is>
          <t>Rival programmes</t>
        </is>
      </c>
      <c r="B6" s="3" t="inlineStr">
        <is>
          <t>floor</t>
        </is>
      </c>
      <c r="C6" s="3" t="n">
        <v>1.5</v>
      </c>
      <c r="D6" s="3" t="n">
        <v>1.5</v>
      </c>
      <c r="E6" s="3" t="n">
        <v>1.5</v>
      </c>
    </row>
    <row r="7">
      <c r="A7" s="3" t="inlineStr">
        <is>
          <t>Eurogrip partners</t>
        </is>
      </c>
      <c r="B7" s="3" t="inlineStr">
        <is>
          <t>floor</t>
        </is>
      </c>
      <c r="C7" s="3" t="n">
        <v>0.3</v>
      </c>
      <c r="D7" s="3" t="n">
        <v>0.3</v>
      </c>
      <c r="E7" s="3" t="n">
        <v>0.3</v>
      </c>
    </row>
    <row r="8">
      <c r="A8" s="3" t="inlineStr">
        <is>
          <t>Model universe</t>
        </is>
      </c>
      <c r="B8" s="3" t="inlineStr">
        <is>
          <t>bear / base / bull</t>
        </is>
      </c>
      <c r="C8" s="3" t="n">
        <v>2.7</v>
      </c>
      <c r="D8" s="3" t="n">
        <v>7.8</v>
      </c>
      <c r="E8" s="3" t="n">
        <v>15</v>
      </c>
    </row>
    <row r="10">
      <c r="A10" t="inlineStr">
        <is>
          <t>Source: research/data/universe_methods.csv; base = mean of the two estimates, floored at the larger programme count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48" customWidth="1" min="1" max="1"/>
    <col width="16" customWidth="1" min="2" max="2"/>
    <col width="16" customWidth="1" min="3" max="3"/>
  </cols>
  <sheetData>
    <row r="1">
      <c r="A1" s="1" t="inlineStr">
        <is>
          <t>T2. Case 4: the three segments (base universe)</t>
        </is>
      </c>
    </row>
    <row r="3">
      <c r="A3" s="2" t="inlineStr">
        <is>
          <t>Segment</t>
        </is>
      </c>
      <c r="B3" s="2" t="inlineStr">
        <is>
          <t>Share</t>
        </is>
      </c>
      <c r="C3" s="2" t="inlineStr">
        <is>
          <t>Lakh outlets</t>
        </is>
      </c>
    </row>
    <row r="4">
      <c r="A4" s="3" t="inlineStr">
        <is>
          <t>S-A</t>
        </is>
      </c>
      <c r="B4" s="3" t="inlineStr">
        <is>
          <t>25%</t>
        </is>
      </c>
      <c r="C4" s="3" t="n">
        <v>1.9</v>
      </c>
    </row>
    <row r="5">
      <c r="A5" s="3" t="inlineStr">
        <is>
          <t>S-B</t>
        </is>
      </c>
      <c r="B5" s="3" t="inlineStr">
        <is>
          <t>40%</t>
        </is>
      </c>
      <c r="C5" s="3" t="n">
        <v>3.1</v>
      </c>
    </row>
    <row r="6">
      <c r="A6" s="3" t="inlineStr">
        <is>
          <t>S-C</t>
        </is>
      </c>
      <c r="B6" s="3" t="inlineStr">
        <is>
          <t>35%</t>
        </is>
      </c>
      <c r="C6" s="3" t="n">
        <v>2.7</v>
      </c>
    </row>
    <row r="8">
      <c r="A8" t="inlineStr">
        <is>
          <t>Source: A05a to A05c; T1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48" customWidth="1" min="1" max="1"/>
    <col width="16" customWidth="1" min="2" max="2"/>
    <col width="16" customWidth="1" min="3" max="3"/>
    <col width="16" customWidth="1" min="4" max="4"/>
  </cols>
  <sheetData>
    <row r="1">
      <c r="A1" s="1" t="inlineStr">
        <is>
          <t>T3. Case 4: cost per member per year (₹)</t>
        </is>
      </c>
    </row>
    <row r="3">
      <c r="A3" s="2" t="inlineStr">
        <is>
          <t>Component</t>
        </is>
      </c>
      <c r="B3" s="2" t="inlineStr">
        <is>
          <t>bear</t>
        </is>
      </c>
      <c r="C3" s="2" t="inlineStr">
        <is>
          <t>base</t>
        </is>
      </c>
      <c r="D3" s="2" t="inlineStr">
        <is>
          <t>bull</t>
        </is>
      </c>
    </row>
    <row r="4">
      <c r="A4" s="3" t="inlineStr">
        <is>
          <t>tools</t>
        </is>
      </c>
      <c r="B4" s="3" t="n">
        <v>1470</v>
      </c>
      <c r="C4" s="3" t="n">
        <v>1042</v>
      </c>
      <c r="D4" s="3" t="n">
        <v>741</v>
      </c>
    </row>
    <row r="5">
      <c r="A5" s="3" t="inlineStr">
        <is>
          <t>visibility</t>
        </is>
      </c>
      <c r="B5" s="3" t="n">
        <v>456</v>
      </c>
      <c r="C5" s="3" t="n">
        <v>304</v>
      </c>
      <c r="D5" s="3" t="n">
        <v>202</v>
      </c>
    </row>
    <row r="6">
      <c r="A6" s="3" t="inlineStr">
        <is>
          <t>training</t>
        </is>
      </c>
      <c r="B6" s="3" t="n">
        <v>185</v>
      </c>
      <c r="C6" s="3" t="n">
        <v>125</v>
      </c>
      <c r="D6" s="3" t="n">
        <v>75</v>
      </c>
    </row>
    <row r="7">
      <c r="A7" s="3" t="inlineStr">
        <is>
          <t>field</t>
        </is>
      </c>
      <c r="B7" s="3" t="n">
        <v>158</v>
      </c>
      <c r="C7" s="3" t="n">
        <v>96</v>
      </c>
      <c r="D7" s="3" t="n">
        <v>58</v>
      </c>
    </row>
    <row r="8">
      <c r="A8" s="3" t="inlineStr">
        <is>
          <t>tech</t>
        </is>
      </c>
      <c r="B8" s="3" t="n">
        <v>80</v>
      </c>
      <c r="C8" s="3" t="n">
        <v>60</v>
      </c>
      <c r="D8" s="3" t="n">
        <v>30</v>
      </c>
    </row>
    <row r="9">
      <c r="A9" s="3" t="inlineStr">
        <is>
          <t>Total</t>
        </is>
      </c>
      <c r="B9" s="3" t="n">
        <v>2350</v>
      </c>
      <c r="C9" s="3" t="n">
        <v>1628</v>
      </c>
      <c r="D9" s="3" t="n">
        <v>1105</v>
      </c>
    </row>
    <row r="11">
      <c r="A11" t="inlineStr">
        <is>
          <t>Source: A07 to A20, A33, A19m</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48" customWidth="1" min="1" max="1"/>
    <col width="16" customWidth="1" min="2" max="2"/>
    <col width="16" customWidth="1" min="3" max="3"/>
    <col width="16" customWidth="1" min="4" max="4"/>
  </cols>
  <sheetData>
    <row r="1">
      <c r="A1" s="1" t="inlineStr">
        <is>
          <t>T4. Case 4: annual budget by line (₹ crore) and members</t>
        </is>
      </c>
    </row>
    <row r="3">
      <c r="A3" s="2" t="inlineStr">
        <is>
          <t>Line</t>
        </is>
      </c>
      <c r="B3" s="2" t="inlineStr">
        <is>
          <t>bear</t>
        </is>
      </c>
      <c r="C3" s="2" t="inlineStr">
        <is>
          <t>base</t>
        </is>
      </c>
      <c r="D3" s="2" t="inlineStr">
        <is>
          <t>bull</t>
        </is>
      </c>
    </row>
    <row r="4">
      <c r="A4" s="3" t="inlineStr">
        <is>
          <t>Tools, refills</t>
        </is>
      </c>
      <c r="B4" s="3" t="n">
        <v>3.97</v>
      </c>
      <c r="C4" s="3" t="n">
        <v>12.12</v>
      </c>
      <c r="D4" s="3" t="n">
        <v>17.98</v>
      </c>
    </row>
    <row r="5">
      <c r="A5" s="3" t="inlineStr">
        <is>
          <t>Visibility kits</t>
        </is>
      </c>
      <c r="B5" s="3" t="n">
        <v>1.23</v>
      </c>
      <c r="C5" s="3" t="n">
        <v>3.54</v>
      </c>
      <c r="D5" s="3" t="n">
        <v>4.9</v>
      </c>
    </row>
    <row r="6">
      <c r="A6" s="3" t="inlineStr">
        <is>
          <t>Training, meets</t>
        </is>
      </c>
      <c r="B6" s="3" t="n">
        <v>0.5</v>
      </c>
      <c r="C6" s="3" t="n">
        <v>1.45</v>
      </c>
      <c r="D6" s="3" t="n">
        <v>1.82</v>
      </c>
    </row>
    <row r="7">
      <c r="A7" s="3" t="inlineStr">
        <is>
          <t>Field teams</t>
        </is>
      </c>
      <c r="B7" s="3" t="n">
        <v>2.93</v>
      </c>
      <c r="C7" s="3" t="n">
        <v>3.12</v>
      </c>
      <c r="D7" s="3" t="n">
        <v>3.01</v>
      </c>
    </row>
    <row r="8">
      <c r="A8" s="3" t="inlineStr">
        <is>
          <t>Tech and audits</t>
        </is>
      </c>
      <c r="B8" s="3" t="n">
        <v>1.67</v>
      </c>
      <c r="C8" s="3" t="n">
        <v>1.77</v>
      </c>
      <c r="D8" s="3" t="n">
        <v>1.49</v>
      </c>
    </row>
    <row r="9">
      <c r="A9" s="3" t="inlineStr">
        <is>
          <t>Spend</t>
        </is>
      </c>
      <c r="B9" s="3" t="n">
        <v>10.29</v>
      </c>
      <c r="C9" s="3" t="n">
        <v>21.99</v>
      </c>
      <c r="D9" s="3" t="n">
        <v>29.2</v>
      </c>
    </row>
    <row r="10">
      <c r="A10" s="3" t="inlineStr">
        <is>
          <t>Envelope</t>
        </is>
      </c>
      <c r="B10" s="3" t="n">
        <v>18.6</v>
      </c>
      <c r="C10" s="3" t="n">
        <v>23.62</v>
      </c>
      <c r="D10" s="3" t="n">
        <v>29.2</v>
      </c>
    </row>
    <row r="11">
      <c r="A11" s="3" t="inlineStr">
        <is>
          <t>Share of BU revenue</t>
        </is>
      </c>
      <c r="B11" s="3" t="inlineStr">
        <is>
          <t>0.83%</t>
        </is>
      </c>
      <c r="C11" s="3" t="inlineStr">
        <is>
          <t>1.63%</t>
        </is>
      </c>
      <c r="D11" s="3" t="inlineStr">
        <is>
          <t>2.00%</t>
        </is>
      </c>
    </row>
    <row r="12">
      <c r="A12" s="3" t="inlineStr">
        <is>
          <t>Members (lakh)</t>
        </is>
      </c>
      <c r="B12" s="3" t="n">
        <v>0.27</v>
      </c>
      <c r="C12" s="3" t="n">
        <v>1.16</v>
      </c>
      <c r="D12" s="3" t="n">
        <v>2.43</v>
      </c>
    </row>
    <row r="14">
      <c r="A14" t="inlineStr">
        <is>
          <t>Source: A01, A02 and T3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48" customWidth="1" min="1" max="1"/>
    <col width="16" customWidth="1" min="2" max="2"/>
    <col width="16" customWidth="1" min="3" max="3"/>
    <col width="16" customWidth="1" min="4" max="4"/>
  </cols>
  <sheetData>
    <row r="1">
      <c r="A1" s="1" t="inlineStr">
        <is>
          <t>T5. Case 4: contribution per tyre and break-even</t>
        </is>
      </c>
    </row>
    <row r="3">
      <c r="A3" s="2" t="inlineStr">
        <is>
          <t>Item</t>
        </is>
      </c>
      <c r="B3" s="2" t="inlineStr">
        <is>
          <t>bear</t>
        </is>
      </c>
      <c r="C3" s="2" t="inlineStr">
        <is>
          <t>base</t>
        </is>
      </c>
      <c r="D3" s="2" t="inlineStr">
        <is>
          <t>bull</t>
        </is>
      </c>
    </row>
    <row r="4">
      <c r="A4" s="3" t="inlineStr">
        <is>
          <t>Net realisation per tyre (₹)</t>
        </is>
      </c>
      <c r="B4" s="3" t="n">
        <v>1256</v>
      </c>
      <c r="C4" s="3" t="n">
        <v>1425</v>
      </c>
      <c r="D4" s="3" t="n">
        <v>1585</v>
      </c>
    </row>
    <row r="5">
      <c r="A5" s="3" t="inlineStr">
        <is>
          <t>Contribution per tyre (₹)</t>
        </is>
      </c>
      <c r="B5" s="3" t="n">
        <v>327</v>
      </c>
      <c r="C5" s="3" t="n">
        <v>427</v>
      </c>
      <c r="D5" s="3" t="n">
        <v>539</v>
      </c>
    </row>
    <row r="6">
      <c r="A6" s="3" t="inlineStr">
        <is>
          <t>Break-even extra tyres per member a year</t>
        </is>
      </c>
      <c r="B6" s="3" t="n">
        <v>11.7</v>
      </c>
      <c r="C6" s="3" t="n">
        <v>4.4</v>
      </c>
      <c r="D6" s="3" t="n">
        <v>2.2</v>
      </c>
    </row>
    <row r="7">
      <c r="A7" s="3" t="inlineStr">
        <is>
          <t>One tyre every (weeks)</t>
        </is>
      </c>
      <c r="B7" s="3" t="n">
        <v>4.5</v>
      </c>
      <c r="C7" s="3" t="n">
        <v>11.7</v>
      </c>
      <c r="D7" s="3" t="n">
        <v>23.3</v>
      </c>
    </row>
    <row r="9">
      <c r="A9" t="inlineStr">
        <is>
          <t>Source: A27 to A30; T4</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48" customWidth="1" min="1" max="1"/>
    <col width="16" customWidth="1" min="2" max="2"/>
    <col width="16" customWidth="1" min="3" max="3"/>
    <col width="16" customWidth="1" min="4" max="4"/>
    <col width="16" customWidth="1" min="5" max="5"/>
  </cols>
  <sheetData>
    <row r="1">
      <c r="A1" s="1" t="inlineStr">
        <is>
          <t>T6. Case 4: what moves break-even most (base case, one assumption at a time)</t>
        </is>
      </c>
    </row>
    <row r="3">
      <c r="A3" s="2" t="inlineStr">
        <is>
          <t>Assumption</t>
        </is>
      </c>
      <c r="B3" s="2" t="inlineStr">
        <is>
          <t>Label</t>
        </is>
      </c>
      <c r="C3" s="2" t="inlineStr">
        <is>
          <t>Break-even low</t>
        </is>
      </c>
      <c r="D3" s="2" t="inlineStr">
        <is>
          <t>Break-even high</t>
        </is>
      </c>
      <c r="E3" s="2" t="inlineStr">
        <is>
          <t>Swing</t>
        </is>
      </c>
    </row>
    <row r="4">
      <c r="A4" s="3" t="inlineStr">
        <is>
          <t>A30</t>
        </is>
      </c>
      <c r="B4" s="3" t="inlineStr">
        <is>
          <t>Contribution margin on the company's net realisation</t>
        </is>
      </c>
      <c r="C4" s="3" t="n">
        <v>3.9</v>
      </c>
      <c r="D4" s="3" t="n">
        <v>5.1</v>
      </c>
      <c r="E4" s="3" t="n">
        <v>1.2</v>
      </c>
    </row>
    <row r="5">
      <c r="A5" s="3" t="inlineStr">
        <is>
          <t>A27</t>
        </is>
      </c>
      <c r="B5" s="3" t="inlineStr">
        <is>
          <t>Weighted average replacement tyre MRP</t>
        </is>
      </c>
      <c r="C5" s="3" t="n">
        <v>4.1</v>
      </c>
      <c r="D5" s="3" t="n">
        <v>4.8</v>
      </c>
      <c r="E5" s="3" t="n">
        <v>0.7</v>
      </c>
    </row>
    <row r="6">
      <c r="A6" s="3" t="inlineStr">
        <is>
          <t>A20</t>
        </is>
      </c>
      <c r="B6" s="3" t="inlineStr">
        <is>
          <t>Tool credit per logged referral</t>
        </is>
      </c>
      <c r="C6" s="3" t="n">
        <v>4.3</v>
      </c>
      <c r="D6" s="3" t="n">
        <v>4.7</v>
      </c>
      <c r="E6" s="3" t="n">
        <v>0.4</v>
      </c>
    </row>
    <row r="7">
      <c r="A7" s="3" t="inlineStr">
        <is>
          <t>A29</t>
        </is>
      </c>
      <c r="B7" s="3" t="inlineStr">
        <is>
          <t>Channel margin (distributor and retailer) on the ex-GST price</t>
        </is>
      </c>
      <c r="C7" s="3" t="n">
        <v>4.3</v>
      </c>
      <c r="D7" s="3" t="n">
        <v>4.7</v>
      </c>
      <c r="E7" s="3" t="n">
        <v>0.4</v>
      </c>
    </row>
    <row r="8">
      <c r="A8" s="3" t="inlineStr">
        <is>
          <t>A06</t>
        </is>
      </c>
      <c r="B8" s="3" t="inlineStr">
        <is>
          <t>Coverage cap: members divided by universe at steady state</t>
        </is>
      </c>
      <c r="C8" s="3" t="n">
        <v>4.4</v>
      </c>
      <c r="D8" s="3" t="n">
        <v>4.7</v>
      </c>
      <c r="E8" s="3" t="n">
        <v>0.4</v>
      </c>
    </row>
    <row r="9">
      <c r="A9" s="3" t="inlineStr">
        <is>
          <t>A09</t>
        </is>
      </c>
      <c r="B9" s="3" t="inlineStr">
        <is>
          <t>One-time tools per member, Tier 2 (Eurogrip's share)</t>
        </is>
      </c>
      <c r="C9" s="3" t="n">
        <v>4.3</v>
      </c>
      <c r="D9" s="3" t="n">
        <v>4.6</v>
      </c>
      <c r="E9" s="3" t="n">
        <v>0.3</v>
      </c>
    </row>
    <row r="11">
      <c r="A11" t="inlineStr">
        <is>
          <t>Source: assumption register; model tornado</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8" customWidth="1" min="1" max="1"/>
    <col width="16" customWidth="1" min="2" max="2"/>
    <col width="16" customWidth="1" min="3" max="3"/>
  </cols>
  <sheetData>
    <row r="1">
      <c r="A1" s="1" t="inlineStr">
        <is>
          <t>T7. Case 4: rollout by quarter (base)</t>
        </is>
      </c>
    </row>
    <row r="3">
      <c r="A3" s="2" t="inlineStr">
        <is>
          <t>Quarter</t>
        </is>
      </c>
      <c r="B3" s="2" t="inlineStr">
        <is>
          <t>Members (lakh)</t>
        </is>
      </c>
      <c r="C3" s="2" t="inlineStr">
        <is>
          <t>Spend (₹ crore)</t>
        </is>
      </c>
    </row>
    <row r="4">
      <c r="A4" s="3" t="inlineStr">
        <is>
          <t>Q1</t>
        </is>
      </c>
      <c r="B4" s="3" t="n">
        <v>0.03</v>
      </c>
      <c r="C4" s="3" t="n">
        <v>0.91</v>
      </c>
    </row>
    <row r="5">
      <c r="A5" s="3" t="inlineStr">
        <is>
          <t>Q2</t>
        </is>
      </c>
      <c r="B5" s="3" t="n">
        <v>0.07000000000000001</v>
      </c>
      <c r="C5" s="3" t="n">
        <v>1.05</v>
      </c>
    </row>
    <row r="6">
      <c r="A6" s="3" t="inlineStr">
        <is>
          <t>Q3</t>
        </is>
      </c>
      <c r="B6" s="3" t="n">
        <v>0.29</v>
      </c>
      <c r="C6" s="3" t="n">
        <v>1.95</v>
      </c>
    </row>
    <row r="7">
      <c r="A7" s="3" t="inlineStr">
        <is>
          <t>Q4</t>
        </is>
      </c>
      <c r="B7" s="3" t="n">
        <v>0.52</v>
      </c>
      <c r="C7" s="3" t="n">
        <v>2.9</v>
      </c>
    </row>
    <row r="8">
      <c r="A8" s="3" t="inlineStr">
        <is>
          <t>Q5</t>
        </is>
      </c>
      <c r="B8" s="3" t="n">
        <v>0.76</v>
      </c>
      <c r="C8" s="3" t="n">
        <v>3.84</v>
      </c>
    </row>
    <row r="9">
      <c r="A9" s="3" t="inlineStr">
        <is>
          <t>Q6</t>
        </is>
      </c>
      <c r="B9" s="3" t="n">
        <v>0.93</v>
      </c>
      <c r="C9" s="3" t="n">
        <v>4.55</v>
      </c>
    </row>
    <row r="10">
      <c r="A10" s="3" t="inlineStr">
        <is>
          <t>Q7</t>
        </is>
      </c>
      <c r="B10" s="3" t="n">
        <v>1.1</v>
      </c>
      <c r="C10" s="3" t="n">
        <v>5.26</v>
      </c>
    </row>
    <row r="11">
      <c r="A11" s="3" t="inlineStr">
        <is>
          <t>Q8</t>
        </is>
      </c>
      <c r="B11" s="3" t="n">
        <v>1.16</v>
      </c>
      <c r="C11" s="3" t="n">
        <v>5.5</v>
      </c>
    </row>
    <row r="12">
      <c r="A12" s="3" t="inlineStr">
        <is>
          <t>Year 1</t>
        </is>
      </c>
      <c r="B12" s="3" t="inlineStr"/>
      <c r="C12" s="3" t="n">
        <v>6.81</v>
      </c>
    </row>
    <row r="13">
      <c r="A13" s="3" t="inlineStr">
        <is>
          <t>Year 2</t>
        </is>
      </c>
      <c r="B13" s="3" t="inlineStr"/>
      <c r="C13" s="3" t="n">
        <v>19.15</v>
      </c>
    </row>
    <row r="15">
      <c r="A15" t="inlineStr">
        <is>
          <t>Source: A37a to A37h; T4</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8" customWidth="1" min="1" max="1"/>
    <col width="16" customWidth="1" min="2" max="2"/>
  </cols>
  <sheetData>
    <row r="1">
      <c r="A1" s="1" t="inlineStr">
        <is>
          <t>T8. Case 4: mystery-rider audit design</t>
        </is>
      </c>
    </row>
    <row r="3">
      <c r="A3" s="2" t="inlineStr">
        <is>
          <t>Item</t>
        </is>
      </c>
      <c r="B3" s="2" t="inlineStr">
        <is>
          <t>Value</t>
        </is>
      </c>
    </row>
    <row r="4">
      <c r="A4" s="3" t="inlineStr">
        <is>
          <t>Shops per arm per round</t>
        </is>
      </c>
      <c r="B4" s="3" t="n">
        <v>140</v>
      </c>
    </row>
    <row r="5">
      <c r="A5" s="3" t="inlineStr">
        <is>
          <t>Audits per year</t>
        </is>
      </c>
      <c r="B5" s="3" t="n">
        <v>560</v>
      </c>
    </row>
    <row r="6">
      <c r="A6" s="3" t="inlineStr">
        <is>
          <t>Audit cost per year (₹ lakh)</t>
        </is>
      </c>
      <c r="B6" s="3" t="n">
        <v>3.92</v>
      </c>
    </row>
    <row r="8">
      <c r="A8" t="inlineStr">
        <is>
          <t>Source: A24, A25, A31, A31n; two-proportion formula</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8" customWidth="1" min="1" max="1"/>
    <col width="16" customWidth="1" min="2" max="2"/>
  </cols>
  <sheetData>
    <row r="1">
      <c r="A1" s="1" t="inlineStr">
        <is>
          <t>T9. Case 4: the obvious cash-per-tyre scheme (base)</t>
        </is>
      </c>
    </row>
    <row r="3">
      <c r="A3" s="2" t="inlineStr">
        <is>
          <t>Item</t>
        </is>
      </c>
      <c r="B3" s="2" t="inlineStr">
        <is>
          <t>Value</t>
        </is>
      </c>
    </row>
    <row r="4">
      <c r="A4" s="3" t="inlineStr">
        <is>
          <t>Tyres rewarded (lakh)</t>
        </is>
      </c>
      <c r="B4" s="3" t="n">
        <v>52.1</v>
      </c>
    </row>
    <row r="5">
      <c r="A5" s="3" t="inlineStr">
        <is>
          <t>Cost (₹ crore)</t>
        </is>
      </c>
      <c r="B5" s="3" t="n">
        <v>41.7</v>
      </c>
    </row>
    <row r="6">
      <c r="A6" s="3" t="inlineStr">
        <is>
          <t>Share spent on tyres that would sell anyway</t>
        </is>
      </c>
      <c r="B6" s="3" t="inlineStr">
        <is>
          <t>91%</t>
        </is>
      </c>
    </row>
    <row r="8">
      <c r="A8" t="inlineStr">
        <is>
          <t>Source: A27 to A29, A34 to A36</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48"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1" t="inlineStr">
        <is>
          <t>T10. Case 4: benchmark programmes as scored</t>
        </is>
      </c>
    </row>
    <row r="3">
      <c r="A3" s="2" t="inlineStr">
        <is>
          <t>Programme</t>
        </is>
      </c>
      <c r="B3" s="2" t="inlineStr">
        <is>
          <t>Category</t>
        </is>
      </c>
      <c r="C3" s="2" t="inlineStr">
        <is>
          <t>Cash</t>
        </is>
      </c>
      <c r="D3" s="2" t="inlineStr">
        <is>
          <t>Tools</t>
        </is>
      </c>
      <c r="E3" s="2" t="inlineStr">
        <is>
          <t>Visibility</t>
        </is>
      </c>
      <c r="F3" s="2" t="inlineStr">
        <is>
          <t>Skill</t>
        </is>
      </c>
      <c r="G3" s="2" t="inlineStr">
        <is>
          <t>Credits advice</t>
        </is>
      </c>
      <c r="H3" s="2" t="inlineStr">
        <is>
          <t>Tracks</t>
        </is>
      </c>
    </row>
    <row r="4">
      <c r="A4" s="3" t="inlineStr">
        <is>
          <t>Castrol, lubes</t>
        </is>
      </c>
      <c r="B4" s="3" t="inlineStr">
        <is>
          <t>lubricants</t>
        </is>
      </c>
      <c r="C4" s="3" t="inlineStr">
        <is>
          <t>Yes</t>
        </is>
      </c>
      <c r="D4" s="3" t="inlineStr">
        <is>
          <t>No</t>
        </is>
      </c>
      <c r="E4" s="3" t="inlineStr">
        <is>
          <t>No</t>
        </is>
      </c>
      <c r="F4" s="3" t="inlineStr">
        <is>
          <t>No</t>
        </is>
      </c>
      <c r="G4" s="3" t="inlineStr">
        <is>
          <t>No</t>
        </is>
      </c>
      <c r="H4" s="3" t="inlineStr">
        <is>
          <t>Yes</t>
        </is>
      </c>
    </row>
    <row r="5">
      <c r="A5" s="3" t="inlineStr">
        <is>
          <t>Schaeffler</t>
        </is>
      </c>
      <c r="B5" s="3" t="inlineStr">
        <is>
          <t>auto parts</t>
        </is>
      </c>
      <c r="C5" s="3" t="inlineStr">
        <is>
          <t>No</t>
        </is>
      </c>
      <c r="D5" s="3" t="inlineStr">
        <is>
          <t>No</t>
        </is>
      </c>
      <c r="E5" s="3" t="inlineStr">
        <is>
          <t>No</t>
        </is>
      </c>
      <c r="F5" s="3" t="inlineStr">
        <is>
          <t>Yes</t>
        </is>
      </c>
      <c r="G5" s="3" t="inlineStr">
        <is>
          <t>n/a</t>
        </is>
      </c>
      <c r="H5" s="3" t="inlineStr">
        <is>
          <t>n/a</t>
        </is>
      </c>
    </row>
    <row r="6">
      <c r="A6" s="3" t="inlineStr">
        <is>
          <t>Pidilite, adh</t>
        </is>
      </c>
      <c r="B6" s="3" t="inlineStr">
        <is>
          <t>adhesives</t>
        </is>
      </c>
      <c r="C6" s="3" t="inlineStr">
        <is>
          <t>n/a</t>
        </is>
      </c>
      <c r="D6" s="3" t="inlineStr">
        <is>
          <t>Yes</t>
        </is>
      </c>
      <c r="E6" s="3" t="inlineStr">
        <is>
          <t>n/a</t>
        </is>
      </c>
      <c r="F6" s="3" t="inlineStr">
        <is>
          <t>Part</t>
        </is>
      </c>
      <c r="G6" s="3" t="inlineStr">
        <is>
          <t>No</t>
        </is>
      </c>
      <c r="H6" s="3" t="inlineStr">
        <is>
          <t>Yes</t>
        </is>
      </c>
    </row>
    <row r="7">
      <c r="A7" s="3" t="inlineStr">
        <is>
          <t>Havells, elec</t>
        </is>
      </c>
      <c r="B7" s="3" t="inlineStr">
        <is>
          <t>electricals</t>
        </is>
      </c>
      <c r="C7" s="3" t="inlineStr">
        <is>
          <t>n/a</t>
        </is>
      </c>
      <c r="D7" s="3" t="inlineStr">
        <is>
          <t>Yes</t>
        </is>
      </c>
      <c r="E7" s="3" t="inlineStr">
        <is>
          <t>n/a</t>
        </is>
      </c>
      <c r="F7" s="3" t="inlineStr">
        <is>
          <t>n/a</t>
        </is>
      </c>
      <c r="G7" s="3" t="inlineStr">
        <is>
          <t>No</t>
        </is>
      </c>
      <c r="H7" s="3" t="inlineStr">
        <is>
          <t>Yes</t>
        </is>
      </c>
    </row>
    <row r="8">
      <c r="A8" s="3" t="inlineStr">
        <is>
          <t>Amaron, batt</t>
        </is>
      </c>
      <c r="B8" s="3" t="inlineStr">
        <is>
          <t>batteries</t>
        </is>
      </c>
      <c r="C8" s="3" t="inlineStr">
        <is>
          <t>n/a</t>
        </is>
      </c>
      <c r="D8" s="3" t="inlineStr">
        <is>
          <t>n/a</t>
        </is>
      </c>
      <c r="E8" s="3" t="inlineStr">
        <is>
          <t>n/a</t>
        </is>
      </c>
      <c r="F8" s="3" t="inlineStr">
        <is>
          <t>n/a</t>
        </is>
      </c>
      <c r="G8" s="3" t="inlineStr">
        <is>
          <t>No</t>
        </is>
      </c>
      <c r="H8" s="3" t="inlineStr">
        <is>
          <t>Yes</t>
        </is>
      </c>
    </row>
    <row r="9">
      <c r="A9" s="3" t="inlineStr">
        <is>
          <t>JK Tyre, tyres</t>
        </is>
      </c>
      <c r="B9" s="3" t="inlineStr">
        <is>
          <t>tyres</t>
        </is>
      </c>
      <c r="C9" s="3" t="inlineStr">
        <is>
          <t>n/a</t>
        </is>
      </c>
      <c r="D9" s="3" t="inlineStr">
        <is>
          <t>n/a</t>
        </is>
      </c>
      <c r="E9" s="3" t="inlineStr">
        <is>
          <t>n/a</t>
        </is>
      </c>
      <c r="F9" s="3" t="inlineStr">
        <is>
          <t>n/a</t>
        </is>
      </c>
      <c r="G9" s="3" t="inlineStr">
        <is>
          <t>No</t>
        </is>
      </c>
      <c r="H9" s="3" t="inlineStr">
        <is>
          <t>Yes</t>
        </is>
      </c>
    </row>
    <row r="10">
      <c r="A10" s="3" t="inlineStr">
        <is>
          <t>Our design</t>
        </is>
      </c>
      <c r="B10" s="3" t="inlineStr">
        <is>
          <t>tyres</t>
        </is>
      </c>
      <c r="C10" s="3" t="inlineStr">
        <is>
          <t>No</t>
        </is>
      </c>
      <c r="D10" s="3" t="inlineStr">
        <is>
          <t>Yes</t>
        </is>
      </c>
      <c r="E10" s="3" t="inlineStr">
        <is>
          <t>Yes</t>
        </is>
      </c>
      <c r="F10" s="3" t="inlineStr">
        <is>
          <t>Yes</t>
        </is>
      </c>
      <c r="G10" s="3" t="inlineStr">
        <is>
          <t>Yes</t>
        </is>
      </c>
      <c r="H10" s="3" t="inlineStr">
        <is>
          <t>Yes</t>
        </is>
      </c>
    </row>
    <row r="12">
      <c r="A12" t="inlineStr">
        <is>
          <t>Source: research/data/benchmarks.csv</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48" customWidth="1" min="1" max="1"/>
    <col width="16" customWidth="1" min="2" max="2"/>
    <col width="16" customWidth="1" min="3" max="3"/>
  </cols>
  <sheetData>
    <row r="1">
      <c r="A1" s="1" t="inlineStr">
        <is>
          <t>T11. Case 4: tiers</t>
        </is>
      </c>
    </row>
    <row r="3">
      <c r="A3" s="2" t="inlineStr">
        <is>
          <t>Tier</t>
        </is>
      </c>
      <c r="B3" s="2" t="inlineStr">
        <is>
          <t>Entry</t>
        </is>
      </c>
      <c r="C3" s="2" t="inlineStr">
        <is>
          <t>Referrals a year</t>
        </is>
      </c>
    </row>
    <row r="4">
      <c r="A4" s="3" t="inlineStr">
        <is>
          <t>Tier 1</t>
        </is>
      </c>
      <c r="B4" s="3" t="inlineStr">
        <is>
          <t>free</t>
        </is>
      </c>
      <c r="C4" s="3" t="n">
        <v>2</v>
      </c>
    </row>
    <row r="5">
      <c r="A5" s="3" t="inlineStr">
        <is>
          <t>Tier 2</t>
        </is>
      </c>
      <c r="B5" s="3" t="inlineStr">
        <is>
          <t>6 referrals in 6 months or the course</t>
        </is>
      </c>
      <c r="C5" s="3" t="n">
        <v>12</v>
      </c>
    </row>
    <row r="6">
      <c r="A6" s="3" t="inlineStr">
        <is>
          <t>Tier 3</t>
        </is>
      </c>
      <c r="B6" s="3" t="inlineStr">
        <is>
          <t>40 referrals a year or core-size stock</t>
        </is>
      </c>
      <c r="C6" s="3" t="n">
        <v>40</v>
      </c>
    </row>
    <row r="8">
      <c r="A8" t="inlineStr">
        <is>
          <t>Source: A14 to A16</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48" customWidth="1" min="1" max="1"/>
    <col width="16" customWidth="1" min="2" max="2"/>
    <col width="16" customWidth="1" min="3" max="3"/>
    <col width="16" customWidth="1" min="4" max="4"/>
    <col width="16" customWidth="1" min="5" max="5"/>
  </cols>
  <sheetData>
    <row r="1">
      <c r="A1" s="1" t="inlineStr">
        <is>
          <t>T12. Case 4: risks and controls</t>
        </is>
      </c>
    </row>
    <row r="3">
      <c r="A3" s="2" t="inlineStr">
        <is>
          <t>ID</t>
        </is>
      </c>
      <c r="B3" s="2" t="inlineStr">
        <is>
          <t>Risk</t>
        </is>
      </c>
      <c r="C3" s="2" t="inlineStr">
        <is>
          <t>P</t>
        </is>
      </c>
      <c r="D3" s="2" t="inlineStr">
        <is>
          <t>I</t>
        </is>
      </c>
      <c r="E3" s="2" t="inlineStr">
        <is>
          <t>Control</t>
        </is>
      </c>
    </row>
    <row r="4">
      <c r="A4" s="3" t="inlineStr">
        <is>
          <t>R03</t>
        </is>
      </c>
      <c r="B4" s="3" t="inlineStr">
        <is>
          <t>Initial sign-up enthusiasm fades once the starter kit is in hand and no further engagement follows.</t>
        </is>
      </c>
      <c r="C4" s="3" t="n">
        <v>3</v>
      </c>
      <c r="D4" s="3" t="n">
        <v>3</v>
      </c>
      <c r="E4" s="3" t="inlineStr">
        <is>
          <t>Quarterly consumable refills create a recurring reason to log codes; the six-month tier review risks loss of status and tools, which behavioural evidence shows is a stronger motivator than a one-off gift; WhatsApp tips keep the programme visible between refills.</t>
        </is>
      </c>
    </row>
    <row r="5">
      <c r="A5" s="3" t="inlineStr">
        <is>
          <t>R02</t>
        </is>
      </c>
      <c r="B5" s="3" t="inlineStr">
        <is>
          <t>The retailer has no strong incentive to take the extra step of entering the mechanic code at the point of sale, so the loop breaks at step 3.</t>
        </is>
      </c>
      <c r="C5" s="3" t="n">
        <v>3</v>
      </c>
      <c r="D5" s="3" t="n">
        <v>2</v>
      </c>
      <c r="E5" s="3" t="inlineStr">
        <is>
          <t>The retailer earns a small logging credit inside its own existing loyalty scheme for every code entered, giving it a reason to log; the programme is piloted with retailer training before scale.</t>
        </is>
      </c>
    </row>
    <row r="6">
      <c r="A6" s="3" t="inlineStr">
        <is>
          <t>R08</t>
        </is>
      </c>
      <c r="B6" s="3" t="inlineStr">
        <is>
          <t>If the retailer app is not live, has limited reach, or goes down, code logging has no reliable channel.</t>
        </is>
      </c>
      <c r="C6" s="3" t="n">
        <v>2</v>
      </c>
      <c r="D6" s="3" t="n">
        <v>3</v>
      </c>
      <c r="E6" s="3" t="inlineStr">
        <is>
          <t>A22 reserves a one-time build or extension cost if no live app exists; a manual WhatsApp or SMS fallback for logging during outages; the pilot confirms the app's real capacity before scale.</t>
        </is>
      </c>
    </row>
    <row r="7">
      <c r="A7" s="3" t="inlineStr">
        <is>
          <t>R01</t>
        </is>
      </c>
      <c r="B7" s="3" t="inlineStr">
        <is>
          <t>Mechanics could log codes for tyres riders did not actually buy, or collude with retailers to fabricate recommendations.</t>
        </is>
      </c>
      <c r="C7" s="3" t="n">
        <v>2</v>
      </c>
      <c r="D7" s="3" t="n">
        <v>2</v>
      </c>
      <c r="E7" s="3" t="inlineStr">
        <is>
          <t>One credit per tyre serial; a monthly cap per member; random IVR call-backs to riders named on the sale; a distance flag between retailer and mechanic beyond A21 km; distributor audit of the top earners each quarter.</t>
        </is>
      </c>
    </row>
    <row r="8">
      <c r="A8" s="3" t="inlineStr">
        <is>
          <t>R04</t>
        </is>
      </c>
      <c r="B8" s="3" t="inlineStr">
        <is>
          <t>Distributors who are asked to enrol mechanics may deprioritise it against their core stocking and selling work.</t>
        </is>
      </c>
      <c r="C8" s="3" t="n">
        <v>2</v>
      </c>
      <c r="D8" s="3" t="n">
        <v>2</v>
      </c>
      <c r="E8" s="3" t="inlineStr">
        <is>
          <t>A per-enrolment incentive (A17) paid to distributor sales staff; a missed-call or WhatsApp self-enrolment path that does not depend on a distributor visit; monthly enrolment targets reviewed with distributors.</t>
        </is>
      </c>
    </row>
    <row r="9">
      <c r="A9" s="3" t="inlineStr">
        <is>
          <t>R05</t>
        </is>
      </c>
      <c r="B9" s="3" t="inlineStr">
        <is>
          <t>A competitor could launch a similar tools-and-status programme once ours is visible in the market.</t>
        </is>
      </c>
      <c r="C9" s="3" t="n">
        <v>2</v>
      </c>
      <c r="D9" s="3" t="n">
        <v>2</v>
      </c>
      <c r="E9" s="3" t="inlineStr">
        <is>
          <t>The stock-independent design is harder for a rival with purchase-linked schemes to copy without cannibalising its own programme (7 Powers counter-positioning); the pilot-to-scale timeline aims to build a lead in enrolled shops before a copy can match it.</t>
        </is>
      </c>
    </row>
    <row r="10">
      <c r="A10" s="3" t="inlineStr">
        <is>
          <t>R07</t>
        </is>
      </c>
      <c r="B10" s="3" t="inlineStr">
        <is>
          <t>Shops could learn to recognise mystery riders and behave differently only during audits, biasing the measurement.</t>
        </is>
      </c>
      <c r="C10" s="3" t="n">
        <v>2</v>
      </c>
      <c r="D10" s="3" t="n">
        <v>2</v>
      </c>
      <c r="E10" s="3" t="inlineStr">
        <is>
          <t>Audits are unannounced and run by a third-party agency with rotating personnel; the sample is drawn randomly each round from the full member list, not announced in advance; results are compared against the matched control districts, which the shops do not know are being tracked.</t>
        </is>
      </c>
    </row>
    <row r="11">
      <c r="A11" s="3" t="inlineStr">
        <is>
          <t>R09</t>
        </is>
      </c>
      <c r="B11" s="3" t="inlineStr">
        <is>
          <t>Costs per member, especially Tier 3 hardware, could run above the assumption register's bear case.</t>
        </is>
      </c>
      <c r="C11" s="3" t="n">
        <v>2</v>
      </c>
      <c r="D11" s="3" t="n">
        <v>2</v>
      </c>
      <c r="E11" s="3" t="inlineStr">
        <is>
          <t>Spend is capped at the 1.5% to 2% envelope in every quarter (model check spend_within_envelope); member growth is phased (rollout table) so costs are visible before national scale; Tier 3 hardware can move to lease-only if the bear case breaches the cap.</t>
        </is>
      </c>
    </row>
    <row r="12">
      <c r="A12" s="3" t="inlineStr">
        <is>
          <t>R06</t>
        </is>
      </c>
      <c r="B12" s="3" t="inlineStr">
        <is>
          <t>Members could resell tools or branded merchandise rather than using them, defeating the engagement purpose.</t>
        </is>
      </c>
      <c r="C12" s="3" t="n">
        <v>2</v>
      </c>
      <c r="D12" s="3" t="n">
        <v>1</v>
      </c>
      <c r="E12" s="3" t="inlineStr">
        <is>
          <t>Items are chosen to have low resale value relative to their utility to the shop (branded, sized to the shop, consumable-dependent); audits flag members with high redemption but low subsequent referral activity.</t>
        </is>
      </c>
    </row>
    <row r="13">
      <c r="A13" s="3" t="inlineStr">
        <is>
          <t>R10</t>
        </is>
      </c>
      <c r="B13" s="3" t="inlineStr">
        <is>
          <t>Without the annual brand-track re-survey, Eurogrip cannot confirm whether stocking and recommendation actually moved.</t>
        </is>
      </c>
      <c r="C13" s="3" t="n">
        <v>1</v>
      </c>
      <c r="D13" s="3" t="n">
        <v>2</v>
      </c>
      <c r="E13" s="3" t="inlineStr">
        <is>
          <t>A32 reserves an annual budget line for the re-survey; G3 at the end of Q8 is explicitly gated on this re-run, making it a condition for calling the national phase complete.</t>
        </is>
      </c>
    </row>
    <row r="15">
      <c r="A15" t="inlineStr">
        <is>
          <t>Source: model/inputs/risks.csv</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48" customWidth="1" min="1" max="1"/>
    <col width="16" customWidth="1" min="2" max="2"/>
    <col width="16" customWidth="1" min="3" max="3"/>
    <col width="16" customWidth="1" min="4" max="4"/>
  </cols>
  <sheetData>
    <row r="1">
      <c r="A1" s="1" t="inlineStr">
        <is>
          <t>T13. Case 1: budget by segment and channel (₹ crore, base)</t>
        </is>
      </c>
    </row>
    <row r="3">
      <c r="A3" s="2" t="inlineStr">
        <is>
          <t>Segment</t>
        </is>
      </c>
      <c r="B3" s="2" t="inlineStr">
        <is>
          <t>Digital</t>
        </is>
      </c>
      <c r="C3" s="2" t="inlineStr">
        <is>
          <t>Retail</t>
        </is>
      </c>
      <c r="D3" s="2" t="inlineStr">
        <is>
          <t>On-ground</t>
        </is>
      </c>
    </row>
    <row r="4">
      <c r="A4" s="3" t="inlineStr">
        <is>
          <t>Commuter</t>
        </is>
      </c>
      <c r="B4" s="3" t="n">
        <v>8.93</v>
      </c>
      <c r="C4" s="3" t="n">
        <v>10.2</v>
      </c>
      <c r="D4" s="3" t="n">
        <v>6.38</v>
      </c>
    </row>
    <row r="5">
      <c r="A5" s="3" t="inlineStr">
        <is>
          <t>Gig</t>
        </is>
      </c>
      <c r="B5" s="3" t="n">
        <v>3.98</v>
      </c>
      <c r="C5" s="3" t="n">
        <v>3.98</v>
      </c>
      <c r="D5" s="3" t="n">
        <v>7.97</v>
      </c>
    </row>
    <row r="6">
      <c r="A6" s="3" t="inlineStr">
        <is>
          <t>Premium</t>
        </is>
      </c>
      <c r="B6" s="3" t="n">
        <v>5.74</v>
      </c>
      <c r="C6" s="3" t="n">
        <v>1.91</v>
      </c>
      <c r="D6" s="3" t="n">
        <v>5.1</v>
      </c>
    </row>
    <row r="7">
      <c r="A7" s="3" t="inlineStr">
        <is>
          <t>Brand platform</t>
        </is>
      </c>
      <c r="B7" s="3" t="n">
        <v>5.74</v>
      </c>
      <c r="C7" s="3" t="n">
        <v>1.91</v>
      </c>
      <c r="D7" s="3" t="n">
        <v>1.91</v>
      </c>
    </row>
    <row r="9">
      <c r="A9" t="inlineStr">
        <is>
          <t>Source: A1-01 to A1-18</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48" customWidth="1" min="1" max="1"/>
    <col width="16" customWidth="1" min="2" max="2"/>
  </cols>
  <sheetData>
    <row r="1">
      <c r="A1" s="1" t="inlineStr">
        <is>
          <t>T14. Case 1: what the budget buys (base)</t>
        </is>
      </c>
    </row>
    <row r="3">
      <c r="A3" s="2" t="inlineStr">
        <is>
          <t>Item</t>
        </is>
      </c>
      <c r="B3" s="2" t="inlineStr">
        <is>
          <t>Value</t>
        </is>
      </c>
    </row>
    <row r="4">
      <c r="A4" s="3" t="inlineStr">
        <is>
          <t>impressions_crore</t>
        </is>
      </c>
      <c r="B4" s="3" t="n">
        <v>203.2</v>
      </c>
    </row>
    <row r="5">
      <c r="A5" s="3" t="inlineStr">
        <is>
          <t>unique_reach_lakh</t>
        </is>
      </c>
      <c r="B5" s="3" t="n">
        <v>5080.3</v>
      </c>
    </row>
    <row r="6">
      <c r="A6" s="3" t="inlineStr">
        <is>
          <t>outlets_branded</t>
        </is>
      </c>
      <c r="B6" s="3" t="n">
        <v>72040.3</v>
      </c>
    </row>
    <row r="7">
      <c r="A7" s="3" t="inlineStr">
        <is>
          <t>events</t>
        </is>
      </c>
      <c r="B7" s="3" t="n">
        <v>267.8</v>
      </c>
    </row>
    <row r="8">
      <c r="A8" s="3" t="inlineStr">
        <is>
          <t>event_reach_lakh</t>
        </is>
      </c>
      <c r="B8" s="3" t="n">
        <v>8</v>
      </c>
    </row>
    <row r="9">
      <c r="A9" s="3" t="inlineStr">
        <is>
          <t>gig_riders_enrolled_lakh</t>
        </is>
      </c>
      <c r="B9" s="3" t="n">
        <v>3.2</v>
      </c>
    </row>
    <row r="10">
      <c r="A10" s="3" t="inlineStr">
        <is>
          <t>Share where the tyre is chosen (retail + on-ground)</t>
        </is>
      </c>
      <c r="B10" s="3" t="inlineStr">
        <is>
          <t>62%</t>
        </is>
      </c>
    </row>
    <row r="12">
      <c r="A12" t="inlineStr">
        <is>
          <t>Source: A1-19 to A1-24</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8" customWidth="1" min="1" max="1"/>
    <col width="16" customWidth="1" min="2" max="2"/>
  </cols>
  <sheetData>
    <row r="1">
      <c r="A1" s="1" t="inlineStr">
        <is>
          <t>T15. Case 1: budget by scenario (₹ crore)</t>
        </is>
      </c>
    </row>
    <row r="3">
      <c r="A3" s="2" t="inlineStr">
        <is>
          <t>Scenario</t>
        </is>
      </c>
      <c r="B3" s="2" t="inlineStr">
        <is>
          <t>Budget</t>
        </is>
      </c>
    </row>
    <row r="4">
      <c r="A4" s="3" t="inlineStr">
        <is>
          <t>bear</t>
        </is>
      </c>
      <c r="B4" s="3" t="n">
        <v>54.65</v>
      </c>
    </row>
    <row r="5">
      <c r="A5" s="3" t="inlineStr">
        <is>
          <t>base</t>
        </is>
      </c>
      <c r="B5" s="3" t="n">
        <v>63.75</v>
      </c>
    </row>
    <row r="6">
      <c r="A6" s="3" t="inlineStr">
        <is>
          <t>bull</t>
        </is>
      </c>
      <c r="B6" s="3" t="n">
        <v>73.16</v>
      </c>
    </row>
    <row r="8">
      <c r="A8" t="inlineStr">
        <is>
          <t>Source: A1-01, A1-02</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48" customWidth="1" min="1" max="1"/>
    <col width="16" customWidth="1" min="2" max="2"/>
    <col width="16" customWidth="1" min="3" max="3"/>
    <col width="16" customWidth="1" min="4" max="4"/>
  </cols>
  <sheetData>
    <row r="1">
      <c r="A1" s="1" t="inlineStr">
        <is>
          <t>T16. Case 2: compound cost (₹ per kg)</t>
        </is>
      </c>
    </row>
    <row r="3">
      <c r="A3" s="2" t="inlineStr">
        <is>
          <t>Item</t>
        </is>
      </c>
      <c r="B3" s="2" t="inlineStr">
        <is>
          <t>bear</t>
        </is>
      </c>
      <c r="C3" s="2" t="inlineStr">
        <is>
          <t>base</t>
        </is>
      </c>
      <c r="D3" s="2" t="inlineStr">
        <is>
          <t>bull</t>
        </is>
      </c>
    </row>
    <row r="4">
      <c r="A4" s="3" t="inlineStr">
        <is>
          <t>Petrol-scooter tread compound</t>
        </is>
      </c>
      <c r="B4" s="3" t="n">
        <v>166.3</v>
      </c>
      <c r="C4" s="3" t="n">
        <v>166.3</v>
      </c>
      <c r="D4" s="3" t="n">
        <v>166.3</v>
      </c>
    </row>
    <row r="5">
      <c r="A5" s="3" t="inlineStr">
        <is>
          <t>EV-ready cap compound incl. extra mixing</t>
        </is>
      </c>
      <c r="B5" s="3" t="n">
        <v>178.5</v>
      </c>
      <c r="C5" s="3" t="n">
        <v>173.5</v>
      </c>
      <c r="D5" s="3" t="n">
        <v>168.5</v>
      </c>
    </row>
    <row r="6">
      <c r="A6" s="3" t="inlineStr">
        <is>
          <t>Cap mass per tyre (kg)</t>
        </is>
      </c>
      <c r="B6" s="3" t="n">
        <v>0.55</v>
      </c>
      <c r="C6" s="3" t="n">
        <v>0.42</v>
      </c>
      <c r="D6" s="3" t="n">
        <v>0.29</v>
      </c>
    </row>
    <row r="8">
      <c r="A8" t="inlineStr">
        <is>
          <t>Source: materials_prices.csv; A2-02 to A2-22</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48" customWidth="1" min="1" max="1"/>
    <col width="16" customWidth="1" min="2" max="2"/>
    <col width="16" customWidth="1" min="3" max="3"/>
    <col width="16" customWidth="1" min="4" max="4"/>
  </cols>
  <sheetData>
    <row r="1">
      <c r="A1" s="1" t="inlineStr">
        <is>
          <t>T17. Case 2: cost delta and range gain</t>
        </is>
      </c>
    </row>
    <row r="3">
      <c r="A3" s="2" t="inlineStr">
        <is>
          <t>Item</t>
        </is>
      </c>
      <c r="B3" s="2" t="inlineStr">
        <is>
          <t>bear</t>
        </is>
      </c>
      <c r="C3" s="2" t="inlineStr">
        <is>
          <t>base</t>
        </is>
      </c>
      <c r="D3" s="2" t="inlineStr">
        <is>
          <t>bull</t>
        </is>
      </c>
    </row>
    <row r="4">
      <c r="A4" s="3" t="inlineStr">
        <is>
          <t>Cost delta per tyre (₹)</t>
        </is>
      </c>
      <c r="B4" s="3" t="n">
        <v>97</v>
      </c>
      <c r="C4" s="3" t="n">
        <v>68</v>
      </c>
      <c r="D4" s="3" t="n">
        <v>46</v>
      </c>
    </row>
    <row r="5">
      <c r="A5" s="3" t="inlineStr">
        <is>
          <t>Cost delta (%)</t>
        </is>
      </c>
      <c r="B5" s="3" t="n">
        <v>10.2</v>
      </c>
      <c r="C5" s="3" t="n">
        <v>8</v>
      </c>
      <c r="D5" s="3" t="n">
        <v>6.1</v>
      </c>
    </row>
    <row r="6">
      <c r="A6" s="3" t="inlineStr">
        <is>
          <t>Range gain (%)</t>
        </is>
      </c>
      <c r="B6" s="3" t="n">
        <v>2.3</v>
      </c>
      <c r="C6" s="3" t="n">
        <v>4.2</v>
      </c>
      <c r="D6" s="3" t="n">
        <v>6.7</v>
      </c>
    </row>
    <row r="7">
      <c r="A7" s="3" t="inlineStr">
        <is>
          <t>Range gain (km per charge)</t>
        </is>
      </c>
      <c r="B7" s="3" t="n">
        <v>2.8</v>
      </c>
      <c r="C7" s="3" t="n">
        <v>6.3</v>
      </c>
      <c r="D7" s="3" t="n">
        <v>13</v>
      </c>
    </row>
    <row r="9">
      <c r="A9" t="inlineStr">
        <is>
          <t>Source: A2-06 to A2-08, A2-23 to A2-25</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8" customWidth="1" min="1" max="1"/>
    <col width="16" customWidth="1" min="2" max="2"/>
  </cols>
  <sheetData>
    <row r="1">
      <c r="A1" s="1" t="inlineStr">
        <is>
          <t>T18. Case 3: rear-tyre sets replaced a year by segment (base)</t>
        </is>
      </c>
    </row>
    <row r="3">
      <c r="A3" s="2" t="inlineStr">
        <is>
          <t>Segment</t>
        </is>
      </c>
      <c r="B3" s="2" t="inlineStr">
        <is>
          <t>Sets a year (lakh)</t>
        </is>
      </c>
    </row>
    <row r="4">
      <c r="A4" s="3" t="inlineStr">
        <is>
          <t>Commercial</t>
        </is>
      </c>
      <c r="B4" s="3" t="n">
        <v>6.82</v>
      </c>
    </row>
    <row r="5">
      <c r="A5" s="3" t="inlineStr">
        <is>
          <t>Smallholder</t>
        </is>
      </c>
      <c r="B5" s="3" t="n">
        <v>13.12</v>
      </c>
    </row>
    <row r="6">
      <c r="A6" s="3" t="inlineStr">
        <is>
          <t>Hiring centre</t>
        </is>
      </c>
      <c r="B6" s="3" t="n">
        <v>7.5</v>
      </c>
    </row>
    <row r="8">
      <c r="A8" t="inlineStr">
        <is>
          <t>Source: A3-03 to A3-09</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48" customWidth="1" min="1" max="1"/>
    <col width="16" customWidth="1" min="2" max="2"/>
  </cols>
  <sheetData>
    <row r="1">
      <c r="A1" s="1" t="inlineStr">
        <is>
          <t>T19. Case 3: budget lines (₹ crore, base)</t>
        </is>
      </c>
    </row>
    <row r="3">
      <c r="A3" s="2" t="inlineStr">
        <is>
          <t>Line</t>
        </is>
      </c>
      <c r="B3" s="2" t="inlineStr">
        <is>
          <t>₹ crore</t>
        </is>
      </c>
    </row>
    <row r="4">
      <c r="A4" s="3" t="inlineStr">
        <is>
          <t>Dealer programme</t>
        </is>
      </c>
      <c r="B4" s="3" t="n">
        <v>1.6</v>
      </c>
    </row>
    <row r="5">
      <c r="A5" s="3" t="inlineStr">
        <is>
          <t>Village mechanics</t>
        </is>
      </c>
      <c r="B5" s="3" t="n">
        <v>0.42</v>
      </c>
    </row>
    <row r="6">
      <c r="A6" s="3" t="inlineStr">
        <is>
          <t>Field days</t>
        </is>
      </c>
      <c r="B6" s="3" t="n">
        <v>0.38</v>
      </c>
    </row>
    <row r="7">
      <c r="A7" s="3" t="inlineStr">
        <is>
          <t>Harvest credit</t>
        </is>
      </c>
      <c r="B7" s="3" t="n">
        <v>0.8</v>
      </c>
    </row>
    <row r="8">
      <c r="A8" s="3" t="inlineStr">
        <is>
          <t>Tyre-life assurance</t>
        </is>
      </c>
      <c r="B8" s="3" t="n">
        <v>0.11</v>
      </c>
    </row>
    <row r="9">
      <c r="A9" s="3" t="inlineStr">
        <is>
          <t>Measurement and contingency</t>
        </is>
      </c>
      <c r="B9" s="3" t="n">
        <v>1.16</v>
      </c>
    </row>
    <row r="11">
      <c r="A11" t="inlineStr">
        <is>
          <t>Source: A3-14 to A3-25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48" customWidth="1" min="1" max="1"/>
    <col width="16" customWidth="1" min="2" max="2"/>
    <col width="16" customWidth="1" min="3" max="3"/>
    <col width="16" customWidth="1" min="4" max="4"/>
  </cols>
  <sheetData>
    <row r="1">
      <c r="A1" s="1" t="inlineStr">
        <is>
          <t>T20. Case 3: cost per hour, payback and share points</t>
        </is>
      </c>
    </row>
    <row r="3">
      <c r="A3" s="2" t="inlineStr">
        <is>
          <t>Item</t>
        </is>
      </c>
      <c r="B3" s="2" t="inlineStr">
        <is>
          <t>bear</t>
        </is>
      </c>
      <c r="C3" s="2" t="inlineStr">
        <is>
          <t>base</t>
        </is>
      </c>
      <c r="D3" s="2" t="inlineStr">
        <is>
          <t>bull</t>
        </is>
      </c>
    </row>
    <row r="4">
      <c r="A4" s="3" t="inlineStr">
        <is>
          <t>Rear pair cost per hour, commercial (₹)</t>
        </is>
      </c>
      <c r="B4" s="3" t="n">
        <v>17.4</v>
      </c>
      <c r="C4" s="3" t="n">
        <v>11.3</v>
      </c>
      <c r="D4" s="3" t="n">
        <v>8.199999999999999</v>
      </c>
    </row>
    <row r="5">
      <c r="A5" s="3" t="inlineStr">
        <is>
          <t>Contribution per set (₹)</t>
        </is>
      </c>
      <c r="B5" s="3" t="n">
        <v>5847</v>
      </c>
      <c r="C5" s="3" t="n">
        <v>7661</v>
      </c>
      <c r="D5" s="3" t="n">
        <v>9346</v>
      </c>
    </row>
    <row r="6">
      <c r="A6" s="3" t="inlineStr">
        <is>
          <t>Sets to pay back the budget</t>
        </is>
      </c>
      <c r="B6" s="3" t="n">
        <v>5131</v>
      </c>
      <c r="C6" s="3" t="n">
        <v>5825</v>
      </c>
      <c r="D6" s="3" t="n">
        <v>6634</v>
      </c>
    </row>
    <row r="7">
      <c r="A7" s="3" t="inlineStr">
        <is>
          <t>Share points that implies</t>
        </is>
      </c>
      <c r="B7" s="3" t="n">
        <v>0.26</v>
      </c>
      <c r="C7" s="3" t="n">
        <v>0.21</v>
      </c>
      <c r="D7" s="3" t="n">
        <v>0.17</v>
      </c>
    </row>
    <row r="9">
      <c r="A9" t="inlineStr">
        <is>
          <t>Source: A3-10 to A3-27</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6" customWidth="1" min="1" max="1"/>
    <col width="70" customWidth="1" min="2" max="2"/>
    <col width="5" customWidth="1" min="3" max="3"/>
    <col width="5" customWidth="1" min="4" max="4"/>
    <col width="7" customWidth="1" min="5" max="5"/>
    <col width="90" customWidth="1" min="6" max="6"/>
  </cols>
  <sheetData>
    <row r="1">
      <c r="A1" s="1" t="inlineStr">
        <is>
          <t>Case 4 risk register (probability and impact on a 1 to 3 scale)</t>
        </is>
      </c>
    </row>
    <row r="3">
      <c r="A3" s="2" t="inlineStr">
        <is>
          <t>ID</t>
        </is>
      </c>
      <c r="B3" s="2" t="inlineStr">
        <is>
          <t>Risk</t>
        </is>
      </c>
      <c r="C3" s="2" t="inlineStr">
        <is>
          <t>P</t>
        </is>
      </c>
      <c r="D3" s="2" t="inlineStr">
        <is>
          <t>I</t>
        </is>
      </c>
      <c r="E3" s="2" t="inlineStr">
        <is>
          <t>P x I</t>
        </is>
      </c>
      <c r="F3" s="2" t="inlineStr">
        <is>
          <t>Control</t>
        </is>
      </c>
    </row>
    <row r="4">
      <c r="A4" s="3" t="inlineStr">
        <is>
          <t>R03</t>
        </is>
      </c>
      <c r="B4" s="3" t="inlineStr">
        <is>
          <t>Initial sign-up enthusiasm fades once the starter kit is in hand and no further engagement follows.</t>
        </is>
      </c>
      <c r="C4" s="3" t="n">
        <v>3</v>
      </c>
      <c r="D4" s="3" t="n">
        <v>3</v>
      </c>
      <c r="E4" s="3" t="n">
        <v>9</v>
      </c>
      <c r="F4" s="3" t="inlineStr">
        <is>
          <t>Quarterly consumable refills create a recurring reason to log codes; the six-month tier review risks loss of status and tools, which behavioural evidence shows is a stronger motivator than a one-off gift; WhatsApp tips keep the programme visible between refills.</t>
        </is>
      </c>
    </row>
    <row r="5">
      <c r="A5" s="3" t="inlineStr">
        <is>
          <t>R02</t>
        </is>
      </c>
      <c r="B5" s="3" t="inlineStr">
        <is>
          <t>The retailer has no strong incentive to take the extra step of entering the mechanic code at the point of sale, so the loop breaks at step 3.</t>
        </is>
      </c>
      <c r="C5" s="3" t="n">
        <v>3</v>
      </c>
      <c r="D5" s="3" t="n">
        <v>2</v>
      </c>
      <c r="E5" s="3" t="n">
        <v>6</v>
      </c>
      <c r="F5" s="3" t="inlineStr">
        <is>
          <t>The retailer earns a small logging credit inside its own existing loyalty scheme for every code entered, giving it a reason to log; the programme is piloted with retailer training before scale.</t>
        </is>
      </c>
    </row>
    <row r="6">
      <c r="A6" s="3" t="inlineStr">
        <is>
          <t>R08</t>
        </is>
      </c>
      <c r="B6" s="3" t="inlineStr">
        <is>
          <t>If the retailer app is not live, has limited reach, or goes down, code logging has no reliable channel.</t>
        </is>
      </c>
      <c r="C6" s="3" t="n">
        <v>2</v>
      </c>
      <c r="D6" s="3" t="n">
        <v>3</v>
      </c>
      <c r="E6" s="3" t="n">
        <v>6</v>
      </c>
      <c r="F6" s="3" t="inlineStr">
        <is>
          <t>A22 reserves a one-time build or extension cost if no live app exists; a manual WhatsApp or SMS fallback for logging during outages; the pilot confirms the app's real capacity before scale.</t>
        </is>
      </c>
    </row>
    <row r="7">
      <c r="A7" s="3" t="inlineStr">
        <is>
          <t>R01</t>
        </is>
      </c>
      <c r="B7" s="3" t="inlineStr">
        <is>
          <t>Mechanics could log codes for tyres riders did not actually buy, or collude with retailers to fabricate recommendations.</t>
        </is>
      </c>
      <c r="C7" s="3" t="n">
        <v>2</v>
      </c>
      <c r="D7" s="3" t="n">
        <v>2</v>
      </c>
      <c r="E7" s="3" t="n">
        <v>4</v>
      </c>
      <c r="F7" s="3" t="inlineStr">
        <is>
          <t>One credit per tyre serial; a monthly cap per member; random IVR call-backs to riders named on the sale; a distance flag between retailer and mechanic beyond A21 km; distributor audit of the top earners each quarter.</t>
        </is>
      </c>
    </row>
    <row r="8">
      <c r="A8" s="3" t="inlineStr">
        <is>
          <t>R04</t>
        </is>
      </c>
      <c r="B8" s="3" t="inlineStr">
        <is>
          <t>Distributors who are asked to enrol mechanics may deprioritise it against their core stocking and selling work.</t>
        </is>
      </c>
      <c r="C8" s="3" t="n">
        <v>2</v>
      </c>
      <c r="D8" s="3" t="n">
        <v>2</v>
      </c>
      <c r="E8" s="3" t="n">
        <v>4</v>
      </c>
      <c r="F8" s="3" t="inlineStr">
        <is>
          <t>A per-enrolment incentive (A17) paid to distributor sales staff; a missed-call or WhatsApp self-enrolment path that does not depend on a distributor visit; monthly enrolment targets reviewed with distributors.</t>
        </is>
      </c>
    </row>
    <row r="9">
      <c r="A9" s="3" t="inlineStr">
        <is>
          <t>R05</t>
        </is>
      </c>
      <c r="B9" s="3" t="inlineStr">
        <is>
          <t>A competitor could launch a similar tools-and-status programme once ours is visible in the market.</t>
        </is>
      </c>
      <c r="C9" s="3" t="n">
        <v>2</v>
      </c>
      <c r="D9" s="3" t="n">
        <v>2</v>
      </c>
      <c r="E9" s="3" t="n">
        <v>4</v>
      </c>
      <c r="F9" s="3" t="inlineStr">
        <is>
          <t>The stock-independent design is harder for a rival with purchase-linked schemes to copy without cannibalising its own programme (7 Powers counter-positioning); the pilot-to-scale timeline aims to build a lead in enrolled shops before a copy can match it.</t>
        </is>
      </c>
    </row>
    <row r="10">
      <c r="A10" s="3" t="inlineStr">
        <is>
          <t>R07</t>
        </is>
      </c>
      <c r="B10" s="3" t="inlineStr">
        <is>
          <t>Shops could learn to recognise mystery riders and behave differently only during audits, biasing the measurement.</t>
        </is>
      </c>
      <c r="C10" s="3" t="n">
        <v>2</v>
      </c>
      <c r="D10" s="3" t="n">
        <v>2</v>
      </c>
      <c r="E10" s="3" t="n">
        <v>4</v>
      </c>
      <c r="F10" s="3" t="inlineStr">
        <is>
          <t>Audits are unannounced and run by a third-party agency with rotating personnel; the sample is drawn randomly each round from the full member list, not announced in advance; results are compared against the matched control districts, which the shops do not know are being tracked.</t>
        </is>
      </c>
    </row>
    <row r="11">
      <c r="A11" s="3" t="inlineStr">
        <is>
          <t>R09</t>
        </is>
      </c>
      <c r="B11" s="3" t="inlineStr">
        <is>
          <t>Costs per member, especially Tier 3 hardware, could run above the assumption register's bear case.</t>
        </is>
      </c>
      <c r="C11" s="3" t="n">
        <v>2</v>
      </c>
      <c r="D11" s="3" t="n">
        <v>2</v>
      </c>
      <c r="E11" s="3" t="n">
        <v>4</v>
      </c>
      <c r="F11" s="3" t="inlineStr">
        <is>
          <t>Spend is capped at the 1.5% to 2% envelope in every quarter (model check spend_within_envelope); member growth is phased (rollout table) so costs are visible before national scale; Tier 3 hardware can move to lease-only if the bear case breaches the cap.</t>
        </is>
      </c>
    </row>
    <row r="12">
      <c r="A12" s="3" t="inlineStr">
        <is>
          <t>R06</t>
        </is>
      </c>
      <c r="B12" s="3" t="inlineStr">
        <is>
          <t>Members could resell tools or branded merchandise rather than using them, defeating the engagement purpose.</t>
        </is>
      </c>
      <c r="C12" s="3" t="n">
        <v>2</v>
      </c>
      <c r="D12" s="3" t="n">
        <v>1</v>
      </c>
      <c r="E12" s="3" t="n">
        <v>2</v>
      </c>
      <c r="F12" s="3" t="inlineStr">
        <is>
          <t>Items are chosen to have low resale value relative to their utility to the shop (branded, sized to the shop, consumable-dependent); audits flag members with high redemption but low subsequent referral activity.</t>
        </is>
      </c>
    </row>
    <row r="13">
      <c r="A13" s="3" t="inlineStr">
        <is>
          <t>R10</t>
        </is>
      </c>
      <c r="B13" s="3" t="inlineStr">
        <is>
          <t>Without the annual brand-track re-survey, Eurogrip cannot confirm whether stocking and recommendation actually moved.</t>
        </is>
      </c>
      <c r="C13" s="3" t="n">
        <v>1</v>
      </c>
      <c r="D13" s="3" t="n">
        <v>2</v>
      </c>
      <c r="E13" s="3" t="n">
        <v>2</v>
      </c>
      <c r="F13" s="3" t="inlineStr">
        <is>
          <t>A32 reserves an annual budget line for the re-survey; G3 at the end of Q8 is explicitly gated on this re-run, making it a condition for calling the national phase complete.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8" customWidth="1" min="1" max="1"/>
    <col width="12" customWidth="1" min="2" max="2"/>
  </cols>
  <sheetData>
    <row r="1">
      <c r="A1" s="1" t="inlineStr">
        <is>
          <t>Model internal checks</t>
        </is>
      </c>
    </row>
    <row r="3">
      <c r="A3" s="2" t="inlineStr">
        <is>
          <t>Check</t>
        </is>
      </c>
      <c r="B3" s="2" t="inlineStr">
        <is>
          <t>Result</t>
        </is>
      </c>
    </row>
    <row r="4">
      <c r="A4" s="3" t="inlineStr">
        <is>
          <t>envelope_positive</t>
        </is>
      </c>
      <c r="B4" s="3" t="b">
        <v>1</v>
      </c>
    </row>
    <row r="5">
      <c r="A5" s="3" t="inlineStr">
        <is>
          <t>spend_within_envelope</t>
        </is>
      </c>
      <c r="B5" s="3" t="b">
        <v>1</v>
      </c>
    </row>
    <row r="6">
      <c r="A6" s="3" t="inlineStr">
        <is>
          <t>members_positive</t>
        </is>
      </c>
      <c r="B6" s="3" t="b">
        <v>1</v>
      </c>
    </row>
    <row r="7">
      <c r="A7" s="3" t="inlineStr">
        <is>
          <t>lines_sum</t>
        </is>
      </c>
      <c r="B7" s="3" t="b">
        <v>1</v>
      </c>
    </row>
    <row r="8">
      <c r="A8" s="3" t="inlineStr">
        <is>
          <t>be_order</t>
        </is>
      </c>
      <c r="B8" s="3" t="b">
        <v>1</v>
      </c>
    </row>
    <row r="9">
      <c r="A9" s="3" t="inlineStr">
        <is>
          <t>be_sane</t>
        </is>
      </c>
      <c r="B9" s="3" t="b">
        <v>1</v>
      </c>
    </row>
    <row r="10">
      <c r="A10" s="3" t="inlineStr">
        <is>
          <t>year1_within</t>
        </is>
      </c>
      <c r="B10" s="3" t="b">
        <v>1</v>
      </c>
    </row>
    <row r="11">
      <c r="A11" s="3" t="inlineStr">
        <is>
          <t>year2_within</t>
        </is>
      </c>
      <c r="B11" s="3" t="b">
        <v>1</v>
      </c>
    </row>
    <row r="12">
      <c r="A12" s="3" t="inlineStr">
        <is>
          <t>segments_sum</t>
        </is>
      </c>
      <c r="B12" s="3" t="b">
        <v>1</v>
      </c>
    </row>
    <row r="13">
      <c r="A13" s="3" t="inlineStr">
        <is>
          <t>mix_sum</t>
        </is>
      </c>
      <c r="B13" s="3" t="b">
        <v>1</v>
      </c>
    </row>
    <row r="14">
      <c r="A14" s="3" t="inlineStr">
        <is>
          <t>risk_strings</t>
        </is>
      </c>
      <c r="B14" s="3" t="b">
        <v>1</v>
      </c>
    </row>
    <row r="15">
      <c r="A15" s="3" t="inlineStr">
        <is>
          <t>risk_count</t>
        </is>
      </c>
      <c r="B15" s="3" t="b">
        <v>1</v>
      </c>
    </row>
    <row r="16">
      <c r="A16" s="3" t="inlineStr">
        <is>
          <t>bench_rows</t>
        </is>
      </c>
      <c r="B16" s="3" t="b">
        <v>1</v>
      </c>
    </row>
    <row r="17">
      <c r="A17" s="3" t="inlineStr">
        <is>
          <t>c1_segment_shares</t>
        </is>
      </c>
      <c r="B17" s="3" t="b">
        <v>1</v>
      </c>
    </row>
    <row r="18">
      <c r="A18" s="3" t="inlineStr">
        <is>
          <t>c1_channel_shares</t>
        </is>
      </c>
      <c r="B18" s="3" t="b">
        <v>1</v>
      </c>
    </row>
    <row r="19">
      <c r="A19" s="3" t="inlineStr">
        <is>
          <t>c2_recipes_sum</t>
        </is>
      </c>
      <c r="B19" s="3" t="b">
        <v>1</v>
      </c>
    </row>
    <row r="20">
      <c r="A20" s="3" t="inlineStr">
        <is>
          <t>c3_within_budget</t>
        </is>
      </c>
      <c r="B20" s="3" t="b">
        <v>1</v>
      </c>
    </row>
    <row r="21">
      <c r="A21" s="3" t="inlineStr">
        <is>
          <t>flag: c2_delta_within_target_base</t>
        </is>
      </c>
      <c r="B21" s="3" t="b">
        <v>0</v>
      </c>
    </row>
    <row r="22">
      <c r="A22" s="3" t="inlineStr">
        <is>
          <t>flag: c4_be_below_kill_base</t>
        </is>
      </c>
      <c r="B22" s="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2026-10-20T11:26:31Z</dcterms:created>
  <dcterms:modified xmlns:dcterms="http://purl.org/dc/terms/" xmlns:xsi="http://www.w3.org/2001/XMLSchema-instance" xsi:type="dcterms:W3CDTF">2026-10-20T11:26:31Z</dcterms:modified>
</cp:coreProperties>
</file>