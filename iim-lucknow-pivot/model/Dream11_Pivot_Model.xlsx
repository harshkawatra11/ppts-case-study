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Base_Segments" sheetId="3" state="visible" r:id="rId3"/>
    <sheet xmlns:r="http://schemas.openxmlformats.org/officeDocument/2006/relationships" name="Options" sheetId="4" state="visible" r:id="rId4"/>
    <sheet xmlns:r="http://schemas.openxmlformats.org/officeDocument/2006/relationships" name="RICE" sheetId="5" state="visible" r:id="rId5"/>
    <sheet xmlns:r="http://schemas.openxmlformats.org/officeDocument/2006/relationships" name="Revenue_bear" sheetId="6" state="visible" r:id="rId6"/>
    <sheet xmlns:r="http://schemas.openxmlformats.org/officeDocument/2006/relationships" name="Revenue_base" sheetId="7" state="visible" r:id="rId7"/>
    <sheet xmlns:r="http://schemas.openxmlformats.org/officeDocument/2006/relationships" name="Revenue_bull" sheetId="8" state="visible" r:id="rId8"/>
    <sheet xmlns:r="http://schemas.openxmlformats.org/officeDocument/2006/relationships" name="Stress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5E0A0E"/>
      </patternFill>
    </fill>
    <fill>
      <patternFill patternType="solid">
        <fgColor rgb="00FFF4CC"/>
      </patternFill>
    </fill>
    <fill>
      <patternFill patternType="solid">
        <fgColor rgb="00D8F0E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Dream11 PIVOT '26 model, Team IdeaForge</t>
        </is>
      </c>
    </row>
    <row r="2">
      <c r="A2" t="inlineStr">
        <is>
          <t>Values are pasted from model_outputs.json (the Python model is the source of truth).</t>
        </is>
      </c>
    </row>
    <row r="3">
      <c r="A3" t="inlineStr">
        <is>
          <t>Yellow = inputs (case facts, researched facts, assumptions). Green = outputs. Checks sheet must show TRUE everywhere.</t>
        </is>
      </c>
    </row>
    <row r="4">
      <c r="A4" t="inlineStr">
        <is>
          <t>Model run: 2026-09-29T19:17:39  hash: 9861e27587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60" customWidth="1" min="3" max="3"/>
  </cols>
  <sheetData>
    <row r="1">
      <c r="A1" s="1" t="inlineStr">
        <is>
          <t>Group</t>
        </is>
      </c>
      <c r="B1" s="1" t="inlineStr">
        <is>
          <t>Key</t>
        </is>
      </c>
      <c r="C1" s="1" t="inlineStr">
        <is>
          <t>Value</t>
        </is>
      </c>
    </row>
    <row r="2">
      <c r="A2" s="2" t="inlineStr">
        <is>
          <t>F</t>
        </is>
      </c>
      <c r="B2" s="2" t="inlineStr">
        <is>
          <t>rev</t>
        </is>
      </c>
      <c r="C2" s="2" t="inlineStr">
        <is>
          <t>{"FY23": 6384, "FY24": 7934, "FY25": 6759}</t>
        </is>
      </c>
    </row>
    <row r="3">
      <c r="A3" s="2" t="inlineStr">
        <is>
          <t>F</t>
        </is>
      </c>
      <c r="B3" s="2" t="inlineStr">
        <is>
          <t>pat</t>
        </is>
      </c>
      <c r="C3" s="2" t="inlineStr">
        <is>
          <t>{"FY23": 188, "FY24": 1295, "FY25": -479}</t>
        </is>
      </c>
    </row>
    <row r="4">
      <c r="A4" s="2" t="inlineStr">
        <is>
          <t>F</t>
        </is>
      </c>
      <c r="B4" s="2" t="inlineStr">
        <is>
          <t>paid_share</t>
        </is>
      </c>
      <c r="C4" s="2" t="n">
        <v>0.95</v>
      </c>
    </row>
    <row r="5">
      <c r="A5" s="2" t="inlineStr">
        <is>
          <t>F</t>
        </is>
      </c>
      <c r="B5" s="2" t="inlineStr">
        <is>
          <t>dau_sep25_m</t>
        </is>
      </c>
      <c r="C5" s="2" t="n">
        <v>10</v>
      </c>
    </row>
    <row r="6">
      <c r="A6" s="2" t="inlineStr">
        <is>
          <t>F</t>
        </is>
      </c>
      <c r="B6" s="2" t="inlineStr">
        <is>
          <t>age_18_35</t>
        </is>
      </c>
      <c r="C6" s="2" t="n">
        <v>0.7</v>
      </c>
    </row>
    <row r="7">
      <c r="A7" s="2" t="inlineStr">
        <is>
          <t>F</t>
        </is>
      </c>
      <c r="B7" s="2" t="inlineStr">
        <is>
          <t>watchalong_fans_m</t>
        </is>
      </c>
      <c r="C7" s="2" t="n">
        <v>30</v>
      </c>
    </row>
    <row r="8">
      <c r="A8" s="2" t="inlineStr">
        <is>
          <t>F</t>
        </is>
      </c>
      <c r="B8" s="2" t="inlineStr">
        <is>
          <t>users_feb26_m</t>
        </is>
      </c>
      <c r="C8" s="2" t="n">
        <v>250</v>
      </c>
    </row>
    <row r="9">
      <c r="A9" s="2" t="inlineStr">
        <is>
          <t>F</t>
        </is>
      </c>
      <c r="B9" s="2" t="inlineStr">
        <is>
          <t>users_aug26_m</t>
        </is>
      </c>
      <c r="C9" s="2" t="n">
        <v>300</v>
      </c>
    </row>
    <row r="10">
      <c r="A10" s="2" t="inlineStr">
        <is>
          <t>F</t>
        </is>
      </c>
      <c r="B10" s="2" t="inlineStr">
        <is>
          <t>bcci_deal_usd_m</t>
        </is>
      </c>
      <c r="C10" s="2" t="n">
        <v>44</v>
      </c>
    </row>
    <row r="11">
      <c r="A11" s="2" t="inlineStr">
        <is>
          <t>F</t>
        </is>
      </c>
      <c r="B11" s="2" t="inlineStr">
        <is>
          <t>staff</t>
        </is>
      </c>
      <c r="C11" s="2" t="n">
        <v>700</v>
      </c>
    </row>
    <row r="12">
      <c r="A12" s="2" t="inlineStr">
        <is>
          <t>F</t>
        </is>
      </c>
      <c r="B12" s="2" t="inlineStr">
        <is>
          <t>staff_left</t>
        </is>
      </c>
      <c r="C12" s="2" t="n">
        <v>0.15</v>
      </c>
    </row>
    <row r="13">
      <c r="A13" s="2" t="inlineStr">
        <is>
          <t>F</t>
        </is>
      </c>
      <c r="B13" s="2" t="inlineStr">
        <is>
          <t>gst_case</t>
        </is>
      </c>
      <c r="C13" s="2" t="n">
        <v>0.28</v>
      </c>
    </row>
    <row r="14">
      <c r="A14" s="2" t="inlineStr">
        <is>
          <t>R</t>
        </is>
      </c>
      <c r="B14" s="2" t="inlineStr">
        <is>
          <t>gst_statute</t>
        </is>
      </c>
      <c r="C14" s="2" t="n">
        <v>0.4</v>
      </c>
    </row>
    <row r="15">
      <c r="A15" s="2" t="inlineStr">
        <is>
          <t>R</t>
        </is>
      </c>
      <c r="B15" s="2" t="inlineStr">
        <is>
          <t>gst_pre2023_on_fee</t>
        </is>
      </c>
      <c r="C15" s="2" t="n">
        <v>0.18</v>
      </c>
    </row>
    <row r="16">
      <c r="A16" s="2" t="inlineStr">
        <is>
          <t>R</t>
        </is>
      </c>
      <c r="B16" s="2" t="inlineStr">
        <is>
          <t>offshore_share</t>
        </is>
      </c>
      <c r="C16" s="2" t="n">
        <v>0.3333333333333333</v>
      </c>
    </row>
    <row r="17">
      <c r="A17" s="2" t="inlineStr">
        <is>
          <t>R</t>
        </is>
      </c>
      <c r="B17" s="2" t="inlineStr">
        <is>
          <t>fy25_expenses_cr</t>
        </is>
      </c>
      <c r="C17" s="2" t="n">
        <v>7122.6</v>
      </c>
    </row>
    <row r="18">
      <c r="A18" s="2" t="inlineStr">
        <is>
          <t>R</t>
        </is>
      </c>
      <c r="B18" s="2" t="inlineStr">
        <is>
          <t>fy25_ad_spend_cr</t>
        </is>
      </c>
      <c r="C18" s="2" t="n">
        <v>3913</v>
      </c>
    </row>
    <row r="19">
      <c r="A19" s="2" t="inlineStr">
        <is>
          <t>R</t>
        </is>
      </c>
      <c r="B19" s="2" t="inlineStr">
        <is>
          <t>fy25_exceptional_cr</t>
        </is>
      </c>
      <c r="C19" s="2" t="n">
        <v>575</v>
      </c>
    </row>
    <row r="20">
      <c r="A20" s="2" t="inlineStr">
        <is>
          <t>R</t>
        </is>
      </c>
      <c r="B20" s="2" t="inlineStr">
        <is>
          <t>gst_notice_cr</t>
        </is>
      </c>
      <c r="C20" s="2" t="n">
        <v>28000</v>
      </c>
    </row>
    <row r="21">
      <c r="A21" s="2" t="inlineStr">
        <is>
          <t>A</t>
        </is>
      </c>
      <c r="B21" s="2" t="inlineStr">
        <is>
          <t>A01_preban_season_active_m</t>
        </is>
      </c>
      <c r="C21" s="2" t="n">
        <v>100</v>
      </c>
    </row>
    <row r="22">
      <c r="A22" s="2" t="inlineStr">
        <is>
          <t>A</t>
        </is>
      </c>
      <c r="B22" s="2" t="inlineStr">
        <is>
          <t>A02_seg_share</t>
        </is>
      </c>
      <c r="C22" s="2" t="inlineStr">
        <is>
          <t>{"S1": 0.35, "S2": 0.05, "S3": 0.2, "S4": 0.15, "S5": 0.25}</t>
        </is>
      </c>
    </row>
    <row r="23">
      <c r="A23" s="2" t="inlineStr">
        <is>
          <t>A</t>
        </is>
      </c>
      <c r="B23" s="2" t="inlineStr">
        <is>
          <t>A03_seg_stay</t>
        </is>
      </c>
      <c r="C23" s="2" t="inlineStr">
        <is>
          <t>{"S1": 0.1, "S2": 0.05, "S3": 0.4, "S4": 0.35, "S5": 0.5}</t>
        </is>
      </c>
    </row>
    <row r="24">
      <c r="A24" s="2" t="inlineStr">
        <is>
          <t>A</t>
        </is>
      </c>
      <c r="B24" s="2" t="inlineStr">
        <is>
          <t>A04_prize_removal_drop</t>
        </is>
      </c>
      <c r="C24" s="2" t="n">
        <v>0.3</v>
      </c>
    </row>
    <row r="25">
      <c r="A25" s="2" t="inlineStr">
        <is>
          <t>A</t>
        </is>
      </c>
      <c r="B25" s="2" t="inlineStr">
        <is>
          <t>A05_wtb0_m</t>
        </is>
      </c>
      <c r="C25" s="2" t="inlineStr">
        <is>
          <t>{"bear": 3.5, "base": 5.0, "bull": 6.5}</t>
        </is>
      </c>
    </row>
    <row r="26">
      <c r="A26" s="2" t="inlineStr">
        <is>
          <t>A</t>
        </is>
      </c>
      <c r="B26" s="2" t="inlineStr">
        <is>
          <t>A06_nsm_curve</t>
        </is>
      </c>
      <c r="C26" s="2" t="inlineStr">
        <is>
          <t>[1.0, 1.05, 1.2, 1.35, 1.5, 2.3, 2.8, 2.4, 1.6, 1.7, 1.85, 2.0]</t>
        </is>
      </c>
    </row>
    <row r="27">
      <c r="A27" s="2" t="inlineStr">
        <is>
          <t>A</t>
        </is>
      </c>
      <c r="B27" s="2" t="inlineStr">
        <is>
          <t>A07_curve_k</t>
        </is>
      </c>
      <c r="C27" s="2" t="inlineStr">
        <is>
          <t>{"bear": 0.5, "base": 1.0, "bull": 1.6}</t>
        </is>
      </c>
    </row>
    <row r="28">
      <c r="A28" s="2" t="inlineStr">
        <is>
          <t>A</t>
        </is>
      </c>
      <c r="B28" s="2" t="inlineStr">
        <is>
          <t>A08_mau_elasticity</t>
        </is>
      </c>
      <c r="C28" s="2" t="n">
        <v>0.35</v>
      </c>
    </row>
    <row r="29">
      <c r="A29" s="2" t="inlineStr">
        <is>
          <t>A</t>
        </is>
      </c>
      <c r="B29" s="2" t="inlineStr">
        <is>
          <t>A09_core_sessions_wk</t>
        </is>
      </c>
      <c r="C29" s="2" t="n">
        <v>3</v>
      </c>
    </row>
    <row r="30">
      <c r="A30" s="2" t="inlineStr">
        <is>
          <t>A</t>
        </is>
      </c>
      <c r="B30" s="2" t="inlineStr">
        <is>
          <t>A10_imps_per_core_session</t>
        </is>
      </c>
      <c r="C30" s="2" t="n">
        <v>9</v>
      </c>
    </row>
    <row r="31">
      <c r="A31" s="2" t="inlineStr">
        <is>
          <t>A</t>
        </is>
      </c>
      <c r="B31" s="2" t="inlineStr">
        <is>
          <t>A11_casual_sessions_mo</t>
        </is>
      </c>
      <c r="C31" s="2" t="n">
        <v>3</v>
      </c>
    </row>
    <row r="32">
      <c r="A32" s="2" t="inlineStr">
        <is>
          <t>A</t>
        </is>
      </c>
      <c r="B32" s="2" t="inlineStr">
        <is>
          <t>A12_imps_per_casual_session</t>
        </is>
      </c>
      <c r="C32" s="2" t="n">
        <v>5</v>
      </c>
    </row>
    <row r="33">
      <c r="A33" s="2" t="inlineStr">
        <is>
          <t>A</t>
        </is>
      </c>
      <c r="B33" s="2" t="inlineStr">
        <is>
          <t>A13_fill</t>
        </is>
      </c>
      <c r="C33" s="2" t="n">
        <v>0.75</v>
      </c>
    </row>
    <row r="34">
      <c r="A34" s="2" t="inlineStr">
        <is>
          <t>A</t>
        </is>
      </c>
      <c r="B34" s="2" t="inlineStr">
        <is>
          <t>A14_ecpm</t>
        </is>
      </c>
      <c r="C34" s="2" t="inlineStr">
        <is>
          <t>{"regular": 110, "ipl": 180}</t>
        </is>
      </c>
    </row>
    <row r="35">
      <c r="A35" s="2" t="inlineStr">
        <is>
          <t>A</t>
        </is>
      </c>
      <c r="B35" s="2" t="inlineStr">
        <is>
          <t>A15_ecpm_k</t>
        </is>
      </c>
      <c r="C35" s="2" t="inlineStr">
        <is>
          <t>{"bear": 0.75, "base": 1.0, "bull": 1.25}</t>
        </is>
      </c>
    </row>
    <row r="36">
      <c r="A36" s="2" t="inlineStr">
        <is>
          <t>A</t>
        </is>
      </c>
      <c r="B36" s="2" t="inlineStr">
        <is>
          <t>A16_sponsor</t>
        </is>
      </c>
      <c r="C36" s="2" t="inlineStr">
        <is>
          <t>{"title_rating_season": {"bear": 15, "base": 30, "bull": 45}, "ipl_partners_n": {"bear": 3, "base": 5, "bull": 8}, "ipl_partner_cr": 5.0, "series_partners_n": {"bear": 2, "base": 4, "bull": 6}, "series_partner_cr": 2.5, "wpl_partner_cr": {"bear": 1.5, "base": 3.0, "bull": 4.5}}</t>
        </is>
      </c>
    </row>
    <row r="37">
      <c r="A37" s="2" t="inlineStr">
        <is>
          <t>A</t>
        </is>
      </c>
      <c r="B37" s="2" t="inlineStr">
        <is>
          <t>A17_pro_price_mo</t>
        </is>
      </c>
      <c r="C37" s="2" t="n">
        <v>49</v>
      </c>
    </row>
    <row r="38">
      <c r="A38" s="2" t="inlineStr">
        <is>
          <t>A</t>
        </is>
      </c>
      <c r="B38" s="2" t="inlineStr">
        <is>
          <t>A18_pro_arppu_mo</t>
        </is>
      </c>
      <c r="C38" s="2" t="n">
        <v>33</v>
      </c>
    </row>
    <row r="39">
      <c r="A39" s="2" t="inlineStr">
        <is>
          <t>A</t>
        </is>
      </c>
      <c r="B39" s="2" t="inlineStr">
        <is>
          <t>A19_pro_conv_start</t>
        </is>
      </c>
      <c r="C39" s="2" t="inlineStr">
        <is>
          <t>{"bear": 0.005, "base": 0.01, "bull": 0.015}</t>
        </is>
      </c>
    </row>
    <row r="40">
      <c r="A40" s="2" t="inlineStr">
        <is>
          <t>A</t>
        </is>
      </c>
      <c r="B40" s="2" t="inlineStr">
        <is>
          <t>A20_pro_conv_end</t>
        </is>
      </c>
      <c r="C40" s="2" t="inlineStr">
        <is>
          <t>{"bear": 0.01, "base": 0.02, "bull": 0.03}</t>
        </is>
      </c>
    </row>
    <row r="41">
      <c r="A41" s="2" t="inlineStr">
        <is>
          <t>A</t>
        </is>
      </c>
      <c r="B41" s="2" t="inlineStr">
        <is>
          <t>A21_gift_payer_share</t>
        </is>
      </c>
      <c r="C41" s="2" t="n">
        <v>0.005</v>
      </c>
    </row>
    <row r="42">
      <c r="A42" s="2" t="inlineStr">
        <is>
          <t>A</t>
        </is>
      </c>
      <c r="B42" s="2" t="inlineStr">
        <is>
          <t>A22_gift_spend_mo</t>
        </is>
      </c>
      <c r="C42" s="2" t="n">
        <v>60</v>
      </c>
    </row>
    <row r="43">
      <c r="A43" s="2" t="inlineStr">
        <is>
          <t>A</t>
        </is>
      </c>
      <c r="B43" s="2" t="inlineStr">
        <is>
          <t>A23_gift_take</t>
        </is>
      </c>
      <c r="C43" s="2" t="n">
        <v>0.3</v>
      </c>
    </row>
    <row r="44">
      <c r="A44" s="2" t="inlineStr">
        <is>
          <t>A</t>
        </is>
      </c>
      <c r="B44" s="2" t="inlineStr">
        <is>
          <t>A24_fancode_ref_share</t>
        </is>
      </c>
      <c r="C44" s="2" t="n">
        <v>0.003</v>
      </c>
    </row>
    <row r="45">
      <c r="A45" s="2" t="inlineStr">
        <is>
          <t>A</t>
        </is>
      </c>
      <c r="B45" s="2" t="inlineStr">
        <is>
          <t>A25_fancode_pass_rs</t>
        </is>
      </c>
      <c r="C45" s="2" t="n">
        <v>99</v>
      </c>
    </row>
    <row r="46">
      <c r="A46" s="2" t="inlineStr">
        <is>
          <t>A</t>
        </is>
      </c>
      <c r="B46" s="2" t="inlineStr">
        <is>
          <t>A26_fancode_rev_share</t>
        </is>
      </c>
      <c r="C46" s="2" t="n">
        <v>0.15</v>
      </c>
    </row>
    <row r="47">
      <c r="A47" s="2" t="inlineStr">
        <is>
          <t>A</t>
        </is>
      </c>
      <c r="B47" s="2" t="inlineStr">
        <is>
          <t>A27_cost_cr</t>
        </is>
      </c>
      <c r="C47" s="2" t="inlineStr">
        <is>
          <t>{"people": 96, "tech_data": 45, "creators_content": 25, "marketing": 50, "g_and_a": 20}</t>
        </is>
      </c>
    </row>
    <row r="48">
      <c r="A48" s="2" t="inlineStr">
        <is>
          <t>A</t>
        </is>
      </c>
      <c r="B48" s="2" t="inlineStr">
        <is>
          <t>A28_rake</t>
        </is>
      </c>
      <c r="C48" s="2" t="n">
        <v>0.15</v>
      </c>
    </row>
    <row r="49">
      <c r="A49" s="2" t="inlineStr">
        <is>
          <t>A</t>
        </is>
      </c>
      <c r="B49" s="2" t="inlineStr">
        <is>
          <t>A29_deposit_ratio</t>
        </is>
      </c>
      <c r="C49" s="2" t="inlineStr">
        <is>
          <t>{"bear": 0.7, "base": 0.5, "bull": 0.35}</t>
        </is>
      </c>
    </row>
    <row r="50">
      <c r="A50" s="2" t="inlineStr">
        <is>
          <t>A</t>
        </is>
      </c>
      <c r="B50" s="2" t="inlineStr">
        <is>
          <t>A30_prize_pool</t>
        </is>
      </c>
      <c r="C50" s="2" t="n">
        <v>0.85</v>
      </c>
    </row>
    <row r="51">
      <c r="A51" s="2" t="inlineStr">
        <is>
          <t>A</t>
        </is>
      </c>
      <c r="B51" s="2" t="inlineStr">
        <is>
          <t>A31_m1_baseline</t>
        </is>
      </c>
      <c r="C51" s="2" t="n">
        <v>0.35</v>
      </c>
    </row>
    <row r="52">
      <c r="A52" s="2" t="inlineStr">
        <is>
          <t>A</t>
        </is>
      </c>
      <c r="B52" s="2" t="inlineStr">
        <is>
          <t>A32_m2_baseline</t>
        </is>
      </c>
      <c r="C52" s="2" t="n">
        <v>0.2</v>
      </c>
    </row>
    <row r="53">
      <c r="A53" s="2" t="inlineStr">
        <is>
          <t>A</t>
        </is>
      </c>
      <c r="B53" s="2" t="inlineStr">
        <is>
          <t>A33_mau_mid26_m</t>
        </is>
      </c>
      <c r="C53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Segment</t>
        </is>
      </c>
      <c r="C1" s="1" t="inlineStr">
        <is>
          <t>Pre-ban (M)</t>
        </is>
      </c>
      <c r="D1" s="1" t="inlineStr">
        <is>
          <t>Stay %</t>
        </is>
      </c>
      <c r="E1" s="1" t="inlineStr">
        <is>
          <t>Left (M)</t>
        </is>
      </c>
      <c r="F1" s="1" t="inlineStr">
        <is>
          <t>Now (M)</t>
        </is>
      </c>
      <c r="G1" s="1" t="inlineStr">
        <is>
          <t>Share %</t>
        </is>
      </c>
    </row>
    <row r="2">
      <c r="A2" s="3" t="inlineStr">
        <is>
          <t>S1</t>
        </is>
      </c>
      <c r="B2" s="3" t="inlineStr">
        <is>
          <t>Jackpot Hunters</t>
        </is>
      </c>
      <c r="C2" s="3" t="n">
        <v>35</v>
      </c>
      <c r="D2" s="3" t="n">
        <v>10</v>
      </c>
      <c r="E2" s="3" t="n">
        <v>31.5</v>
      </c>
      <c r="F2" s="3" t="n">
        <v>3.5</v>
      </c>
      <c r="G2" s="3" t="n">
        <v>7</v>
      </c>
    </row>
    <row r="3">
      <c r="A3" s="3" t="inlineStr">
        <is>
          <t>S2</t>
        </is>
      </c>
      <c r="B3" s="3" t="inlineStr">
        <is>
          <t>Grinders</t>
        </is>
      </c>
      <c r="C3" s="3" t="n">
        <v>5</v>
      </c>
      <c r="D3" s="3" t="n">
        <v>5</v>
      </c>
      <c r="E3" s="3" t="n">
        <v>4.8</v>
      </c>
      <c r="F3" s="3" t="n">
        <v>0.2</v>
      </c>
      <c r="G3" s="3" t="n">
        <v>0.5</v>
      </c>
    </row>
    <row r="4">
      <c r="A4" s="3" t="inlineStr">
        <is>
          <t>S3</t>
        </is>
      </c>
      <c r="B4" s="3" t="inlineStr">
        <is>
          <t>Cricket Brains</t>
        </is>
      </c>
      <c r="C4" s="3" t="n">
        <v>20</v>
      </c>
      <c r="D4" s="3" t="n">
        <v>40</v>
      </c>
      <c r="E4" s="3" t="n">
        <v>12</v>
      </c>
      <c r="F4" s="3" t="n">
        <v>8</v>
      </c>
      <c r="G4" s="3" t="n">
        <v>16</v>
      </c>
    </row>
    <row r="5">
      <c r="A5" s="3" t="inlineStr">
        <is>
          <t>S4</t>
        </is>
      </c>
      <c r="B5" s="3" t="inlineStr">
        <is>
          <t>League Captains</t>
        </is>
      </c>
      <c r="C5" s="3" t="n">
        <v>15</v>
      </c>
      <c r="D5" s="3" t="n">
        <v>35</v>
      </c>
      <c r="E5" s="3" t="n">
        <v>9.800000000000001</v>
      </c>
      <c r="F5" s="3" t="n">
        <v>5.2</v>
      </c>
      <c r="G5" s="3" t="n">
        <v>10.5</v>
      </c>
    </row>
    <row r="6">
      <c r="A6" s="3" t="inlineStr">
        <is>
          <t>S5</t>
        </is>
      </c>
      <c r="B6" s="3" t="inlineStr">
        <is>
          <t>Match-day Loungers</t>
        </is>
      </c>
      <c r="C6" s="3" t="n">
        <v>25</v>
      </c>
      <c r="D6" s="3" t="n">
        <v>50</v>
      </c>
      <c r="E6" s="3" t="n">
        <v>12.5</v>
      </c>
      <c r="F6" s="3" t="n">
        <v>33</v>
      </c>
      <c r="G6" s="3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25" customWidth="1" min="2" max="2"/>
    <col width="43" customWidth="1" min="3" max="3"/>
    <col width="25" customWidth="1" min="4" max="4"/>
    <col width="14" customWidth="1" min="5" max="5"/>
    <col width="26" customWidth="1" min="6" max="6"/>
    <col width="35" customWidth="1" min="7" max="7"/>
    <col width="12" customWidth="1" min="8" max="8"/>
  </cols>
  <sheetData>
    <row r="1">
      <c r="A1" s="1" t="inlineStr">
        <is>
          <t>Option</t>
        </is>
      </c>
      <c r="B1" s="1" t="inlineStr">
        <is>
          <t>Fan pull without prizes</t>
        </is>
      </c>
      <c r="C1" s="1" t="inlineStr">
        <is>
          <t>Differentiation vs apps fans already open</t>
        </is>
      </c>
      <c r="D1" s="1" t="inlineStr">
        <is>
          <t>Fit with Dream11 assets</t>
        </is>
      </c>
      <c r="E1" s="1" t="inlineStr">
        <is>
          <t>Legal safety</t>
        </is>
      </c>
      <c r="F1" s="1" t="inlineStr">
        <is>
          <t>Revenue within 12 months</t>
        </is>
      </c>
      <c r="G1" s="1" t="inlineStr">
        <is>
          <t>Executable by the post-split team</t>
        </is>
      </c>
      <c r="H1" s="1" t="inlineStr">
        <is>
          <t>Weighted</t>
        </is>
      </c>
    </row>
    <row r="2">
      <c r="A2" s="3" t="inlineStr">
        <is>
          <t>A. As declared: AI-first, global, multi-sport platform</t>
        </is>
      </c>
      <c r="B2" s="3" t="n">
        <v>2</v>
      </c>
      <c r="C2" s="3" t="n">
        <v>2</v>
      </c>
      <c r="D2" s="3" t="n">
        <v>3</v>
      </c>
      <c r="E2" s="3" t="n">
        <v>5</v>
      </c>
      <c r="F2" s="3" t="n">
        <v>2</v>
      </c>
      <c r="G2" s="3" t="n">
        <v>2</v>
      </c>
      <c r="H2" s="3" t="n">
        <v>2.6</v>
      </c>
    </row>
    <row r="3">
      <c r="A3" s="3" t="inlineStr">
        <is>
          <t>B. Fold Dream11 into FanCode</t>
        </is>
      </c>
      <c r="B3" s="3" t="n">
        <v>2</v>
      </c>
      <c r="C3" s="3" t="n">
        <v>3</v>
      </c>
      <c r="D3" s="3" t="n">
        <v>2</v>
      </c>
      <c r="E3" s="3" t="n">
        <v>5</v>
      </c>
      <c r="F3" s="3" t="n">
        <v>3</v>
      </c>
      <c r="G3" s="3" t="n">
        <v>3</v>
      </c>
      <c r="H3" s="3" t="n">
        <v>2.9</v>
      </c>
    </row>
    <row r="4">
      <c r="A4" s="3" t="inlineStr">
        <is>
          <t>C. Creator media network (watch-alongs first)</t>
        </is>
      </c>
      <c r="B4" s="3" t="n">
        <v>3</v>
      </c>
      <c r="C4" s="3" t="n">
        <v>1</v>
      </c>
      <c r="D4" s="3" t="n">
        <v>2</v>
      </c>
      <c r="E4" s="3" t="n">
        <v>5</v>
      </c>
      <c r="F4" s="3" t="n">
        <v>3</v>
      </c>
      <c r="G4" s="3" t="n">
        <v>3</v>
      </c>
      <c r="H4" s="3" t="n">
        <v>2.75</v>
      </c>
    </row>
    <row r="5">
      <c r="A5" s="3" t="inlineStr">
        <is>
          <t>D. Sharpen: India's free cricket skill league</t>
        </is>
      </c>
      <c r="B5" s="3" t="n">
        <v>4</v>
      </c>
      <c r="C5" s="3" t="n">
        <v>5</v>
      </c>
      <c r="D5" s="3" t="n">
        <v>5</v>
      </c>
      <c r="E5" s="3" t="n">
        <v>5</v>
      </c>
      <c r="F5" s="3" t="n">
        <v>3</v>
      </c>
      <c r="G5" s="3" t="n">
        <v>4</v>
      </c>
      <c r="H5" s="3" t="n">
        <v>4.35</v>
      </c>
    </row>
    <row r="6">
      <c r="A6" s="3" t="inlineStr">
        <is>
          <t>E. Wait for the court, return to paid fantasy</t>
        </is>
      </c>
      <c r="B6" s="3" t="n">
        <v>5</v>
      </c>
      <c r="C6" s="3" t="n">
        <v>4</v>
      </c>
      <c r="D6" s="3" t="n">
        <v>5</v>
      </c>
      <c r="E6" s="3" t="n">
        <v>1</v>
      </c>
      <c r="F6" s="3" t="n">
        <v>2</v>
      </c>
      <c r="G6" s="3" t="n">
        <v>2</v>
      </c>
      <c r="H6" s="3" t="n">
        <v>3.45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Feature</t>
        </is>
      </c>
      <c r="B1" s="1" t="inlineStr">
        <is>
          <t>Reach</t>
        </is>
      </c>
      <c r="C1" s="1" t="inlineStr">
        <is>
          <t>Impact</t>
        </is>
      </c>
      <c r="D1" s="1" t="inlineStr">
        <is>
          <t>Confidence</t>
        </is>
      </c>
      <c r="E1" s="1" t="inlineStr">
        <is>
          <t>Effort</t>
        </is>
      </c>
      <c r="F1" s="1" t="inlineStr">
        <is>
          <t>RICE</t>
        </is>
      </c>
      <c r="G1" s="1" t="inlineStr">
        <is>
          <t>Cut</t>
        </is>
      </c>
    </row>
    <row r="2">
      <c r="A2" s="3" t="inlineStr">
        <is>
          <t>Lineup-lock nudges</t>
        </is>
      </c>
      <c r="B2" s="3" t="n">
        <v>9</v>
      </c>
      <c r="C2" s="3" t="n">
        <v>1</v>
      </c>
      <c r="D2" s="3" t="n">
        <v>0.9</v>
      </c>
      <c r="E2" s="3" t="n">
        <v>3</v>
      </c>
      <c r="F2" s="3" t="n">
        <v>27</v>
      </c>
      <c r="G2" s="3" t="b">
        <v>0</v>
      </c>
    </row>
    <row r="3">
      <c r="A3" s="3" t="inlineStr">
        <is>
          <t>Dream Rating v1</t>
        </is>
      </c>
      <c r="B3" s="3" t="n">
        <v>8</v>
      </c>
      <c r="C3" s="3" t="n">
        <v>3</v>
      </c>
      <c r="D3" s="3" t="n">
        <v>0.8</v>
      </c>
      <c r="E3" s="3" t="n">
        <v>10</v>
      </c>
      <c r="F3" s="3" t="n">
        <v>19.2</v>
      </c>
      <c r="G3" s="3" t="b">
        <v>0</v>
      </c>
    </row>
    <row r="4">
      <c r="A4" s="3" t="inlineStr">
        <is>
          <t>Leagues v2</t>
        </is>
      </c>
      <c r="B4" s="3" t="n">
        <v>6</v>
      </c>
      <c r="C4" s="3" t="n">
        <v>3</v>
      </c>
      <c r="D4" s="3" t="n">
        <v>0.8</v>
      </c>
      <c r="E4" s="3" t="n">
        <v>8</v>
      </c>
      <c r="F4" s="3" t="n">
        <v>18</v>
      </c>
      <c r="G4" s="3" t="b">
        <v>0</v>
      </c>
    </row>
    <row r="5">
      <c r="A5" s="3" t="inlineStr">
        <is>
          <t>Shareable rating cards</t>
        </is>
      </c>
      <c r="B5" s="3" t="n">
        <v>6</v>
      </c>
      <c r="C5" s="3" t="n">
        <v>1</v>
      </c>
      <c r="D5" s="3" t="n">
        <v>0.8</v>
      </c>
      <c r="E5" s="3" t="n">
        <v>3</v>
      </c>
      <c r="F5" s="3" t="n">
        <v>16</v>
      </c>
      <c r="G5" s="3" t="b">
        <v>0</v>
      </c>
    </row>
    <row r="6">
      <c r="A6" s="3" t="inlineStr">
        <is>
          <t>Match-day digest</t>
        </is>
      </c>
      <c r="B6" s="3" t="n">
        <v>7</v>
      </c>
      <c r="C6" s="3" t="n">
        <v>1</v>
      </c>
      <c r="D6" s="3" t="n">
        <v>0.7</v>
      </c>
      <c r="E6" s="3" t="n">
        <v>5</v>
      </c>
      <c r="F6" s="3" t="n">
        <v>9.800000000000001</v>
      </c>
      <c r="G6" s="3" t="b">
        <v>0</v>
      </c>
    </row>
    <row r="7">
      <c r="A7" s="3" t="inlineStr">
        <is>
          <t>AI Scout at lineup lock</t>
        </is>
      </c>
      <c r="B7" s="3" t="n">
        <v>6</v>
      </c>
      <c r="C7" s="3" t="n">
        <v>2</v>
      </c>
      <c r="D7" s="3" t="n">
        <v>0.6</v>
      </c>
      <c r="E7" s="3" t="n">
        <v>9</v>
      </c>
      <c r="F7" s="3" t="n">
        <v>8</v>
      </c>
      <c r="G7" s="3" t="b">
        <v>0</v>
      </c>
    </row>
    <row r="8">
      <c r="A8" s="3" t="inlineStr">
        <is>
          <t>Creator-hosted leagues</t>
        </is>
      </c>
      <c r="B8" s="3" t="n">
        <v>4</v>
      </c>
      <c r="C8" s="3" t="n">
        <v>2</v>
      </c>
      <c r="D8" s="3" t="n">
        <v>0.6</v>
      </c>
      <c r="E8" s="3" t="n">
        <v>6</v>
      </c>
      <c r="F8" s="3" t="n">
        <v>8</v>
      </c>
      <c r="G8" s="3" t="b">
        <v>0</v>
      </c>
    </row>
    <row r="9">
      <c r="A9" s="3" t="inlineStr">
        <is>
          <t>Live Calls</t>
        </is>
      </c>
      <c r="B9" s="3" t="n">
        <v>5</v>
      </c>
      <c r="C9" s="3" t="n">
        <v>2</v>
      </c>
      <c r="D9" s="3" t="n">
        <v>0.6</v>
      </c>
      <c r="E9" s="3" t="n">
        <v>12</v>
      </c>
      <c r="F9" s="3" t="n">
        <v>5</v>
      </c>
      <c r="G9" s="3" t="b">
        <v>0</v>
      </c>
    </row>
    <row r="10">
      <c r="A10" s="3" t="inlineStr">
        <is>
          <t>AI Coach review</t>
        </is>
      </c>
      <c r="B10" s="3" t="n">
        <v>4</v>
      </c>
      <c r="C10" s="3" t="n">
        <v>2</v>
      </c>
      <c r="D10" s="3" t="n">
        <v>0.5</v>
      </c>
      <c r="E10" s="3" t="n">
        <v>8</v>
      </c>
      <c r="F10" s="3" t="n">
        <v>5</v>
      </c>
      <c r="G10" s="3" t="b">
        <v>0</v>
      </c>
    </row>
    <row r="11">
      <c r="A11" s="3" t="inlineStr">
        <is>
          <t>Session XI for Tests</t>
        </is>
      </c>
      <c r="B11" s="3" t="n">
        <v>2.5</v>
      </c>
      <c r="C11" s="3" t="n">
        <v>2</v>
      </c>
      <c r="D11" s="3" t="n">
        <v>0.6</v>
      </c>
      <c r="E11" s="3" t="n">
        <v>6</v>
      </c>
      <c r="F11" s="3" t="n">
        <v>5</v>
      </c>
      <c r="G11" s="3" t="b">
        <v>0</v>
      </c>
    </row>
    <row r="12">
      <c r="A12" s="3" t="inlineStr">
        <is>
          <t>FanCode play-along overlay</t>
        </is>
      </c>
      <c r="B12" s="3" t="n">
        <v>2</v>
      </c>
      <c r="C12" s="3" t="n">
        <v>2</v>
      </c>
      <c r="D12" s="3" t="n">
        <v>0.5</v>
      </c>
      <c r="E12" s="3" t="n">
        <v>10</v>
      </c>
      <c r="F12" s="3" t="n">
        <v>2</v>
      </c>
      <c r="G12" s="3" t="b">
        <v>0</v>
      </c>
    </row>
    <row r="13">
      <c r="A13" s="3" t="inlineStr">
        <is>
          <t>Dream11 Pro</t>
        </is>
      </c>
      <c r="B13" s="3" t="n">
        <v>1.5</v>
      </c>
      <c r="C13" s="3" t="n">
        <v>1</v>
      </c>
      <c r="D13" s="3" t="n">
        <v>0.6</v>
      </c>
      <c r="E13" s="3" t="n">
        <v>6</v>
      </c>
      <c r="F13" s="3" t="n">
        <v>1.5</v>
      </c>
      <c r="G13" s="3" t="b">
        <v>0</v>
      </c>
    </row>
    <row r="14">
      <c r="A14" s="3" t="inlineStr">
        <is>
          <t>Social feed and video</t>
        </is>
      </c>
      <c r="B14" s="3" t="n">
        <v>5</v>
      </c>
      <c r="C14" s="3" t="n">
        <v>0.5</v>
      </c>
      <c r="D14" s="3" t="n">
        <v>0.3</v>
      </c>
      <c r="E14" s="3" t="n">
        <v>24</v>
      </c>
      <c r="F14" s="3" t="n">
        <v>0.3</v>
      </c>
      <c r="G14" s="3" t="b">
        <v>1</v>
      </c>
    </row>
    <row r="15">
      <c r="A15" s="3" t="inlineStr">
        <is>
          <t>Own live streaming</t>
        </is>
      </c>
      <c r="B15" s="3" t="n">
        <v>3</v>
      </c>
      <c r="C15" s="3" t="n">
        <v>1</v>
      </c>
      <c r="D15" s="3" t="n">
        <v>0.3</v>
      </c>
      <c r="E15" s="3" t="n">
        <v>40</v>
      </c>
      <c r="F15" s="3" t="n">
        <v>0.2</v>
      </c>
      <c r="G15" s="3" t="b">
        <v>1</v>
      </c>
    </row>
    <row r="16">
      <c r="A16" s="3" t="inlineStr">
        <is>
          <t>Non-cricket fantasy</t>
        </is>
      </c>
      <c r="B16" s="3" t="n">
        <v>1.5</v>
      </c>
      <c r="C16" s="3" t="n">
        <v>0.5</v>
      </c>
      <c r="D16" s="3" t="n">
        <v>0.4</v>
      </c>
      <c r="E16" s="3" t="n">
        <v>20</v>
      </c>
      <c r="F16" s="3" t="n">
        <v>0.2</v>
      </c>
      <c r="G16" s="3" t="b">
        <v>1</v>
      </c>
    </row>
    <row r="17">
      <c r="A17" s="3" t="inlineStr">
        <is>
          <t>Global launch</t>
        </is>
      </c>
      <c r="B17" s="3" t="n">
        <v>1</v>
      </c>
      <c r="C17" s="3" t="n">
        <v>1</v>
      </c>
      <c r="D17" s="3" t="n">
        <v>0.2</v>
      </c>
      <c r="E17" s="3" t="n">
        <v>36</v>
      </c>
      <c r="F17" s="3" t="n">
        <v>0.1</v>
      </c>
      <c r="G17" s="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</cols>
  <sheetData>
    <row r="1">
      <c r="A1" s="1" t="inlineStr">
        <is>
          <t>Month</t>
        </is>
      </c>
      <c r="B1" s="1" t="inlineStr">
        <is>
          <t>NSM (M)</t>
        </is>
      </c>
      <c r="C1" s="1" t="inlineStr">
        <is>
          <t>MAU (M)</t>
        </is>
      </c>
      <c r="D1" s="1" t="inlineStr">
        <is>
          <t>Ads</t>
        </is>
      </c>
      <c r="E1" s="1" t="inlineStr">
        <is>
          <t>Sponsorship</t>
        </is>
      </c>
      <c r="F1" s="1" t="inlineStr">
        <is>
          <t>Pro</t>
        </is>
      </c>
      <c r="G1" s="1" t="inlineStr">
        <is>
          <t>Gifting</t>
        </is>
      </c>
      <c r="H1" s="1" t="inlineStr">
        <is>
          <t>FanCode</t>
        </is>
      </c>
      <c r="I1" s="1" t="inlineStr">
        <is>
          <t>Total</t>
        </is>
      </c>
      <c r="J1" s="1" t="inlineStr">
        <is>
          <t>Total (formula)</t>
        </is>
      </c>
    </row>
    <row r="2">
      <c r="A2" s="3" t="inlineStr">
        <is>
          <t>Oct'26</t>
        </is>
      </c>
      <c r="B2" s="3" t="n">
        <v>3.5</v>
      </c>
      <c r="C2" s="3" t="n">
        <v>35</v>
      </c>
      <c r="D2" s="3" t="n">
        <v>5.46</v>
      </c>
      <c r="E2" s="3" t="n">
        <v>1.25</v>
      </c>
      <c r="F2" s="3" t="n">
        <v>0</v>
      </c>
      <c r="G2" s="3" t="n">
        <v>0.03</v>
      </c>
      <c r="H2" s="3" t="n">
        <v>0.02</v>
      </c>
      <c r="I2" s="3" t="n">
        <v>6.75</v>
      </c>
      <c r="J2" s="3">
        <f>SUM(D2:H2)</f>
        <v/>
      </c>
    </row>
    <row r="3">
      <c r="A3" s="3" t="inlineStr">
        <is>
          <t>Nov'26</t>
        </is>
      </c>
      <c r="B3" s="3" t="n">
        <v>3.59</v>
      </c>
      <c r="C3" s="3" t="n">
        <v>35.3</v>
      </c>
      <c r="D3" s="3" t="n">
        <v>5.54</v>
      </c>
      <c r="E3" s="3" t="n">
        <v>0</v>
      </c>
      <c r="F3" s="3" t="n">
        <v>0</v>
      </c>
      <c r="G3" s="3" t="n">
        <v>0.03</v>
      </c>
      <c r="H3" s="3" t="n">
        <v>0.02</v>
      </c>
      <c r="I3" s="3" t="n">
        <v>5.59</v>
      </c>
      <c r="J3" s="3">
        <f>SUM(D3:H3)</f>
        <v/>
      </c>
    </row>
    <row r="4">
      <c r="A4" s="3" t="inlineStr">
        <is>
          <t>Dec'26</t>
        </is>
      </c>
      <c r="B4" s="3" t="n">
        <v>3.85</v>
      </c>
      <c r="C4" s="3" t="n">
        <v>36.2</v>
      </c>
      <c r="D4" s="3" t="n">
        <v>5.79</v>
      </c>
      <c r="E4" s="3" t="n">
        <v>1.25</v>
      </c>
      <c r="F4" s="3" t="n">
        <v>0</v>
      </c>
      <c r="G4" s="3" t="n">
        <v>0.03</v>
      </c>
      <c r="H4" s="3" t="n">
        <v>0.02</v>
      </c>
      <c r="I4" s="3" t="n">
        <v>7.09</v>
      </c>
      <c r="J4" s="3">
        <f>SUM(D4:H4)</f>
        <v/>
      </c>
    </row>
    <row r="5">
      <c r="A5" s="3" t="inlineStr">
        <is>
          <t>Jan'27</t>
        </is>
      </c>
      <c r="B5" s="3" t="n">
        <v>4.11</v>
      </c>
      <c r="C5" s="3" t="n">
        <v>37.1</v>
      </c>
      <c r="D5" s="3" t="n">
        <v>6.04</v>
      </c>
      <c r="E5" s="3" t="n">
        <v>3.67</v>
      </c>
      <c r="F5" s="3" t="n">
        <v>0</v>
      </c>
      <c r="G5" s="3" t="n">
        <v>0.04</v>
      </c>
      <c r="H5" s="3" t="n">
        <v>0.02</v>
      </c>
      <c r="I5" s="3" t="n">
        <v>9.76</v>
      </c>
      <c r="J5" s="3">
        <f>SUM(D5:H5)</f>
        <v/>
      </c>
    </row>
    <row r="6">
      <c r="A6" s="3" t="inlineStr">
        <is>
          <t>Feb'27</t>
        </is>
      </c>
      <c r="B6" s="3" t="n">
        <v>4.38</v>
      </c>
      <c r="C6" s="3" t="n">
        <v>38.1</v>
      </c>
      <c r="D6" s="3" t="n">
        <v>6.29</v>
      </c>
      <c r="E6" s="3" t="n">
        <v>3.67</v>
      </c>
      <c r="F6" s="3" t="n">
        <v>0</v>
      </c>
      <c r="G6" s="3" t="n">
        <v>0.04</v>
      </c>
      <c r="H6" s="3" t="n">
        <v>0.02</v>
      </c>
      <c r="I6" s="3" t="n">
        <v>10.02</v>
      </c>
      <c r="J6" s="3">
        <f>SUM(D6:H6)</f>
        <v/>
      </c>
    </row>
    <row r="7">
      <c r="A7" s="3" t="inlineStr">
        <is>
          <t>Mar'27</t>
        </is>
      </c>
      <c r="B7" s="3" t="n">
        <v>5.77</v>
      </c>
      <c r="C7" s="3" t="n">
        <v>43</v>
      </c>
      <c r="D7" s="3" t="n">
        <v>11.03</v>
      </c>
      <c r="E7" s="3" t="n">
        <v>6.44</v>
      </c>
      <c r="F7" s="3" t="n">
        <v>0.1</v>
      </c>
      <c r="G7" s="3" t="n">
        <v>0.05</v>
      </c>
      <c r="H7" s="3" t="n">
        <v>0.03</v>
      </c>
      <c r="I7" s="3" t="n">
        <v>17.64</v>
      </c>
      <c r="J7" s="3">
        <f>SUM(D7:H7)</f>
        <v/>
      </c>
    </row>
    <row r="8">
      <c r="A8" s="3" t="inlineStr">
        <is>
          <t>Apr'27</t>
        </is>
      </c>
      <c r="B8" s="3" t="n">
        <v>6.65</v>
      </c>
      <c r="C8" s="3" t="n">
        <v>46</v>
      </c>
      <c r="D8" s="3" t="n">
        <v>13.85</v>
      </c>
      <c r="E8" s="3" t="n">
        <v>8.48</v>
      </c>
      <c r="F8" s="3" t="n">
        <v>0.13</v>
      </c>
      <c r="G8" s="3" t="n">
        <v>0.06</v>
      </c>
      <c r="H8" s="3" t="n">
        <v>0.03</v>
      </c>
      <c r="I8" s="3" t="n">
        <v>22.55</v>
      </c>
      <c r="J8" s="3">
        <f>SUM(D8:H8)</f>
        <v/>
      </c>
    </row>
    <row r="9">
      <c r="A9" s="3" t="inlineStr">
        <is>
          <t>May'27</t>
        </is>
      </c>
      <c r="B9" s="3" t="n">
        <v>5.95</v>
      </c>
      <c r="C9" s="3" t="n">
        <v>43.6</v>
      </c>
      <c r="D9" s="3" t="n">
        <v>10.28</v>
      </c>
      <c r="E9" s="3" t="n">
        <v>5.08</v>
      </c>
      <c r="F9" s="3" t="n">
        <v>0.13</v>
      </c>
      <c r="G9" s="3" t="n">
        <v>0.05</v>
      </c>
      <c r="H9" s="3" t="n">
        <v>0.03</v>
      </c>
      <c r="I9" s="3" t="n">
        <v>15.56</v>
      </c>
      <c r="J9" s="3">
        <f>SUM(D9:H9)</f>
        <v/>
      </c>
    </row>
    <row r="10">
      <c r="A10" s="3" t="inlineStr">
        <is>
          <t>Jun'27</t>
        </is>
      </c>
      <c r="B10" s="3" t="n">
        <v>4.55</v>
      </c>
      <c r="C10" s="3" t="n">
        <v>38.7</v>
      </c>
      <c r="D10" s="3" t="n">
        <v>6.46</v>
      </c>
      <c r="E10" s="3" t="n">
        <v>1.67</v>
      </c>
      <c r="F10" s="3" t="n">
        <v>0.11</v>
      </c>
      <c r="G10" s="3" t="n">
        <v>0.04</v>
      </c>
      <c r="H10" s="3" t="n">
        <v>0.02</v>
      </c>
      <c r="I10" s="3" t="n">
        <v>8.300000000000001</v>
      </c>
      <c r="J10" s="3">
        <f>SUM(D10:H10)</f>
        <v/>
      </c>
    </row>
    <row r="11">
      <c r="A11" s="3" t="inlineStr">
        <is>
          <t>Jul'27</t>
        </is>
      </c>
      <c r="B11" s="3" t="n">
        <v>4.73</v>
      </c>
      <c r="C11" s="3" t="n">
        <v>39.3</v>
      </c>
      <c r="D11" s="3" t="n">
        <v>6.63</v>
      </c>
      <c r="E11" s="3" t="n">
        <v>1.67</v>
      </c>
      <c r="F11" s="3" t="n">
        <v>0.13</v>
      </c>
      <c r="G11" s="3" t="n">
        <v>0.04</v>
      </c>
      <c r="H11" s="3" t="n">
        <v>0.02</v>
      </c>
      <c r="I11" s="3" t="n">
        <v>8.49</v>
      </c>
      <c r="J11" s="3">
        <f>SUM(D11:H11)</f>
        <v/>
      </c>
    </row>
    <row r="12">
      <c r="A12" s="3" t="inlineStr">
        <is>
          <t>Aug'27</t>
        </is>
      </c>
      <c r="B12" s="3" t="n">
        <v>4.99</v>
      </c>
      <c r="C12" s="3" t="n">
        <v>40.2</v>
      </c>
      <c r="D12" s="3" t="n">
        <v>6.88</v>
      </c>
      <c r="E12" s="3" t="n">
        <v>1.67</v>
      </c>
      <c r="F12" s="3" t="n">
        <v>0.15</v>
      </c>
      <c r="G12" s="3" t="n">
        <v>0.04</v>
      </c>
      <c r="H12" s="3" t="n">
        <v>0.02</v>
      </c>
      <c r="I12" s="3" t="n">
        <v>8.76</v>
      </c>
      <c r="J12" s="3">
        <f>SUM(D12:H12)</f>
        <v/>
      </c>
    </row>
    <row r="13">
      <c r="A13" s="3" t="inlineStr">
        <is>
          <t>Sep'27</t>
        </is>
      </c>
      <c r="B13" s="3" t="n">
        <v>5.25</v>
      </c>
      <c r="C13" s="3" t="n">
        <v>41.1</v>
      </c>
      <c r="D13" s="3" t="n">
        <v>7.13</v>
      </c>
      <c r="E13" s="3" t="n">
        <v>1.67</v>
      </c>
      <c r="F13" s="3" t="n">
        <v>0.17</v>
      </c>
      <c r="G13" s="3" t="n">
        <v>0.05</v>
      </c>
      <c r="H13" s="3" t="n">
        <v>0.02</v>
      </c>
      <c r="I13" s="3" t="n">
        <v>9.039999999999999</v>
      </c>
      <c r="J13" s="3">
        <f>SUM(D13:H13)</f>
        <v/>
      </c>
    </row>
    <row r="15">
      <c r="A15" s="4" t="inlineStr">
        <is>
          <t>12 months</t>
        </is>
      </c>
      <c r="D15">
        <f>SUM(D2:D13)</f>
        <v/>
      </c>
      <c r="E15">
        <f>SUM(E2:E13)</f>
        <v/>
      </c>
      <c r="F15">
        <f>SUM(F2:F13)</f>
        <v/>
      </c>
      <c r="G15">
        <f>SUM(G2:G13)</f>
        <v/>
      </c>
      <c r="H15">
        <f>SUM(H2:H13)</f>
        <v/>
      </c>
      <c r="I15">
        <f>SUM(I2:I13)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</cols>
  <sheetData>
    <row r="1">
      <c r="A1" s="1" t="inlineStr">
        <is>
          <t>Month</t>
        </is>
      </c>
      <c r="B1" s="1" t="inlineStr">
        <is>
          <t>NSM (M)</t>
        </is>
      </c>
      <c r="C1" s="1" t="inlineStr">
        <is>
          <t>MAU (M)</t>
        </is>
      </c>
      <c r="D1" s="1" t="inlineStr">
        <is>
          <t>Ads</t>
        </is>
      </c>
      <c r="E1" s="1" t="inlineStr">
        <is>
          <t>Sponsorship</t>
        </is>
      </c>
      <c r="F1" s="1" t="inlineStr">
        <is>
          <t>Pro</t>
        </is>
      </c>
      <c r="G1" s="1" t="inlineStr">
        <is>
          <t>Gifting</t>
        </is>
      </c>
      <c r="H1" s="1" t="inlineStr">
        <is>
          <t>FanCode</t>
        </is>
      </c>
      <c r="I1" s="1" t="inlineStr">
        <is>
          <t>Total</t>
        </is>
      </c>
      <c r="J1" s="1" t="inlineStr">
        <is>
          <t>Total (formula)</t>
        </is>
      </c>
    </row>
    <row r="2">
      <c r="A2" s="3" t="inlineStr">
        <is>
          <t>Oct'26</t>
        </is>
      </c>
      <c r="B2" s="3" t="n">
        <v>5</v>
      </c>
      <c r="C2" s="3" t="n">
        <v>35</v>
      </c>
      <c r="D2" s="3" t="n">
        <v>8.539999999999999</v>
      </c>
      <c r="E2" s="3" t="n">
        <v>2.5</v>
      </c>
      <c r="F2" s="3" t="n">
        <v>0</v>
      </c>
      <c r="G2" s="3" t="n">
        <v>0.04</v>
      </c>
      <c r="H2" s="3" t="n">
        <v>0.02</v>
      </c>
      <c r="I2" s="3" t="n">
        <v>11.1</v>
      </c>
      <c r="J2" s="3">
        <f>SUM(D2:H2)</f>
        <v/>
      </c>
    </row>
    <row r="3">
      <c r="A3" s="3" t="inlineStr">
        <is>
          <t>Nov'26</t>
        </is>
      </c>
      <c r="B3" s="3" t="n">
        <v>5.25</v>
      </c>
      <c r="C3" s="3" t="n">
        <v>35.6</v>
      </c>
      <c r="D3" s="3" t="n">
        <v>8.82</v>
      </c>
      <c r="E3" s="3" t="n">
        <v>0</v>
      </c>
      <c r="F3" s="3" t="n">
        <v>0</v>
      </c>
      <c r="G3" s="3" t="n">
        <v>0.05</v>
      </c>
      <c r="H3" s="3" t="n">
        <v>0.02</v>
      </c>
      <c r="I3" s="3" t="n">
        <v>8.890000000000001</v>
      </c>
      <c r="J3" s="3">
        <f>SUM(D3:H3)</f>
        <v/>
      </c>
    </row>
    <row r="4">
      <c r="A4" s="3" t="inlineStr">
        <is>
          <t>Dec'26</t>
        </is>
      </c>
      <c r="B4" s="3" t="n">
        <v>6</v>
      </c>
      <c r="C4" s="3" t="n">
        <v>37.5</v>
      </c>
      <c r="D4" s="3" t="n">
        <v>9.68</v>
      </c>
      <c r="E4" s="3" t="n">
        <v>2.5</v>
      </c>
      <c r="F4" s="3" t="n">
        <v>0</v>
      </c>
      <c r="G4" s="3" t="n">
        <v>0.05</v>
      </c>
      <c r="H4" s="3" t="n">
        <v>0.03</v>
      </c>
      <c r="I4" s="3" t="n">
        <v>12.26</v>
      </c>
      <c r="J4" s="3">
        <f>SUM(D4:H4)</f>
        <v/>
      </c>
    </row>
    <row r="5">
      <c r="A5" s="3" t="inlineStr">
        <is>
          <t>Jan'27</t>
        </is>
      </c>
      <c r="B5" s="3" t="n">
        <v>6.75</v>
      </c>
      <c r="C5" s="3" t="n">
        <v>39.3</v>
      </c>
      <c r="D5" s="3" t="n">
        <v>10.54</v>
      </c>
      <c r="E5" s="3" t="n">
        <v>7.33</v>
      </c>
      <c r="F5" s="3" t="n">
        <v>0</v>
      </c>
      <c r="G5" s="3" t="n">
        <v>0.06</v>
      </c>
      <c r="H5" s="3" t="n">
        <v>0.03</v>
      </c>
      <c r="I5" s="3" t="n">
        <v>17.96</v>
      </c>
      <c r="J5" s="3">
        <f>SUM(D5:H5)</f>
        <v/>
      </c>
    </row>
    <row r="6">
      <c r="A6" s="3" t="inlineStr">
        <is>
          <t>Feb'27</t>
        </is>
      </c>
      <c r="B6" s="3" t="n">
        <v>7.5</v>
      </c>
      <c r="C6" s="3" t="n">
        <v>41.1</v>
      </c>
      <c r="D6" s="3" t="n">
        <v>11.39</v>
      </c>
      <c r="E6" s="3" t="n">
        <v>7.33</v>
      </c>
      <c r="F6" s="3" t="n">
        <v>0</v>
      </c>
      <c r="G6" s="3" t="n">
        <v>0.07000000000000001</v>
      </c>
      <c r="H6" s="3" t="n">
        <v>0.03</v>
      </c>
      <c r="I6" s="3" t="n">
        <v>18.83</v>
      </c>
      <c r="J6" s="3">
        <f>SUM(D6:H6)</f>
        <v/>
      </c>
    </row>
    <row r="7">
      <c r="A7" s="3" t="inlineStr">
        <is>
          <t>Mar'27</t>
        </is>
      </c>
      <c r="B7" s="3" t="n">
        <v>11.5</v>
      </c>
      <c r="C7" s="3" t="n">
        <v>50.9</v>
      </c>
      <c r="D7" s="3" t="n">
        <v>23.08</v>
      </c>
      <c r="E7" s="3" t="n">
        <v>11.29</v>
      </c>
      <c r="F7" s="3" t="n">
        <v>0.38</v>
      </c>
      <c r="G7" s="3" t="n">
        <v>0.1</v>
      </c>
      <c r="H7" s="3" t="n">
        <v>0.05</v>
      </c>
      <c r="I7" s="3" t="n">
        <v>34.91</v>
      </c>
      <c r="J7" s="3">
        <f>SUM(D7:H7)</f>
        <v/>
      </c>
    </row>
    <row r="8">
      <c r="A8" s="3" t="inlineStr">
        <is>
          <t>Apr'27</t>
        </is>
      </c>
      <c r="B8" s="3" t="n">
        <v>14</v>
      </c>
      <c r="C8" s="3" t="n">
        <v>57</v>
      </c>
      <c r="D8" s="3" t="n">
        <v>30.81</v>
      </c>
      <c r="E8" s="3" t="n">
        <v>14.7</v>
      </c>
      <c r="F8" s="3" t="n">
        <v>0.54</v>
      </c>
      <c r="G8" s="3" t="n">
        <v>0.13</v>
      </c>
      <c r="H8" s="3" t="n">
        <v>0.06</v>
      </c>
      <c r="I8" s="3" t="n">
        <v>46.24</v>
      </c>
      <c r="J8" s="3">
        <f>SUM(D8:H8)</f>
        <v/>
      </c>
    </row>
    <row r="9">
      <c r="A9" s="3" t="inlineStr">
        <is>
          <t>May'27</t>
        </is>
      </c>
      <c r="B9" s="3" t="n">
        <v>12</v>
      </c>
      <c r="C9" s="3" t="n">
        <v>52.1</v>
      </c>
      <c r="D9" s="3" t="n">
        <v>21.81</v>
      </c>
      <c r="E9" s="3" t="n">
        <v>9.02</v>
      </c>
      <c r="F9" s="3" t="n">
        <v>0.53</v>
      </c>
      <c r="G9" s="3" t="n">
        <v>0.11</v>
      </c>
      <c r="H9" s="3" t="n">
        <v>0.05</v>
      </c>
      <c r="I9" s="3" t="n">
        <v>31.51</v>
      </c>
      <c r="J9" s="3">
        <f>SUM(D9:H9)</f>
        <v/>
      </c>
    </row>
    <row r="10">
      <c r="A10" s="3" t="inlineStr">
        <is>
          <t>Jun'27</t>
        </is>
      </c>
      <c r="B10" s="3" t="n">
        <v>8</v>
      </c>
      <c r="C10" s="3" t="n">
        <v>42.4</v>
      </c>
      <c r="D10" s="3" t="n">
        <v>11.97</v>
      </c>
      <c r="E10" s="3" t="n">
        <v>3.33</v>
      </c>
      <c r="F10" s="3" t="n">
        <v>0.4</v>
      </c>
      <c r="G10" s="3" t="n">
        <v>0.07000000000000001</v>
      </c>
      <c r="H10" s="3" t="n">
        <v>0.04</v>
      </c>
      <c r="I10" s="3" t="n">
        <v>15.8</v>
      </c>
      <c r="J10" s="3">
        <f>SUM(D10:H10)</f>
        <v/>
      </c>
    </row>
    <row r="11">
      <c r="A11" s="3" t="inlineStr">
        <is>
          <t>Jul'27</t>
        </is>
      </c>
      <c r="B11" s="3" t="n">
        <v>8.5</v>
      </c>
      <c r="C11" s="3" t="n">
        <v>43.6</v>
      </c>
      <c r="D11" s="3" t="n">
        <v>12.54</v>
      </c>
      <c r="E11" s="3" t="n">
        <v>3.33</v>
      </c>
      <c r="F11" s="3" t="n">
        <v>0.47</v>
      </c>
      <c r="G11" s="3" t="n">
        <v>0.08</v>
      </c>
      <c r="H11" s="3" t="n">
        <v>0.04</v>
      </c>
      <c r="I11" s="3" t="n">
        <v>16.45</v>
      </c>
      <c r="J11" s="3">
        <f>SUM(D11:H11)</f>
        <v/>
      </c>
    </row>
    <row r="12">
      <c r="A12" s="3" t="inlineStr">
        <is>
          <t>Aug'27</t>
        </is>
      </c>
      <c r="B12" s="3" t="n">
        <v>9.25</v>
      </c>
      <c r="C12" s="3" t="n">
        <v>45.4</v>
      </c>
      <c r="D12" s="3" t="n">
        <v>13.4</v>
      </c>
      <c r="E12" s="3" t="n">
        <v>3.33</v>
      </c>
      <c r="F12" s="3" t="n">
        <v>0.5600000000000001</v>
      </c>
      <c r="G12" s="3" t="n">
        <v>0.08</v>
      </c>
      <c r="H12" s="3" t="n">
        <v>0.04</v>
      </c>
      <c r="I12" s="3" t="n">
        <v>17.41</v>
      </c>
      <c r="J12" s="3">
        <f>SUM(D12:H12)</f>
        <v/>
      </c>
    </row>
    <row r="13">
      <c r="A13" s="3" t="inlineStr">
        <is>
          <t>Sep'27</t>
        </is>
      </c>
      <c r="B13" s="3" t="n">
        <v>10</v>
      </c>
      <c r="C13" s="3" t="n">
        <v>47.2</v>
      </c>
      <c r="D13" s="3" t="n">
        <v>14.25</v>
      </c>
      <c r="E13" s="3" t="n">
        <v>3.33</v>
      </c>
      <c r="F13" s="3" t="n">
        <v>0.66</v>
      </c>
      <c r="G13" s="3" t="n">
        <v>0.09</v>
      </c>
      <c r="H13" s="3" t="n">
        <v>0.04</v>
      </c>
      <c r="I13" s="3" t="n">
        <v>18.38</v>
      </c>
      <c r="J13" s="3">
        <f>SUM(D13:H13)</f>
        <v/>
      </c>
    </row>
    <row r="15">
      <c r="A15" s="4" t="inlineStr">
        <is>
          <t>12 months</t>
        </is>
      </c>
      <c r="D15">
        <f>SUM(D2:D13)</f>
        <v/>
      </c>
      <c r="E15">
        <f>SUM(E2:E13)</f>
        <v/>
      </c>
      <c r="F15">
        <f>SUM(F2:F13)</f>
        <v/>
      </c>
      <c r="G15">
        <f>SUM(G2:G13)</f>
        <v/>
      </c>
      <c r="H15">
        <f>SUM(H2:H13)</f>
        <v/>
      </c>
      <c r="I15">
        <f>SUM(I2:I13)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</cols>
  <sheetData>
    <row r="1">
      <c r="A1" s="1" t="inlineStr">
        <is>
          <t>Month</t>
        </is>
      </c>
      <c r="B1" s="1" t="inlineStr">
        <is>
          <t>NSM (M)</t>
        </is>
      </c>
      <c r="C1" s="1" t="inlineStr">
        <is>
          <t>MAU (M)</t>
        </is>
      </c>
      <c r="D1" s="1" t="inlineStr">
        <is>
          <t>Ads</t>
        </is>
      </c>
      <c r="E1" s="1" t="inlineStr">
        <is>
          <t>Sponsorship</t>
        </is>
      </c>
      <c r="F1" s="1" t="inlineStr">
        <is>
          <t>Pro</t>
        </is>
      </c>
      <c r="G1" s="1" t="inlineStr">
        <is>
          <t>Gifting</t>
        </is>
      </c>
      <c r="H1" s="1" t="inlineStr">
        <is>
          <t>FanCode</t>
        </is>
      </c>
      <c r="I1" s="1" t="inlineStr">
        <is>
          <t>Total</t>
        </is>
      </c>
      <c r="J1" s="1" t="inlineStr">
        <is>
          <t>Total (formula)</t>
        </is>
      </c>
    </row>
    <row r="2">
      <c r="A2" s="3" t="inlineStr">
        <is>
          <t>Oct'26</t>
        </is>
      </c>
      <c r="B2" s="3" t="n">
        <v>6.5</v>
      </c>
      <c r="C2" s="3" t="n">
        <v>35</v>
      </c>
      <c r="D2" s="3" t="n">
        <v>12.25</v>
      </c>
      <c r="E2" s="3" t="n">
        <v>3.75</v>
      </c>
      <c r="F2" s="3" t="n">
        <v>0</v>
      </c>
      <c r="G2" s="3" t="n">
        <v>0.06</v>
      </c>
      <c r="H2" s="3" t="n">
        <v>0.03</v>
      </c>
      <c r="I2" s="3" t="n">
        <v>16.08</v>
      </c>
      <c r="J2" s="3">
        <f>SUM(D2:H2)</f>
        <v/>
      </c>
    </row>
    <row r="3">
      <c r="A3" s="3" t="inlineStr">
        <is>
          <t>Nov'26</t>
        </is>
      </c>
      <c r="B3" s="3" t="n">
        <v>7.02</v>
      </c>
      <c r="C3" s="3" t="n">
        <v>36</v>
      </c>
      <c r="D3" s="3" t="n">
        <v>12.94</v>
      </c>
      <c r="E3" s="3" t="n">
        <v>0</v>
      </c>
      <c r="F3" s="3" t="n">
        <v>0</v>
      </c>
      <c r="G3" s="3" t="n">
        <v>0.06</v>
      </c>
      <c r="H3" s="3" t="n">
        <v>0.03</v>
      </c>
      <c r="I3" s="3" t="n">
        <v>13.04</v>
      </c>
      <c r="J3" s="3">
        <f>SUM(D3:H3)</f>
        <v/>
      </c>
    </row>
    <row r="4">
      <c r="A4" s="3" t="inlineStr">
        <is>
          <t>Dec'26</t>
        </is>
      </c>
      <c r="B4" s="3" t="n">
        <v>8.58</v>
      </c>
      <c r="C4" s="3" t="n">
        <v>38.9</v>
      </c>
      <c r="D4" s="3" t="n">
        <v>15.04</v>
      </c>
      <c r="E4" s="3" t="n">
        <v>3.75</v>
      </c>
      <c r="F4" s="3" t="n">
        <v>0</v>
      </c>
      <c r="G4" s="3" t="n">
        <v>0.08</v>
      </c>
      <c r="H4" s="3" t="n">
        <v>0.04</v>
      </c>
      <c r="I4" s="3" t="n">
        <v>18.9</v>
      </c>
      <c r="J4" s="3">
        <f>SUM(D4:H4)</f>
        <v/>
      </c>
    </row>
    <row r="5">
      <c r="A5" s="3" t="inlineStr">
        <is>
          <t>Jan'27</t>
        </is>
      </c>
      <c r="B5" s="3" t="n">
        <v>10.14</v>
      </c>
      <c r="C5" s="3" t="n">
        <v>41.9</v>
      </c>
      <c r="D5" s="3" t="n">
        <v>17.13</v>
      </c>
      <c r="E5" s="3" t="n">
        <v>11</v>
      </c>
      <c r="F5" s="3" t="n">
        <v>0</v>
      </c>
      <c r="G5" s="3" t="n">
        <v>0.09</v>
      </c>
      <c r="H5" s="3" t="n">
        <v>0.05</v>
      </c>
      <c r="I5" s="3" t="n">
        <v>28.27</v>
      </c>
      <c r="J5" s="3">
        <f>SUM(D5:H5)</f>
        <v/>
      </c>
    </row>
    <row r="6">
      <c r="A6" s="3" t="inlineStr">
        <is>
          <t>Feb'27</t>
        </is>
      </c>
      <c r="B6" s="3" t="n">
        <v>11.7</v>
      </c>
      <c r="C6" s="3" t="n">
        <v>44.8</v>
      </c>
      <c r="D6" s="3" t="n">
        <v>19.23</v>
      </c>
      <c r="E6" s="3" t="n">
        <v>11</v>
      </c>
      <c r="F6" s="3" t="n">
        <v>0</v>
      </c>
      <c r="G6" s="3" t="n">
        <v>0.11</v>
      </c>
      <c r="H6" s="3" t="n">
        <v>0.05</v>
      </c>
      <c r="I6" s="3" t="n">
        <v>30.38</v>
      </c>
      <c r="J6" s="3">
        <f>SUM(D6:H6)</f>
        <v/>
      </c>
    </row>
    <row r="7">
      <c r="A7" s="3" t="inlineStr">
        <is>
          <t>Mar'27</t>
        </is>
      </c>
      <c r="B7" s="3" t="n">
        <v>20.02</v>
      </c>
      <c r="C7" s="3" t="n">
        <v>60.5</v>
      </c>
      <c r="D7" s="3" t="n">
        <v>43.94</v>
      </c>
      <c r="E7" s="3" t="n">
        <v>17.73</v>
      </c>
      <c r="F7" s="3" t="n">
        <v>0.99</v>
      </c>
      <c r="G7" s="3" t="n">
        <v>0.18</v>
      </c>
      <c r="H7" s="3" t="n">
        <v>0.09</v>
      </c>
      <c r="I7" s="3" t="n">
        <v>62.92</v>
      </c>
      <c r="J7" s="3">
        <f>SUM(D7:H7)</f>
        <v/>
      </c>
    </row>
    <row r="8">
      <c r="A8" s="3" t="inlineStr">
        <is>
          <t>Apr'27</t>
        </is>
      </c>
      <c r="B8" s="3" t="n">
        <v>25.22</v>
      </c>
      <c r="C8" s="3" t="n">
        <v>70.3</v>
      </c>
      <c r="D8" s="3" t="n">
        <v>61.16</v>
      </c>
      <c r="E8" s="3" t="n">
        <v>23.18</v>
      </c>
      <c r="F8" s="3" t="n">
        <v>1.46</v>
      </c>
      <c r="G8" s="3" t="n">
        <v>0.23</v>
      </c>
      <c r="H8" s="3" t="n">
        <v>0.11</v>
      </c>
      <c r="I8" s="3" t="n">
        <v>86.14</v>
      </c>
      <c r="J8" s="3">
        <f>SUM(D8:H8)</f>
        <v/>
      </c>
    </row>
    <row r="9">
      <c r="A9" s="3" t="inlineStr">
        <is>
          <t>May'27</t>
        </is>
      </c>
      <c r="B9" s="3" t="n">
        <v>21.06</v>
      </c>
      <c r="C9" s="3" t="n">
        <v>62.4</v>
      </c>
      <c r="D9" s="3" t="n">
        <v>41.91</v>
      </c>
      <c r="E9" s="3" t="n">
        <v>14.09</v>
      </c>
      <c r="F9" s="3" t="n">
        <v>1.39</v>
      </c>
      <c r="G9" s="3" t="n">
        <v>0.19</v>
      </c>
      <c r="H9" s="3" t="n">
        <v>0.09</v>
      </c>
      <c r="I9" s="3" t="n">
        <v>57.67</v>
      </c>
      <c r="J9" s="3">
        <f>SUM(D9:H9)</f>
        <v/>
      </c>
    </row>
    <row r="10">
      <c r="A10" s="3" t="inlineStr">
        <is>
          <t>Jun'27</t>
        </is>
      </c>
      <c r="B10" s="3" t="n">
        <v>12.74</v>
      </c>
      <c r="C10" s="3" t="n">
        <v>46.8</v>
      </c>
      <c r="D10" s="3" t="n">
        <v>20.62</v>
      </c>
      <c r="E10" s="3" t="n">
        <v>5</v>
      </c>
      <c r="F10" s="3" t="n">
        <v>0.95</v>
      </c>
      <c r="G10" s="3" t="n">
        <v>0.11</v>
      </c>
      <c r="H10" s="3" t="n">
        <v>0.06</v>
      </c>
      <c r="I10" s="3" t="n">
        <v>26.74</v>
      </c>
      <c r="J10" s="3">
        <f>SUM(D10:H10)</f>
        <v/>
      </c>
    </row>
    <row r="11">
      <c r="A11" s="3" t="inlineStr">
        <is>
          <t>Jul'27</t>
        </is>
      </c>
      <c r="B11" s="3" t="n">
        <v>13.78</v>
      </c>
      <c r="C11" s="3" t="n">
        <v>48.7</v>
      </c>
      <c r="D11" s="3" t="n">
        <v>22.02</v>
      </c>
      <c r="E11" s="3" t="n">
        <v>5</v>
      </c>
      <c r="F11" s="3" t="n">
        <v>1.14</v>
      </c>
      <c r="G11" s="3" t="n">
        <v>0.12</v>
      </c>
      <c r="H11" s="3" t="n">
        <v>0.06</v>
      </c>
      <c r="I11" s="3" t="n">
        <v>28.34</v>
      </c>
      <c r="J11" s="3">
        <f>SUM(D11:H11)</f>
        <v/>
      </c>
    </row>
    <row r="12">
      <c r="A12" s="3" t="inlineStr">
        <is>
          <t>Aug'27</t>
        </is>
      </c>
      <c r="B12" s="3" t="n">
        <v>15.34</v>
      </c>
      <c r="C12" s="3" t="n">
        <v>51.7</v>
      </c>
      <c r="D12" s="3" t="n">
        <v>24.11</v>
      </c>
      <c r="E12" s="3" t="n">
        <v>5</v>
      </c>
      <c r="F12" s="3" t="n">
        <v>1.39</v>
      </c>
      <c r="G12" s="3" t="n">
        <v>0.14</v>
      </c>
      <c r="H12" s="3" t="n">
        <v>0.07000000000000001</v>
      </c>
      <c r="I12" s="3" t="n">
        <v>30.71</v>
      </c>
      <c r="J12" s="3">
        <f>SUM(D12:H12)</f>
        <v/>
      </c>
    </row>
    <row r="13">
      <c r="A13" s="3" t="inlineStr">
        <is>
          <t>Sep'27</t>
        </is>
      </c>
      <c r="B13" s="3" t="n">
        <v>16.9</v>
      </c>
      <c r="C13" s="3" t="n">
        <v>54.6</v>
      </c>
      <c r="D13" s="3" t="n">
        <v>26.21</v>
      </c>
      <c r="E13" s="3" t="n">
        <v>5</v>
      </c>
      <c r="F13" s="3" t="n">
        <v>1.67</v>
      </c>
      <c r="G13" s="3" t="n">
        <v>0.15</v>
      </c>
      <c r="H13" s="3" t="n">
        <v>0.08</v>
      </c>
      <c r="I13" s="3" t="n">
        <v>33.11</v>
      </c>
      <c r="J13" s="3">
        <f>SUM(D13:H13)</f>
        <v/>
      </c>
    </row>
    <row r="15">
      <c r="A15" s="4" t="inlineStr">
        <is>
          <t>12 months</t>
        </is>
      </c>
      <c r="D15">
        <f>SUM(D2:D13)</f>
        <v/>
      </c>
      <c r="E15">
        <f>SUM(E2:E13)</f>
        <v/>
      </c>
      <c r="F15">
        <f>SUM(F2:F13)</f>
        <v/>
      </c>
      <c r="G15">
        <f>SUM(G2:G13)</f>
        <v/>
      </c>
      <c r="H15">
        <f>SUM(H2:H13)</f>
        <v/>
      </c>
      <c r="I15">
        <f>SUM(I2:I13)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</cols>
  <sheetData>
    <row r="1">
      <c r="A1" s="1" t="inlineStr">
        <is>
          <t>Deposit case</t>
        </is>
      </c>
      <c r="B1" s="1" t="inlineStr">
        <is>
          <t>Deposit ratio</t>
        </is>
      </c>
      <c r="C1" s="1" t="inlineStr">
        <is>
          <t>Net pre-2023</t>
        </is>
      </c>
      <c r="D1" s="1" t="inlineStr">
        <is>
          <t>GST 28%</t>
        </is>
      </c>
      <c r="E1" s="1" t="inlineStr">
        <is>
          <t>Net 28%</t>
        </is>
      </c>
      <c r="F1" s="1" t="inlineStr">
        <is>
          <t>GST 40%</t>
        </is>
      </c>
      <c r="G1" s="1" t="inlineStr">
        <is>
          <t>Net 40%</t>
        </is>
      </c>
      <c r="H1" s="1" t="inlineStr">
        <is>
          <t>Drop 28 %</t>
        </is>
      </c>
      <c r="I1" s="1" t="inlineStr">
        <is>
          <t>Drop 40 %</t>
        </is>
      </c>
      <c r="J1" s="1" t="inlineStr">
        <is>
          <t>Prize pool 28 %</t>
        </is>
      </c>
    </row>
    <row r="2">
      <c r="A2" s="3" t="inlineStr">
        <is>
          <t>bear</t>
        </is>
      </c>
      <c r="B2" s="3" t="n">
        <v>0.7</v>
      </c>
      <c r="C2" s="3" t="n">
        <v>12.71</v>
      </c>
      <c r="D2" s="3" t="n">
        <v>19.6</v>
      </c>
      <c r="E2" s="3" t="n">
        <v>-4.6</v>
      </c>
      <c r="F2" s="3" t="n">
        <v>28</v>
      </c>
      <c r="G2" s="3" t="n">
        <v>-13</v>
      </c>
      <c r="H2" s="3" t="n">
        <v>136.2</v>
      </c>
      <c r="I2" s="3" t="n">
        <v>202.3</v>
      </c>
      <c r="J2" s="3" t="n">
        <v>67.7</v>
      </c>
    </row>
    <row r="3">
      <c r="A3" s="3" t="inlineStr">
        <is>
          <t>base</t>
        </is>
      </c>
      <c r="B3" s="3" t="n">
        <v>0.5</v>
      </c>
      <c r="C3" s="3" t="n">
        <v>12.71</v>
      </c>
      <c r="D3" s="3" t="n">
        <v>14</v>
      </c>
      <c r="E3" s="3" t="n">
        <v>1</v>
      </c>
      <c r="F3" s="3" t="n">
        <v>20</v>
      </c>
      <c r="G3" s="3" t="n">
        <v>-5</v>
      </c>
      <c r="H3" s="3" t="n">
        <v>92.09999999999999</v>
      </c>
      <c r="I3" s="3" t="n">
        <v>139.3</v>
      </c>
      <c r="J3" s="3" t="n">
        <v>73.3</v>
      </c>
    </row>
    <row r="4">
      <c r="A4" s="3" t="inlineStr">
        <is>
          <t>bull</t>
        </is>
      </c>
      <c r="B4" s="3" t="n">
        <v>0.35</v>
      </c>
      <c r="C4" s="3" t="n">
        <v>12.71</v>
      </c>
      <c r="D4" s="3" t="n">
        <v>9.800000000000001</v>
      </c>
      <c r="E4" s="3" t="n">
        <v>5.2</v>
      </c>
      <c r="F4" s="3" t="n">
        <v>14</v>
      </c>
      <c r="G4" s="3" t="n">
        <v>1</v>
      </c>
      <c r="H4" s="3" t="n">
        <v>59.1</v>
      </c>
      <c r="I4" s="3" t="n">
        <v>92.09999999999999</v>
      </c>
      <c r="J4" s="3" t="n">
        <v>77.5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NSM baseline (M)</t>
        </is>
      </c>
      <c r="B1" s="1" t="inlineStr">
        <is>
          <t>eCPM 82</t>
        </is>
      </c>
      <c r="C1" s="1" t="inlineStr">
        <is>
          <t>eCPM 96</t>
        </is>
      </c>
      <c r="D1" s="1" t="inlineStr">
        <is>
          <t>eCPM 110</t>
        </is>
      </c>
      <c r="E1" s="1" t="inlineStr">
        <is>
          <t>eCPM 124</t>
        </is>
      </c>
      <c r="F1" s="1" t="inlineStr">
        <is>
          <t>eCPM 138</t>
        </is>
      </c>
    </row>
    <row r="2">
      <c r="A2" s="3" t="n">
        <v>3</v>
      </c>
      <c r="B2" s="3" t="n">
        <v>172.9</v>
      </c>
      <c r="C2" s="3" t="n">
        <v>189.9</v>
      </c>
      <c r="D2" s="3" t="n">
        <v>206.9</v>
      </c>
      <c r="E2" s="3" t="n">
        <v>223.9</v>
      </c>
      <c r="F2" s="3" t="n">
        <v>240.9</v>
      </c>
    </row>
    <row r="3">
      <c r="A3" s="3" t="n">
        <v>4</v>
      </c>
      <c r="B3" s="3" t="n">
        <v>189.2</v>
      </c>
      <c r="C3" s="3" t="n">
        <v>208.8</v>
      </c>
      <c r="D3" s="3" t="n">
        <v>228.3</v>
      </c>
      <c r="E3" s="3" t="n">
        <v>247.9</v>
      </c>
      <c r="F3" s="3" t="n">
        <v>267.4</v>
      </c>
    </row>
    <row r="4">
      <c r="A4" s="3" t="n">
        <v>5</v>
      </c>
      <c r="B4" s="3" t="n">
        <v>205.6</v>
      </c>
      <c r="C4" s="3" t="n">
        <v>227.7</v>
      </c>
      <c r="D4" s="3" t="n">
        <v>249.7</v>
      </c>
      <c r="E4" s="3" t="n">
        <v>271.9</v>
      </c>
      <c r="F4" s="3" t="n">
        <v>294</v>
      </c>
    </row>
    <row r="5">
      <c r="A5" s="3" t="n">
        <v>6</v>
      </c>
      <c r="B5" s="3" t="n">
        <v>221.9</v>
      </c>
      <c r="C5" s="3" t="n">
        <v>246.5</v>
      </c>
      <c r="D5" s="3" t="n">
        <v>271.2</v>
      </c>
      <c r="E5" s="3" t="n">
        <v>295.9</v>
      </c>
      <c r="F5" s="3" t="n">
        <v>320.5</v>
      </c>
    </row>
    <row r="6">
      <c r="A6" s="3" t="n">
        <v>7</v>
      </c>
      <c r="B6" s="3" t="n">
        <v>238.2</v>
      </c>
      <c r="C6" s="3" t="n">
        <v>265.4</v>
      </c>
      <c r="D6" s="3" t="n">
        <v>292.6</v>
      </c>
      <c r="E6" s="3" t="n">
        <v>319.8</v>
      </c>
      <c r="F6" s="3" t="n">
        <v>347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Base 12-month total ties to JSON</t>
        </is>
      </c>
      <c r="B2">
        <f>ABS(Revenue_base!I15-249.7)&lt;=0.5</f>
        <v/>
      </c>
    </row>
    <row r="3">
      <c r="A3" t="inlineStr">
        <is>
          <t>Bear 12-month total ties</t>
        </is>
      </c>
      <c r="B3">
        <f>ABS(Revenue_bear!I15-129.6)&lt;=0.5</f>
        <v/>
      </c>
    </row>
    <row r="4">
      <c r="A4" t="inlineStr">
        <is>
          <t>Bull 12-month total ties</t>
        </is>
      </c>
      <c r="B4">
        <f>ABS(Revenue_bull!I15-432.3)&lt;=0.5</f>
        <v/>
      </c>
    </row>
    <row r="5">
      <c r="A5" t="inlineStr">
        <is>
          <t>Monthly totals equal stream sums (base)</t>
        </is>
      </c>
      <c r="B5">
        <f>SUMPRODUCT(ABS(Revenue_base!I2:I13-Revenue_base!J2:J13))&lt;=0.2</f>
        <v/>
      </c>
    </row>
    <row r="6">
      <c r="A6" t="inlineStr">
        <is>
          <t>Option D ranks first</t>
        </is>
      </c>
      <c r="B6">
        <f>Options!H5=MAX(Options!H2:H6)</f>
        <v/>
      </c>
    </row>
    <row r="7">
      <c r="A7" t="inlineStr">
        <is>
          <t>Stress mid net at 28% below pre-2023</t>
        </is>
      </c>
      <c r="B7">
        <f>Stress!E3&lt;Stress!C3</f>
        <v/>
      </c>
    </row>
    <row r="8">
      <c r="A8" t="inlineStr">
        <is>
          <t>Segments now sum to mid-2026 MAU</t>
        </is>
      </c>
      <c r="B8">
        <f>ABS(SUM(Base_Segments!F2:F6)-50.0)&lt;=0.3</f>
        <v/>
      </c>
    </row>
    <row r="9">
      <c r="A9" t="inlineStr">
        <is>
          <t>All checks pass</t>
        </is>
      </c>
      <c r="B9">
        <f>AND(B2:B8)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2026-09-29T13:47:40Z</dcterms:created>
  <dcterms:modified xmlns:dcterms="http://purl.org/dc/terms/" xmlns:xsi="http://www.w3.org/2001/XMLSchema-instance" xsi:type="dcterms:W3CDTF">2026-09-29T13:47:40Z</dcterms:modified>
</cp:coreProperties>
</file>