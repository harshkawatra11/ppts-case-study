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se_Input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Scenario_Paths" sheetId="4" state="visible" r:id="rId4"/>
    <sheet xmlns:r="http://schemas.openxmlformats.org/officeDocument/2006/relationships" name="Paytm_Baseline" sheetId="5" state="visible" r:id="rId5"/>
    <sheet xmlns:r="http://schemas.openxmlformats.org/officeDocument/2006/relationships" name="Liminal_DCF" sheetId="6" state="visible" r:id="rId6"/>
    <sheet xmlns:r="http://schemas.openxmlformats.org/officeDocument/2006/relationships" name="DCF_Sensitivity" sheetId="7" state="visible" r:id="rId7"/>
    <sheet xmlns:r="http://schemas.openxmlformats.org/officeDocument/2006/relationships" name="Full_Acq" sheetId="8" state="visible" r:id="rId8"/>
    <sheet xmlns:r="http://schemas.openxmlformats.org/officeDocument/2006/relationships" name="Minority" sheetId="9" state="visible" r:id="rId9"/>
    <sheet xmlns:r="http://schemas.openxmlformats.org/officeDocument/2006/relationships" name="JV" sheetId="10" state="visible" r:id="rId10"/>
    <sheet xmlns:r="http://schemas.openxmlformats.org/officeDocument/2006/relationships" name="Walk_Away" sheetId="11" state="visible" r:id="rId11"/>
    <sheet xmlns:r="http://schemas.openxmlformats.org/officeDocument/2006/relationships" name="Paths_Summary" sheetId="12" state="visible" r:id="rId12"/>
    <sheet xmlns:r="http://schemas.openxmlformats.org/officeDocument/2006/relationships" name="Churn_Drag_Grid" sheetId="13" state="visible" r:id="rId13"/>
    <sheet xmlns:r="http://schemas.openxmlformats.org/officeDocument/2006/relationships" name="Funding_Credit" sheetId="14" state="visible" r:id="rId14"/>
    <sheet xmlns:r="http://schemas.openxmlformats.org/officeDocument/2006/relationships" name="Football_Field" sheetId="15" state="visible" r:id="rId15"/>
    <sheet xmlns:r="http://schemas.openxmlformats.org/officeDocument/2006/relationships" name="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"/>
    <numFmt numFmtId="165" formatCode="#,##0.00;(#,##0.00)"/>
    <numFmt numFmtId="166" formatCode="0.0%"/>
    <numFmt numFmtId="167" formatCode="0.000"/>
    <numFmt numFmtId="168" formatCode="#,##0.0;(#,##0.0)"/>
    <numFmt numFmtId="169" formatCode="0.000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FFFFFF"/>
    </font>
    <font>
      <b val="1"/>
      <color rgb="001F4E9E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164" fontId="4" fillId="3" borderId="0" pivotButton="0" quotePrefix="0" xfId="0"/>
    <xf numFmtId="165" fontId="4" fillId="3" borderId="0" pivotButton="0" quotePrefix="0" xfId="0"/>
    <xf numFmtId="166" fontId="4" fillId="3" borderId="0" pivotButton="0" quotePrefix="0" xfId="0"/>
    <xf numFmtId="166" fontId="4" fillId="4" borderId="0" pivotButton="0" quotePrefix="0" xfId="0"/>
    <xf numFmtId="164" fontId="4" fillId="4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8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0" fontId="5" fillId="0" borderId="0" pivotButton="0" quotePrefix="0" xfId="0"/>
    <xf numFmtId="0" fontId="4" fillId="4" borderId="0" pivotButton="0" quotePrefix="0" xfId="0"/>
    <xf numFmtId="169" fontId="0" fillId="0" borderId="0" pivotButton="0" quotePrefix="0" xfId="0"/>
    <xf numFmtId="164" fontId="5" fillId="5" borderId="0" pivotButton="0" quotePrefix="0" xfId="0"/>
    <xf numFmtId="165" fontId="0" fillId="5" borderId="0" pivotButton="0" quotePrefix="0" xfId="0"/>
    <xf numFmtId="168" fontId="5" fillId="5" borderId="0" pivotButton="0" quotePrefix="0" xfId="0"/>
    <xf numFmtId="0" fontId="5" fillId="5" borderId="0" pivotButton="0" quotePrefix="0" xfId="0"/>
    <xf numFmtId="165" fontId="5" fillId="5" borderId="0" pivotButton="0" quotePrefix="0" xfId="0"/>
    <xf numFmtId="166" fontId="5" fillId="5" borderId="0" pivotButton="0" quotePrefix="0" xfId="0"/>
    <xf numFmtId="9" fontId="4" fillId="4" borderId="0" pivotButton="0" quotePrefix="0" xfId="0"/>
    <xf numFmtId="168" fontId="4" fillId="4" borderId="0" pivotButton="0" quotePrefix="0" xfId="0"/>
    <xf numFmtId="164" fontId="0" fillId="5" borderId="0" pivotButton="0" quotePrefix="0" xfId="0"/>
    <xf numFmtId="168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Project Satoshi Gate: transaction and accretion/dilution model</t>
        </is>
      </c>
    </row>
    <row r="2">
      <c r="A2" s="2" t="inlineStr">
        <is>
          <t>Paytm (One97 Communications) and Liminal Custody Solutions. All figures ₹ Cr unless stated.</t>
        </is>
      </c>
    </row>
    <row r="3">
      <c r="A3" s="3" t="inlineStr">
        <is>
          <t>Purpose: supports the board recommendation to take a 24.9% stake in Liminal with a path to control, and shows why the proposed ₹4,000 Cr full acquisition destroys value.</t>
        </is>
      </c>
    </row>
    <row r="4">
      <c r="A4" s="3" t="inlineStr">
        <is>
          <t>Source hierarchy: case facts govern (Case_Inputs, grey fill). Everything else is a disclosed team assumption (Assumptions, yellow fill). No external figure replaces a case input.</t>
        </is>
      </c>
    </row>
    <row r="5">
      <c r="A5" s="3" t="inlineStr">
        <is>
          <t>Blue bold font = input you can change. Black = formula. Green fill = key output.</t>
        </is>
      </c>
    </row>
    <row r="6">
      <c r="A6" s="3" t="inlineStr">
        <is>
          <t>Change any input on Case_Inputs, Assumptions or Scenario_Paths, or the scenario/churn/drag selectors on the path sheets, and every live sheet recalculates.</t>
        </is>
      </c>
    </row>
    <row r="7">
      <c r="A7" s="3" t="inlineStr">
        <is>
          <t>Sheets marked 'values from model run' hold grids that need iteration (bisection for breakeven churn, 5x5 sensitivity, all-scenario tables). They come from model/satoshi_gate_model.py.</t>
        </is>
      </c>
    </row>
    <row r="8">
      <c r="A8" s="3" t="inlineStr">
        <is>
          <t>Checks sheet: every row must read TRUE. It ties live formulas to the Python model within ±1.</t>
        </is>
      </c>
    </row>
    <row r="9">
      <c r="A9" s="3" t="inlineStr">
        <is>
          <t>Sheet map: Case_Inputs, Assumptions, Scenario_Paths, Paytm_Baseline, Liminal_DCF, DCF_Sensitivity, Full_Acq, Minority, JV, Walk_Away, Paths_Summary, Churn_Drag_Grid, Funding_Credit, Football_Field, Checks.</t>
        </is>
      </c>
    </row>
    <row r="10">
      <c r="A10" s="3" t="inlineStr">
        <is>
          <t>Breakeven definitions: PAT basis = first year pro-forma EPS reaches the MDR-adjusted standalone EPS (full, JV) or deal ΔPAT turns positive (minority). FCF basis = first year cumulative deal operating FCF after capital drag covers the cash consideration (full) or cumulative look-through FCF covers cash paid (minority).</t>
        </is>
      </c>
    </row>
    <row r="11">
      <c r="A11" s="3" t="inlineStr">
        <is>
          <t>Model hash: 7fdbe0a3ea  |  generated 2026-09-24T00:06:44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0" customWidth="1" min="4" max="4"/>
    <col width="16" customWidth="1" min="5" max="5"/>
  </cols>
  <sheetData>
    <row r="1">
      <c r="A1" s="1" t="inlineStr">
        <is>
          <t>Case facts (governing, do not change)</t>
        </is>
      </c>
    </row>
    <row r="2">
      <c r="A2" s="2" t="inlineStr">
        <is>
          <t>Source: Project Satoshi Gate case document</t>
        </is>
      </c>
    </row>
    <row r="4">
      <c r="A4" s="4" t="inlineStr">
        <is>
          <t>Key</t>
        </is>
      </c>
      <c r="B4" s="4" t="inlineStr">
        <is>
          <t>Case fact</t>
        </is>
      </c>
      <c r="C4" s="4" t="inlineStr">
        <is>
          <t>Value</t>
        </is>
      </c>
      <c r="D4" s="4" t="inlineStr">
        <is>
          <t>Unit</t>
        </is>
      </c>
      <c r="E4" s="4" t="inlineStr">
        <is>
          <t>Case reference</t>
        </is>
      </c>
    </row>
    <row r="5">
      <c r="A5" t="inlineStr">
        <is>
          <t>MCAP</t>
        </is>
      </c>
      <c r="B5" t="inlineStr">
        <is>
          <t>Paytm market capitalisation</t>
        </is>
      </c>
      <c r="C5" s="5" t="n">
        <v>118750</v>
      </c>
      <c r="D5" t="inlineStr">
        <is>
          <t>₹ Cr</t>
        </is>
      </c>
      <c r="E5" t="inlineStr">
        <is>
          <t>§1</t>
        </is>
      </c>
    </row>
    <row r="6">
      <c r="A6" t="inlineStr">
        <is>
          <t>SH</t>
        </is>
      </c>
      <c r="B6" t="inlineStr">
        <is>
          <t>Diluted shares outstanding</t>
        </is>
      </c>
      <c r="C6" s="5" t="n">
        <v>64</v>
      </c>
      <c r="D6" t="inlineStr">
        <is>
          <t>Cr</t>
        </is>
      </c>
      <c r="E6" t="inlineStr">
        <is>
          <t>§1</t>
        </is>
      </c>
    </row>
    <row r="7">
      <c r="A7" t="inlineStr">
        <is>
          <t>CASH</t>
        </is>
      </c>
      <c r="B7" t="inlineStr">
        <is>
          <t>Cash</t>
        </is>
      </c>
      <c r="C7" s="5" t="n">
        <v>8900</v>
      </c>
      <c r="D7" t="inlineStr">
        <is>
          <t>₹ Cr</t>
        </is>
      </c>
      <c r="E7" t="inlineStr">
        <is>
          <t>§1</t>
        </is>
      </c>
    </row>
    <row r="8">
      <c r="A8" t="inlineStr">
        <is>
          <t>DEBT</t>
        </is>
      </c>
      <c r="B8" t="inlineStr">
        <is>
          <t>Gross debt</t>
        </is>
      </c>
      <c r="C8" s="5" t="n">
        <v>350</v>
      </c>
      <c r="D8" t="inlineStr">
        <is>
          <t>₹ Cr</t>
        </is>
      </c>
      <c r="E8" t="inlineStr">
        <is>
          <t>§1</t>
        </is>
      </c>
    </row>
    <row r="9">
      <c r="A9" t="inlineStr">
        <is>
          <t>REV</t>
        </is>
      </c>
      <c r="B9" t="inlineStr">
        <is>
          <t>Trailing revenue</t>
        </is>
      </c>
      <c r="C9" s="5" t="n">
        <v>8450</v>
      </c>
      <c r="D9" t="inlineStr">
        <is>
          <t>₹ Cr</t>
        </is>
      </c>
      <c r="E9" t="inlineStr">
        <is>
          <t>§1</t>
        </is>
      </c>
    </row>
    <row r="10">
      <c r="A10" t="inlineStr">
        <is>
          <t>EBITDA</t>
        </is>
      </c>
      <c r="B10" t="inlineStr">
        <is>
          <t>EBITDA</t>
        </is>
      </c>
      <c r="C10" s="5" t="n">
        <v>640</v>
      </c>
      <c r="D10" t="inlineStr">
        <is>
          <t>₹ Cr</t>
        </is>
      </c>
      <c r="E10" t="inlineStr">
        <is>
          <t>§1</t>
        </is>
      </c>
    </row>
    <row r="11">
      <c r="A11" t="inlineStr">
        <is>
          <t>PAT</t>
        </is>
      </c>
      <c r="B11" t="inlineStr">
        <is>
          <t>PAT</t>
        </is>
      </c>
      <c r="C11" s="5" t="n">
        <v>480</v>
      </c>
      <c r="D11" t="inlineStr">
        <is>
          <t>₹ Cr</t>
        </is>
      </c>
      <c r="E11" t="inlineStr">
        <is>
          <t>§1</t>
        </is>
      </c>
    </row>
    <row r="12">
      <c r="A12" t="inlineStr">
        <is>
          <t>EPS</t>
        </is>
      </c>
      <c r="B12" t="inlineStr">
        <is>
          <t>Diluted EPS</t>
        </is>
      </c>
      <c r="C12" s="6" t="n">
        <v>7.5</v>
      </c>
      <c r="D12" t="inlineStr">
        <is>
          <t>₹</t>
        </is>
      </c>
      <c r="E12" t="inlineStr">
        <is>
          <t>§1</t>
        </is>
      </c>
    </row>
    <row r="13">
      <c r="A13" t="inlineStr">
        <is>
          <t>DEAL</t>
        </is>
      </c>
      <c r="B13" t="inlineStr">
        <is>
          <t>Deal value</t>
        </is>
      </c>
      <c r="C13" s="5" t="n">
        <v>4000</v>
      </c>
      <c r="D13" t="inlineStr">
        <is>
          <t>₹ Cr</t>
        </is>
      </c>
      <c r="E13" t="inlineStr">
        <is>
          <t>§2</t>
        </is>
      </c>
    </row>
    <row r="14">
      <c r="A14" t="inlineStr">
        <is>
          <t>DEAL_CASH</t>
        </is>
      </c>
      <c r="B14" t="inlineStr">
        <is>
          <t>Cash component</t>
        </is>
      </c>
      <c r="C14" s="5" t="n">
        <v>2100</v>
      </c>
      <c r="D14" t="inlineStr">
        <is>
          <t>₹ Cr</t>
        </is>
      </c>
      <c r="E14" t="inlineStr">
        <is>
          <t>§2</t>
        </is>
      </c>
    </row>
    <row r="15">
      <c r="A15" t="inlineStr">
        <is>
          <t>DEAL_EQ</t>
        </is>
      </c>
      <c r="B15" t="inlineStr">
        <is>
          <t>Equity component</t>
        </is>
      </c>
      <c r="C15" s="5" t="n">
        <v>1900</v>
      </c>
      <c r="D15" t="inlineStr">
        <is>
          <t>₹ Cr</t>
        </is>
      </c>
      <c r="E15" t="inlineStr">
        <is>
          <t>§2</t>
        </is>
      </c>
    </row>
    <row r="16">
      <c r="A16" t="inlineStr">
        <is>
          <t>ARR</t>
        </is>
      </c>
      <c r="B16" t="inlineStr">
        <is>
          <t>Liminal ARR</t>
        </is>
      </c>
      <c r="C16" s="5" t="n">
        <v>220</v>
      </c>
      <c r="D16" t="inlineStr">
        <is>
          <t>₹ Cr</t>
        </is>
      </c>
      <c r="E16" t="inlineStr">
        <is>
          <t>§2 table</t>
        </is>
      </c>
    </row>
    <row r="17">
      <c r="A17" t="inlineStr">
        <is>
          <t>TOP4</t>
        </is>
      </c>
      <c r="B17" t="inlineStr">
        <is>
          <t>Top-4 client share of ARR</t>
        </is>
      </c>
      <c r="C17" s="7" t="n">
        <v>0.6</v>
      </c>
      <c r="D17" t="inlineStr">
        <is>
          <t>%</t>
        </is>
      </c>
      <c r="E17" t="inlineStr">
        <is>
          <t>§2</t>
        </is>
      </c>
    </row>
    <row r="18">
      <c r="A18" t="inlineStr">
        <is>
          <t>DRAG</t>
        </is>
      </c>
      <c r="B18" t="inlineStr">
        <is>
          <t>Annual FCF capital drag if Paytm owns custody</t>
        </is>
      </c>
      <c r="C18" s="5" t="n">
        <v>750</v>
      </c>
      <c r="D18" t="inlineStr">
        <is>
          <t>₹ Cr/yr</t>
        </is>
      </c>
      <c r="E18" t="inlineStr">
        <is>
          <t>§3.2</t>
        </is>
      </c>
    </row>
    <row r="19">
      <c r="A19" t="inlineStr">
        <is>
          <t>MDR</t>
        </is>
      </c>
      <c r="B19" t="inlineStr">
        <is>
          <t>Incremental UPI MDR net revenue</t>
        </is>
      </c>
      <c r="C19" s="5" t="n">
        <v>115</v>
      </c>
      <c r="D19" t="inlineStr">
        <is>
          <t>₹ Cr/yr</t>
        </is>
      </c>
      <c r="E19" t="inlineStr">
        <is>
          <t>§3.4</t>
        </is>
      </c>
    </row>
    <row r="20">
      <c r="A20" t="inlineStr">
        <is>
          <t>CH_LO</t>
        </is>
      </c>
      <c r="B20" t="inlineStr">
        <is>
          <t>ARR churn, low end (full acquisition)</t>
        </is>
      </c>
      <c r="C20" s="7" t="n">
        <v>0.3</v>
      </c>
      <c r="D20" t="inlineStr">
        <is>
          <t>%</t>
        </is>
      </c>
      <c r="E20" t="inlineStr">
        <is>
          <t>§3.1</t>
        </is>
      </c>
    </row>
    <row r="21">
      <c r="A21" t="inlineStr">
        <is>
          <t>CH_HI</t>
        </is>
      </c>
      <c r="B21" t="inlineStr">
        <is>
          <t>ARR churn, high end (full acquisition)</t>
        </is>
      </c>
      <c r="C21" s="7" t="n">
        <v>0.45</v>
      </c>
      <c r="D21" t="inlineStr">
        <is>
          <t>%</t>
        </is>
      </c>
      <c r="E21" t="inlineStr">
        <is>
          <t>§3.1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46" customWidth="1" min="3" max="3"/>
    <col width="12" customWidth="1" min="4" max="4"/>
    <col width="9" customWidth="1" min="5" max="5"/>
    <col width="62" customWidth="1" min="6" max="6"/>
  </cols>
  <sheetData>
    <row r="1">
      <c r="A1" s="1" t="inlineStr">
        <is>
          <t>Team assumptions (disclosed; not case facts)</t>
        </is>
      </c>
    </row>
    <row r="2">
      <c r="A2" s="2" t="inlineStr">
        <is>
          <t>IDs match the research document and the assumptions slide</t>
        </is>
      </c>
    </row>
    <row r="4">
      <c r="A4" s="4" t="inlineStr">
        <is>
          <t>ID</t>
        </is>
      </c>
      <c r="B4" s="4" t="inlineStr">
        <is>
          <t>Key</t>
        </is>
      </c>
      <c r="C4" s="4" t="inlineStr">
        <is>
          <t>Parameter</t>
        </is>
      </c>
      <c r="D4" s="4" t="inlineStr">
        <is>
          <t>Value</t>
        </is>
      </c>
      <c r="E4" s="4" t="inlineStr">
        <is>
          <t>Unit</t>
        </is>
      </c>
      <c r="F4" s="4" t="inlineStr">
        <is>
          <t>Rationale / source</t>
        </is>
      </c>
    </row>
    <row r="5">
      <c r="A5" t="inlineStr">
        <is>
          <t>A02</t>
        </is>
      </c>
      <c r="B5" t="inlineStr">
        <is>
          <t>T</t>
        </is>
      </c>
      <c r="C5" t="inlineStr">
        <is>
          <t>Tax rate</t>
        </is>
      </c>
      <c r="D5" s="8" t="n">
        <v>0.2517</v>
      </c>
      <c r="E5" t="inlineStr">
        <is>
          <t>%</t>
        </is>
      </c>
      <c r="F5" t="inlineStr">
        <is>
          <t>s.115BAA new regime; carried losses ignored</t>
        </is>
      </c>
    </row>
    <row r="6">
      <c r="A6" t="inlineStr">
        <is>
          <t>A03</t>
        </is>
      </c>
      <c r="B6" t="inlineStr">
        <is>
          <t>YC</t>
        </is>
      </c>
      <c r="C6" t="inlineStr">
        <is>
          <t>Pre-tax yield on Paytm cash</t>
        </is>
      </c>
      <c r="D6" s="8" t="n">
        <v>0.06</v>
      </c>
      <c r="E6" t="inlineStr">
        <is>
          <t>%</t>
        </is>
      </c>
      <c r="F6" t="inlineStr">
        <is>
          <t>364-day T-bill 5.74% (Aug 2026) plus treasury mix</t>
        </is>
      </c>
    </row>
    <row r="7">
      <c r="A7" t="inlineStr">
        <is>
          <t>A04</t>
        </is>
      </c>
      <c r="B7" t="inlineStr">
        <is>
          <t>KD</t>
        </is>
      </c>
      <c r="C7" t="inlineStr">
        <is>
          <t>Cost of new debt (AA- issuer)</t>
        </is>
      </c>
      <c r="D7" s="8" t="n">
        <v>0.08749999999999999</v>
      </c>
      <c r="E7" t="inlineStr">
        <is>
          <t>%</t>
        </is>
      </c>
      <c r="F7" t="inlineStr">
        <is>
          <t>AA band 8.0 to 9.5% (2026)</t>
        </is>
      </c>
    </row>
    <row r="8">
      <c r="A8" t="inlineStr">
        <is>
          <t>A05</t>
        </is>
      </c>
      <c r="B8" t="inlineStr">
        <is>
          <t>YR</t>
        </is>
      </c>
      <c r="C8" t="inlineStr">
        <is>
          <t>Yield on locked capital reserves</t>
        </is>
      </c>
      <c r="D8" s="8" t="n">
        <v>0.05</v>
      </c>
      <c r="E8" t="inlineStr">
        <is>
          <t>%</t>
        </is>
      </c>
      <c r="F8" t="inlineStr">
        <is>
          <t>RBI SDF 5.00%; 1% negative carry</t>
        </is>
      </c>
    </row>
    <row r="9">
      <c r="A9" t="inlineStr">
        <is>
          <t>A07</t>
        </is>
      </c>
      <c r="B9" t="inlineStr">
        <is>
          <t>PW</t>
        </is>
      </c>
      <c r="C9" t="inlineStr">
        <is>
          <t>Paytm WACC</t>
        </is>
      </c>
      <c r="D9" s="8" t="n">
        <v>0.155</v>
      </c>
      <c r="E9" t="inlineStr">
        <is>
          <t>%</t>
        </is>
      </c>
      <c r="F9" t="inlineStr">
        <is>
          <t>Rf 7.04% (10Y G-sec, 23 Sep 2026) + beta 1.20 x India ERP 7.08% (Damodaran Jan 2026) = 15.5%; net cash so WACC = Ke</t>
        </is>
      </c>
    </row>
    <row r="10">
      <c r="A10" t="inlineStr">
        <is>
          <t>A08</t>
        </is>
      </c>
      <c r="B10" t="inlineStr">
        <is>
          <t>LW</t>
        </is>
      </c>
      <c r="C10" t="inlineStr">
        <is>
          <t>Liminal discount rate</t>
        </is>
      </c>
      <c r="D10" s="8" t="n">
        <v>0.17</v>
      </c>
      <c r="E10" t="inlineStr">
        <is>
          <t>%</t>
        </is>
      </c>
      <c r="F10" t="inlineStr">
        <is>
          <t>Rf 7.04% + beta 1.40 x ERP 7.08% = 17.0%, all equity, crypto-infrastructure risk</t>
        </is>
      </c>
    </row>
    <row r="11">
      <c r="A11" t="inlineStr">
        <is>
          <t>A09</t>
        </is>
      </c>
      <c r="B11" t="inlineStr">
        <is>
          <t>TG</t>
        </is>
      </c>
      <c r="C11" t="inlineStr">
        <is>
          <t>Liminal terminal growth</t>
        </is>
      </c>
      <c r="D11" s="8" t="n">
        <v>0.06</v>
      </c>
      <c r="E11" t="inlineStr">
        <is>
          <t>%</t>
        </is>
      </c>
      <c r="F11" t="inlineStr">
        <is>
          <t>Below India nominal GDP growth</t>
        </is>
      </c>
    </row>
    <row r="12">
      <c r="A12" t="inlineStr">
        <is>
          <t>A11a</t>
        </is>
      </c>
      <c r="B12" t="inlineStr">
        <is>
          <t>DA</t>
        </is>
      </c>
      <c r="C12" t="inlineStr">
        <is>
          <t>D&amp;A % revenue</t>
        </is>
      </c>
      <c r="D12" s="8" t="n">
        <v>0.04</v>
      </c>
      <c r="E12" t="inlineStr">
        <is>
          <t>%</t>
        </is>
      </c>
      <c r="F12" t="inlineStr">
        <is>
          <t>Infrastructure SaaS norm</t>
        </is>
      </c>
    </row>
    <row r="13">
      <c r="A13" t="inlineStr">
        <is>
          <t>A11b</t>
        </is>
      </c>
      <c r="B13" t="inlineStr">
        <is>
          <t>CAPEX</t>
        </is>
      </c>
      <c r="C13" t="inlineStr">
        <is>
          <t>Capex % revenue</t>
        </is>
      </c>
      <c r="D13" s="8" t="n">
        <v>0.05</v>
      </c>
      <c r="E13" t="inlineStr">
        <is>
          <t>%</t>
        </is>
      </c>
      <c r="F13" t="inlineStr">
        <is>
          <t>Infrastructure SaaS norm</t>
        </is>
      </c>
    </row>
    <row r="14">
      <c r="A14" t="inlineStr">
        <is>
          <t>A11c</t>
        </is>
      </c>
      <c r="B14" t="inlineStr">
        <is>
          <t>NWC</t>
        </is>
      </c>
      <c r="C14" t="inlineStr">
        <is>
          <t>NWC % incremental revenue</t>
        </is>
      </c>
      <c r="D14" s="8" t="n">
        <v>0.02</v>
      </c>
      <c r="E14" t="inlineStr">
        <is>
          <t>%</t>
        </is>
      </c>
      <c r="F14" t="inlineStr">
        <is>
          <t>Infrastructure SaaS norm</t>
        </is>
      </c>
    </row>
    <row r="15">
      <c r="A15" t="inlineStr">
        <is>
          <t>A12</t>
        </is>
      </c>
      <c r="B15" t="inlineStr">
        <is>
          <t>DEC</t>
        </is>
      </c>
      <c r="C15" t="inlineStr">
        <is>
          <t>Decremental margin on churned ARR (yr 1; half in yr 2)</t>
        </is>
      </c>
      <c r="D15" s="8" t="n">
        <v>0.6</v>
      </c>
      <c r="E15" t="inlineStr">
        <is>
          <t>%</t>
        </is>
      </c>
      <c r="F15" t="inlineStr">
        <is>
          <t>Sticky costs before take-out</t>
        </is>
      </c>
    </row>
    <row r="16">
      <c r="A16" t="inlineStr">
        <is>
          <t>A13a</t>
        </is>
      </c>
      <c r="B16" t="inlineStr">
        <is>
          <t>CH_FULL</t>
        </is>
      </c>
      <c r="C16" t="inlineStr">
        <is>
          <t>Churn, full acquisition (base)</t>
        </is>
      </c>
      <c r="D16" s="8" t="n">
        <v>0.375</v>
      </c>
      <c r="E16" t="inlineStr">
        <is>
          <t>%</t>
        </is>
      </c>
      <c r="F16" t="inlineStr">
        <is>
          <t>Midpoint of case 30 to 45%</t>
        </is>
      </c>
    </row>
    <row r="17">
      <c r="A17" t="inlineStr">
        <is>
          <t>A13b</t>
        </is>
      </c>
      <c r="B17" t="inlineStr">
        <is>
          <t>CH_MIN</t>
        </is>
      </c>
      <c r="C17" t="inlineStr">
        <is>
          <t>Churn, 24.9% minority (base)</t>
        </is>
      </c>
      <c r="D17" s="8" t="n">
        <v>0.05</v>
      </c>
      <c r="E17" t="inlineStr">
        <is>
          <t>%</t>
        </is>
      </c>
      <c r="F17" t="inlineStr">
        <is>
          <t>Independence preserved; validated by client comfort CP</t>
        </is>
      </c>
    </row>
    <row r="18">
      <c r="A18" t="inlineStr">
        <is>
          <t>A13c</t>
        </is>
      </c>
      <c r="B18" t="inlineStr">
        <is>
          <t>CH_JV</t>
        </is>
      </c>
      <c r="C18" t="inlineStr">
        <is>
          <t>Churn, JV (base)</t>
        </is>
      </c>
      <c r="D18" s="8" t="n">
        <v>0.1</v>
      </c>
      <c r="E18" t="inlineStr">
        <is>
          <t>%</t>
        </is>
      </c>
      <c r="F18" t="inlineStr">
        <is>
          <t>Association without control</t>
        </is>
      </c>
    </row>
    <row r="19">
      <c r="A19" t="inlineStr">
        <is>
          <t>A14</t>
        </is>
      </c>
      <c r="B19" t="inlineStr">
        <is>
          <t>JV_DRAG</t>
        </is>
      </c>
      <c r="C19" t="inlineStr">
        <is>
          <t>Capital drag, JV (joint control)</t>
        </is>
      </c>
      <c r="D19" s="9" t="n">
        <v>375</v>
      </c>
      <c r="E19" t="inlineStr">
        <is>
          <t>₹ Cr/yr</t>
        </is>
      </c>
      <c r="F19" t="inlineStr">
        <is>
          <t>Drag proportional to ownership x control</t>
        </is>
      </c>
    </row>
    <row r="20">
      <c r="A20" t="inlineStr">
        <is>
          <t>A14b</t>
        </is>
      </c>
      <c r="B20" t="inlineStr">
        <is>
          <t>MIN_DRAG</t>
        </is>
      </c>
      <c r="C20" t="inlineStr">
        <is>
          <t>Capital drag, minority (base)</t>
        </is>
      </c>
      <c r="D20" s="9" t="n">
        <v>0</v>
      </c>
      <c r="E20" t="inlineStr">
        <is>
          <t>₹ Cr/yr</t>
        </is>
      </c>
      <c r="F20" t="inlineStr">
        <is>
          <t>Non-control; RBI comfort is a condition precedent. Stress: 187</t>
        </is>
      </c>
    </row>
    <row r="21">
      <c r="A21" t="inlineStr">
        <is>
          <t>A17</t>
        </is>
      </c>
      <c r="B21" t="inlineStr">
        <is>
          <t>GOV</t>
        </is>
      </c>
      <c r="C21" t="inlineStr">
        <is>
          <t>Standalone governance cost (full)</t>
        </is>
      </c>
      <c r="D21" s="9" t="n">
        <v>15</v>
      </c>
      <c r="E21" t="inlineStr">
        <is>
          <t>₹ Cr/yr</t>
        </is>
      </c>
      <c r="F21" t="inlineStr">
        <is>
          <t>Independent board, barriers, separate infra</t>
        </is>
      </c>
    </row>
    <row r="22">
      <c r="A22" t="inlineStr">
        <is>
          <t>A18</t>
        </is>
      </c>
      <c r="B22" t="inlineStr">
        <is>
          <t>PPA</t>
        </is>
      </c>
      <c r="C22" t="inlineStr">
        <is>
          <t>PPA intangible amortisation (full)</t>
        </is>
      </c>
      <c r="D22" s="9" t="n">
        <v>100</v>
      </c>
      <c r="E22" t="inlineStr">
        <is>
          <t>₹ Cr/yr</t>
        </is>
      </c>
      <c r="F22" t="inlineStr">
        <is>
          <t>₹1,000 Cr intangibles over 10 yrs (Ind AS 103)</t>
        </is>
      </c>
    </row>
    <row r="23">
      <c r="A23" t="inlineStr">
        <is>
          <t>A19</t>
        </is>
      </c>
      <c r="B23" t="inlineStr">
        <is>
          <t>TXN</t>
        </is>
      </c>
      <c r="C23" t="inlineStr">
        <is>
          <t>Transaction costs (full), expensed FY27</t>
        </is>
      </c>
      <c r="D23" s="9" t="n">
        <v>60</v>
      </c>
      <c r="E23" t="inlineStr">
        <is>
          <t>₹ Cr</t>
        </is>
      </c>
      <c r="F23" t="inlineStr">
        <is>
          <t>1.5% of deal value</t>
        </is>
      </c>
    </row>
    <row r="24">
      <c r="A24" t="inlineStr">
        <is>
          <t>A20</t>
        </is>
      </c>
      <c r="B24" t="inlineStr">
        <is>
          <t>BUILD</t>
        </is>
      </c>
      <c r="C24" t="inlineStr">
        <is>
          <t>Avoided in-house custody build</t>
        </is>
      </c>
      <c r="D24" s="9" t="n">
        <v>40</v>
      </c>
      <c r="E24" t="inlineStr">
        <is>
          <t>₹ Cr/yr</t>
        </is>
      </c>
      <c r="F24" t="inlineStr">
        <is>
          <t>Opex of a 3-yr MPC build</t>
        </is>
      </c>
    </row>
    <row r="25">
      <c r="A25" t="inlineStr">
        <is>
          <t>A21</t>
        </is>
      </c>
      <c r="B25" t="inlineStr">
        <is>
          <t>SYNM</t>
        </is>
      </c>
      <c r="C25" t="inlineStr">
        <is>
          <t>Margin on revenue synergy</t>
        </is>
      </c>
      <c r="D25" s="8" t="n">
        <v>0.4</v>
      </c>
      <c r="E25" t="inlineStr">
        <is>
          <t>%</t>
        </is>
      </c>
      <c r="F25" t="inlineStr">
        <is>
          <t>Tokenized settlement, e₹, cross-border B2B</t>
        </is>
      </c>
    </row>
    <row r="26">
      <c r="A26" t="inlineStr">
        <is>
          <t>A21b</t>
        </is>
      </c>
      <c r="B26" t="inlineStr">
        <is>
          <t>SG</t>
        </is>
      </c>
      <c r="C26" t="inlineStr">
        <is>
          <t>Terminal growth of synergies</t>
        </is>
      </c>
      <c r="D26" s="8" t="n">
        <v>0.05</v>
      </c>
      <c r="E26" t="inlineStr">
        <is>
          <t>%</t>
        </is>
      </c>
      <c r="F26" t="inlineStr">
        <is>
          <t>Conservative</t>
        </is>
      </c>
    </row>
    <row r="27">
      <c r="A27" t="inlineStr">
        <is>
          <t>A22</t>
        </is>
      </c>
      <c r="B27" t="inlineStr">
        <is>
          <t>SYN_RET</t>
        </is>
      </c>
      <c r="C27" t="inlineStr">
        <is>
          <t>Share of synergy retained via licence (minority)</t>
        </is>
      </c>
      <c r="D27" s="8" t="n">
        <v>0.7</v>
      </c>
      <c r="E27" t="inlineStr">
        <is>
          <t>%</t>
        </is>
      </c>
      <c r="F27" t="inlineStr">
        <is>
          <t>Licence captures operations, not growth economics</t>
        </is>
      </c>
    </row>
    <row r="28">
      <c r="A28" t="inlineStr">
        <is>
          <t>A23</t>
        </is>
      </c>
      <c r="B28" t="inlineStr">
        <is>
          <t>LIC</t>
        </is>
      </c>
      <c r="C28" t="inlineStr">
        <is>
          <t>Licence fee paid to Liminal</t>
        </is>
      </c>
      <c r="D28" s="9" t="n">
        <v>25</v>
      </c>
      <c r="E28" t="inlineStr">
        <is>
          <t>₹ Cr/yr</t>
        </is>
      </c>
      <c r="F28" t="inlineStr">
        <is>
          <t>Platform fee</t>
        </is>
      </c>
    </row>
    <row r="29">
      <c r="A29" t="inlineStr">
        <is>
          <t>A24a</t>
        </is>
      </c>
      <c r="B29" t="inlineStr">
        <is>
          <t>STAKE</t>
        </is>
      </c>
      <c r="C29" t="inlineStr">
        <is>
          <t>Minority stake (fully diluted)</t>
        </is>
      </c>
      <c r="D29" s="8" t="n">
        <v>0.249</v>
      </c>
      <c r="E29" t="inlineStr">
        <is>
          <t>%</t>
        </is>
      </c>
      <c r="F29" t="inlineStr">
        <is>
          <t>Below 25%: CCI, special-resolution and client-comfort line</t>
        </is>
      </c>
    </row>
    <row r="30">
      <c r="A30" t="inlineStr">
        <is>
          <t>A24b</t>
        </is>
      </c>
      <c r="B30" t="inlineStr">
        <is>
          <t>UP</t>
        </is>
      </c>
      <c r="C30" t="inlineStr">
        <is>
          <t>Upfront consideration</t>
        </is>
      </c>
      <c r="D30" s="9" t="n">
        <v>400</v>
      </c>
      <c r="E30" t="inlineStr">
        <is>
          <t>₹ Cr</t>
        </is>
      </c>
      <c r="F30" t="inlineStr">
        <is>
          <t>24.9% x weighted fair value, rounded down to ₹50 Cr</t>
        </is>
      </c>
    </row>
    <row r="31">
      <c r="A31" t="inlineStr">
        <is>
          <t>A24c</t>
        </is>
      </c>
      <c r="B31" t="inlineStr">
        <is>
          <t>PRIM</t>
        </is>
      </c>
      <c r="C31" t="inlineStr">
        <is>
          <t>of which primary (into Liminal)</t>
        </is>
      </c>
      <c r="D31" s="9" t="n">
        <v>250</v>
      </c>
      <c r="E31" t="inlineStr">
        <is>
          <t>₹ Cr</t>
        </is>
      </c>
      <c r="F31" t="inlineStr">
        <is>
          <t>Growth capital</t>
        </is>
      </c>
    </row>
    <row r="32">
      <c r="A32" t="inlineStr">
        <is>
          <t>A24d</t>
        </is>
      </c>
      <c r="B32" t="inlineStr">
        <is>
          <t>EO</t>
        </is>
      </c>
      <c r="C32" t="inlineStr">
        <is>
          <t>Tranche 2 maximum</t>
        </is>
      </c>
      <c r="D32" s="9" t="n">
        <v>600</v>
      </c>
      <c r="E32" t="inlineStr">
        <is>
          <t>₹ Cr</t>
        </is>
      </c>
      <c r="F32" t="inlineStr">
        <is>
          <t>Keeps ₹4,016 Cr headline for delivered ARR only</t>
        </is>
      </c>
    </row>
    <row r="33">
      <c r="A33" t="inlineStr">
        <is>
          <t>A24e</t>
        </is>
      </c>
      <c r="B33" t="inlineStr">
        <is>
          <t>EO_LO</t>
        </is>
      </c>
      <c r="C33" t="inlineStr">
        <is>
          <t>Tranche 2 floor: FY29 ARR</t>
        </is>
      </c>
      <c r="D33" s="9" t="n">
        <v>500</v>
      </c>
      <c r="E33" t="inlineStr">
        <is>
          <t>₹ Cr</t>
        </is>
      </c>
      <c r="F33" t="inlineStr">
        <is>
          <t>Nothing paid at or below</t>
        </is>
      </c>
    </row>
    <row r="34">
      <c r="A34" t="inlineStr">
        <is>
          <t>A24f</t>
        </is>
      </c>
      <c r="B34" t="inlineStr">
        <is>
          <t>EO_HI</t>
        </is>
      </c>
      <c r="C34" t="inlineStr">
        <is>
          <t>Tranche 2 full: FY29 ARR</t>
        </is>
      </c>
      <c r="D34" s="9" t="n">
        <v>650</v>
      </c>
      <c r="E34" t="inlineStr">
        <is>
          <t>₹ Cr</t>
        </is>
      </c>
      <c r="F34" t="inlineStr">
        <is>
          <t>Full ₹400 Cr at or above</t>
        </is>
      </c>
    </row>
    <row r="35">
      <c r="A35" t="inlineStr">
        <is>
          <t>A25a</t>
        </is>
      </c>
      <c r="B35" t="inlineStr">
        <is>
          <t>JV_CASH</t>
        </is>
      </c>
      <c r="C35" t="inlineStr">
        <is>
          <t>JV: Paytm cash contribution</t>
        </is>
      </c>
      <c r="D35" s="9" t="n">
        <v>400</v>
      </c>
      <c r="E35" t="inlineStr">
        <is>
          <t>₹ Cr</t>
        </is>
      </c>
      <c r="F35" t="inlineStr">
        <is>
          <t>50:50 SettleCo</t>
        </is>
      </c>
    </row>
    <row r="36">
      <c r="A36" t="inlineStr">
        <is>
          <t>A25b</t>
        </is>
      </c>
      <c r="B36" t="inlineStr">
        <is>
          <t>JV_SETUP</t>
        </is>
      </c>
      <c r="C36" t="inlineStr">
        <is>
          <t>JV set-up opex (first 2 yrs)</t>
        </is>
      </c>
      <c r="D36" s="9" t="n">
        <v>40</v>
      </c>
      <c r="E36" t="inlineStr">
        <is>
          <t>₹ Cr/yr</t>
        </is>
      </c>
      <c r="F36" t="inlineStr">
        <is>
          <t>New entity build</t>
        </is>
      </c>
    </row>
    <row r="37">
      <c r="A37" t="inlineStr">
        <is>
          <t>A26a</t>
        </is>
      </c>
      <c r="B37" t="inlineStr">
        <is>
          <t>P_BEAR</t>
        </is>
      </c>
      <c r="C37" t="inlineStr">
        <is>
          <t>Probability: bear</t>
        </is>
      </c>
      <c r="D37" s="8" t="n">
        <v>0.25</v>
      </c>
      <c r="E37" t="inlineStr">
        <is>
          <t>%</t>
        </is>
      </c>
      <c r="F37" t="inlineStr"/>
    </row>
    <row r="38">
      <c r="A38" t="inlineStr">
        <is>
          <t>A26b</t>
        </is>
      </c>
      <c r="B38" t="inlineStr">
        <is>
          <t>P_BASE</t>
        </is>
      </c>
      <c r="C38" t="inlineStr">
        <is>
          <t>Probability: base</t>
        </is>
      </c>
      <c r="D38" s="8" t="n">
        <v>0.5</v>
      </c>
      <c r="E38" t="inlineStr">
        <is>
          <t>%</t>
        </is>
      </c>
      <c r="F38" t="inlineStr"/>
    </row>
    <row r="39">
      <c r="A39" t="inlineStr">
        <is>
          <t>A26c</t>
        </is>
      </c>
      <c r="B39" t="inlineStr">
        <is>
          <t>P_BULL</t>
        </is>
      </c>
      <c r="C39" t="inlineStr">
        <is>
          <t>Probability: bull</t>
        </is>
      </c>
      <c r="D39" s="8" t="n">
        <v>0.25</v>
      </c>
      <c r="E39" t="inlineStr">
        <is>
          <t>%</t>
        </is>
      </c>
      <c r="F39" t="inlineStr"/>
    </row>
    <row r="40">
      <c r="A40" t="inlineStr">
        <is>
          <t>A29</t>
        </is>
      </c>
      <c r="B40" t="inlineStr">
        <is>
          <t>BREAK_FEE</t>
        </is>
      </c>
      <c r="C40" t="inlineStr">
        <is>
          <t>Reverse break fee</t>
        </is>
      </c>
      <c r="D40" s="9" t="n">
        <v>30</v>
      </c>
      <c r="E40" t="inlineStr">
        <is>
          <t>₹ Cr</t>
        </is>
      </c>
      <c r="F40" t="inlineStr">
        <is>
          <t>Paid by Paytm only if Paytm walks without a CP failure</t>
        </is>
      </c>
    </row>
    <row r="41">
      <c r="C41" t="inlineStr">
        <is>
          <t>Derived: Paytm share price (A01)</t>
        </is>
      </c>
      <c r="D41" s="10">
        <f>Case_Inputs!$C$5/Case_Inputs!$C$6</f>
        <v/>
      </c>
    </row>
    <row r="42">
      <c r="C42" t="inlineStr">
        <is>
          <t>Derived: MDR-adjusted standalone EPS</t>
        </is>
      </c>
      <c r="D42" s="11">
        <f>(Case_Inputs!$C$11+Case_Inputs!$C$19*(1-Assumptions!$D$5))/Case_Inputs!$C$6</f>
        <v/>
      </c>
    </row>
    <row r="43">
      <c r="C43" t="inlineStr">
        <is>
          <t>Derived: PV of avoided build</t>
        </is>
      </c>
      <c r="D43" s="12">
        <f>Assumptions!$D$24*(1-Assumptions!$D$5)/Assumptions!$D$9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Scenario paths (team assumptions A10, A21)</t>
        </is>
      </c>
    </row>
    <row r="2">
      <c r="A2" s="2" t="inlineStr">
        <is>
          <t>Liminal revenue growth, EBITDA margin and Paytm revenue synergy by year</t>
        </is>
      </c>
    </row>
    <row r="4">
      <c r="A4" s="4" t="inlineStr">
        <is>
          <t>Liminal revenue growth</t>
        </is>
      </c>
      <c r="B4" s="4" t="inlineStr">
        <is>
          <t>Scenario</t>
        </is>
      </c>
      <c r="C4" s="4" t="inlineStr">
        <is>
          <t>FY27</t>
        </is>
      </c>
      <c r="D4" s="4" t="inlineStr">
        <is>
          <t>FY28</t>
        </is>
      </c>
      <c r="E4" s="4" t="inlineStr">
        <is>
          <t>FY29</t>
        </is>
      </c>
      <c r="F4" s="4" t="inlineStr">
        <is>
          <t>FY30</t>
        </is>
      </c>
      <c r="G4" s="4" t="inlineStr">
        <is>
          <t>FY31</t>
        </is>
      </c>
      <c r="H4" s="4" t="inlineStr">
        <is>
          <t>FY32</t>
        </is>
      </c>
      <c r="I4" s="4" t="inlineStr">
        <is>
          <t>FY33</t>
        </is>
      </c>
      <c r="J4" s="4" t="inlineStr">
        <is>
          <t>FY34</t>
        </is>
      </c>
      <c r="K4" s="4" t="inlineStr">
        <is>
          <t>FY35</t>
        </is>
      </c>
      <c r="L4" s="4" t="inlineStr">
        <is>
          <t>FY36</t>
        </is>
      </c>
    </row>
    <row r="5">
      <c r="B5" t="inlineStr">
        <is>
          <t>bear</t>
        </is>
      </c>
      <c r="C5" s="8" t="n">
        <v>0.22</v>
      </c>
      <c r="D5" s="8" t="n">
        <v>0.2</v>
      </c>
      <c r="E5" s="8" t="n">
        <v>0.18</v>
      </c>
      <c r="F5" s="8" t="n">
        <v>0.16</v>
      </c>
      <c r="G5" s="8" t="n">
        <v>0.14</v>
      </c>
      <c r="H5" s="8" t="n">
        <v>0.12</v>
      </c>
      <c r="I5" s="8" t="n">
        <v>0.11</v>
      </c>
      <c r="J5" s="8" t="n">
        <v>0.1</v>
      </c>
      <c r="K5" s="8" t="n">
        <v>0.09</v>
      </c>
      <c r="L5" s="8" t="n">
        <v>0.08</v>
      </c>
    </row>
    <row r="6">
      <c r="B6" t="inlineStr">
        <is>
          <t>base</t>
        </is>
      </c>
      <c r="C6" s="8" t="n">
        <v>0.35</v>
      </c>
      <c r="D6" s="8" t="n">
        <v>0.32</v>
      </c>
      <c r="E6" s="8" t="n">
        <v>0.28</v>
      </c>
      <c r="F6" s="8" t="n">
        <v>0.25</v>
      </c>
      <c r="G6" s="8" t="n">
        <v>0.22</v>
      </c>
      <c r="H6" s="8" t="n">
        <v>0.2</v>
      </c>
      <c r="I6" s="8" t="n">
        <v>0.18</v>
      </c>
      <c r="J6" s="8" t="n">
        <v>0.16</v>
      </c>
      <c r="K6" s="8" t="n">
        <v>0.14</v>
      </c>
      <c r="L6" s="8" t="n">
        <v>0.12</v>
      </c>
    </row>
    <row r="7">
      <c r="B7" t="inlineStr">
        <is>
          <t>bull</t>
        </is>
      </c>
      <c r="C7" s="8" t="n">
        <v>0.5</v>
      </c>
      <c r="D7" s="8" t="n">
        <v>0.45</v>
      </c>
      <c r="E7" s="8" t="n">
        <v>0.38</v>
      </c>
      <c r="F7" s="8" t="n">
        <v>0.32</v>
      </c>
      <c r="G7" s="8" t="n">
        <v>0.27</v>
      </c>
      <c r="H7" s="8" t="n">
        <v>0.23</v>
      </c>
      <c r="I7" s="8" t="n">
        <v>0.2</v>
      </c>
      <c r="J7" s="8" t="n">
        <v>0.17</v>
      </c>
      <c r="K7" s="8" t="n">
        <v>0.15</v>
      </c>
      <c r="L7" s="8" t="n">
        <v>0.13</v>
      </c>
    </row>
    <row r="9">
      <c r="A9" s="4" t="inlineStr">
        <is>
          <t>Liminal EBITDA margin</t>
        </is>
      </c>
      <c r="B9" s="4" t="inlineStr">
        <is>
          <t>Scenario</t>
        </is>
      </c>
      <c r="C9" s="4" t="inlineStr">
        <is>
          <t>FY27</t>
        </is>
      </c>
      <c r="D9" s="4" t="inlineStr">
        <is>
          <t>FY28</t>
        </is>
      </c>
      <c r="E9" s="4" t="inlineStr">
        <is>
          <t>FY29</t>
        </is>
      </c>
      <c r="F9" s="4" t="inlineStr">
        <is>
          <t>FY30</t>
        </is>
      </c>
      <c r="G9" s="4" t="inlineStr">
        <is>
          <t>FY31</t>
        </is>
      </c>
      <c r="H9" s="4" t="inlineStr">
        <is>
          <t>FY32</t>
        </is>
      </c>
      <c r="I9" s="4" t="inlineStr">
        <is>
          <t>FY33</t>
        </is>
      </c>
      <c r="J9" s="4" t="inlineStr">
        <is>
          <t>FY34</t>
        </is>
      </c>
      <c r="K9" s="4" t="inlineStr">
        <is>
          <t>FY35</t>
        </is>
      </c>
      <c r="L9" s="4" t="inlineStr">
        <is>
          <t>FY36</t>
        </is>
      </c>
    </row>
    <row r="10">
      <c r="B10" t="inlineStr">
        <is>
          <t>bear</t>
        </is>
      </c>
      <c r="C10" s="8" t="n">
        <v>0.04</v>
      </c>
      <c r="D10" s="8" t="n">
        <v>0.09</v>
      </c>
      <c r="E10" s="8" t="n">
        <v>0.13</v>
      </c>
      <c r="F10" s="8" t="n">
        <v>0.17</v>
      </c>
      <c r="G10" s="8" t="n">
        <v>0.2</v>
      </c>
      <c r="H10" s="8" t="n">
        <v>0.22</v>
      </c>
      <c r="I10" s="8" t="n">
        <v>0.23</v>
      </c>
      <c r="J10" s="8" t="n">
        <v>0.24</v>
      </c>
      <c r="K10" s="8" t="n">
        <v>0.25</v>
      </c>
      <c r="L10" s="8" t="n">
        <v>0.25</v>
      </c>
    </row>
    <row r="11">
      <c r="B11" t="inlineStr">
        <is>
          <t>base</t>
        </is>
      </c>
      <c r="C11" s="8" t="n">
        <v>0.08</v>
      </c>
      <c r="D11" s="8" t="n">
        <v>0.16</v>
      </c>
      <c r="E11" s="8" t="n">
        <v>0.23</v>
      </c>
      <c r="F11" s="8" t="n">
        <v>0.29</v>
      </c>
      <c r="G11" s="8" t="n">
        <v>0.33</v>
      </c>
      <c r="H11" s="8" t="n">
        <v>0.36</v>
      </c>
      <c r="I11" s="8" t="n">
        <v>0.37</v>
      </c>
      <c r="J11" s="8" t="n">
        <v>0.38</v>
      </c>
      <c r="K11" s="8" t="n">
        <v>0.38</v>
      </c>
      <c r="L11" s="8" t="n">
        <v>0.38</v>
      </c>
    </row>
    <row r="12">
      <c r="B12" t="inlineStr">
        <is>
          <t>bull</t>
        </is>
      </c>
      <c r="C12" s="8" t="n">
        <v>0.1</v>
      </c>
      <c r="D12" s="8" t="n">
        <v>0.2</v>
      </c>
      <c r="E12" s="8" t="n">
        <v>0.28</v>
      </c>
      <c r="F12" s="8" t="n">
        <v>0.34</v>
      </c>
      <c r="G12" s="8" t="n">
        <v>0.38</v>
      </c>
      <c r="H12" s="8" t="n">
        <v>0.4</v>
      </c>
      <c r="I12" s="8" t="n">
        <v>0.41</v>
      </c>
      <c r="J12" s="8" t="n">
        <v>0.42</v>
      </c>
      <c r="K12" s="8" t="n">
        <v>0.42</v>
      </c>
      <c r="L12" s="8" t="n">
        <v>0.42</v>
      </c>
    </row>
    <row r="14">
      <c r="A14" s="4" t="inlineStr">
        <is>
          <t>Revenue synergy to Paytm (₹ Cr)</t>
        </is>
      </c>
      <c r="B14" s="4" t="inlineStr">
        <is>
          <t>Scenario</t>
        </is>
      </c>
      <c r="C14" s="4" t="inlineStr">
        <is>
          <t>FY27</t>
        </is>
      </c>
      <c r="D14" s="4" t="inlineStr">
        <is>
          <t>FY28</t>
        </is>
      </c>
      <c r="E14" s="4" t="inlineStr">
        <is>
          <t>FY29</t>
        </is>
      </c>
      <c r="F14" s="4" t="inlineStr">
        <is>
          <t>FY30</t>
        </is>
      </c>
      <c r="G14" s="4" t="inlineStr">
        <is>
          <t>FY31</t>
        </is>
      </c>
      <c r="H14" s="4" t="inlineStr">
        <is>
          <t>FY32</t>
        </is>
      </c>
      <c r="I14" s="4" t="inlineStr">
        <is>
          <t>FY33</t>
        </is>
      </c>
      <c r="J14" s="4" t="inlineStr">
        <is>
          <t>FY34</t>
        </is>
      </c>
      <c r="K14" s="4" t="inlineStr">
        <is>
          <t>FY35</t>
        </is>
      </c>
      <c r="L14" s="4" t="inlineStr">
        <is>
          <t>FY36</t>
        </is>
      </c>
    </row>
    <row r="15">
      <c r="B15" t="inlineStr">
        <is>
          <t>bear</t>
        </is>
      </c>
      <c r="C15" s="9" t="n">
        <v>0</v>
      </c>
      <c r="D15" s="9" t="n">
        <v>0</v>
      </c>
      <c r="E15" s="9" t="n">
        <v>10</v>
      </c>
      <c r="F15" s="9" t="n">
        <v>20</v>
      </c>
      <c r="G15" s="9" t="n">
        <v>30</v>
      </c>
      <c r="H15" s="9" t="n">
        <v>40</v>
      </c>
      <c r="I15" s="9" t="n">
        <v>45</v>
      </c>
      <c r="J15" s="9" t="n">
        <v>50</v>
      </c>
      <c r="K15" s="9" t="n">
        <v>55</v>
      </c>
      <c r="L15" s="9" t="n">
        <v>60</v>
      </c>
    </row>
    <row r="16">
      <c r="B16" t="inlineStr">
        <is>
          <t>base</t>
        </is>
      </c>
      <c r="C16" s="9" t="n">
        <v>0</v>
      </c>
      <c r="D16" s="9" t="n">
        <v>10</v>
      </c>
      <c r="E16" s="9" t="n">
        <v>30</v>
      </c>
      <c r="F16" s="9" t="n">
        <v>55</v>
      </c>
      <c r="G16" s="9" t="n">
        <v>85</v>
      </c>
      <c r="H16" s="9" t="n">
        <v>110</v>
      </c>
      <c r="I16" s="9" t="n">
        <v>130</v>
      </c>
      <c r="J16" s="9" t="n">
        <v>145</v>
      </c>
      <c r="K16" s="9" t="n">
        <v>155</v>
      </c>
      <c r="L16" s="9" t="n">
        <v>165</v>
      </c>
    </row>
    <row r="17">
      <c r="B17" t="inlineStr">
        <is>
          <t>bull</t>
        </is>
      </c>
      <c r="C17" s="9" t="n">
        <v>0</v>
      </c>
      <c r="D17" s="9" t="n">
        <v>20</v>
      </c>
      <c r="E17" s="9" t="n">
        <v>50</v>
      </c>
      <c r="F17" s="9" t="n">
        <v>90</v>
      </c>
      <c r="G17" s="9" t="n">
        <v>130</v>
      </c>
      <c r="H17" s="9" t="n">
        <v>170</v>
      </c>
      <c r="I17" s="9" t="n">
        <v>200</v>
      </c>
      <c r="J17" s="9" t="n">
        <v>225</v>
      </c>
      <c r="K17" s="9" t="n">
        <v>245</v>
      </c>
      <c r="L17" s="9" t="n">
        <v>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</cols>
  <sheetData>
    <row r="1">
      <c r="A1" s="1" t="inlineStr">
        <is>
          <t>Paytm baseline on case facts</t>
        </is>
      </c>
    </row>
    <row r="2">
      <c r="A2" s="2" t="inlineStr">
        <is>
          <t>Valuation premium, MDR effect, scale of the capital drag</t>
        </is>
      </c>
    </row>
    <row r="3">
      <c r="A3" s="4" t="inlineStr">
        <is>
          <t>Metric</t>
        </is>
      </c>
      <c r="B3" s="4" t="inlineStr">
        <is>
          <t>Value</t>
        </is>
      </c>
    </row>
    <row r="4">
      <c r="A4" t="inlineStr">
        <is>
          <t>Share price (₹)</t>
        </is>
      </c>
      <c r="B4" s="10">
        <f>Assumptions!$D$41</f>
        <v/>
      </c>
    </row>
    <row r="5">
      <c r="A5" t="inlineStr">
        <is>
          <t>Enterprise value</t>
        </is>
      </c>
      <c r="B5" s="12">
        <f>Case_Inputs!$C$5-Case_Inputs!$C$7+Case_Inputs!$C$8</f>
        <v/>
      </c>
    </row>
    <row r="6">
      <c r="A6" t="inlineStr">
        <is>
          <t>P/E (x)</t>
        </is>
      </c>
      <c r="B6" s="13">
        <f>Assumptions!$D$41/Case_Inputs!$C$12</f>
        <v/>
      </c>
    </row>
    <row r="7">
      <c r="A7" t="inlineStr">
        <is>
          <t>EV/Revenue (x)</t>
        </is>
      </c>
      <c r="B7" s="10">
        <f>B5/Case_Inputs!$C$9</f>
        <v/>
      </c>
    </row>
    <row r="8">
      <c r="A8" t="inlineStr">
        <is>
          <t>EV/EBITDA (x)</t>
        </is>
      </c>
      <c r="B8" s="13">
        <f>B5/Case_Inputs!$C$10</f>
        <v/>
      </c>
    </row>
    <row r="9">
      <c r="A9" t="inlineStr">
        <is>
          <t>EBITDA margin</t>
        </is>
      </c>
      <c r="B9" s="14">
        <f>Case_Inputs!$C$10/Case_Inputs!$C$9</f>
        <v/>
      </c>
    </row>
    <row r="10">
      <c r="A10" t="inlineStr">
        <is>
          <t>Deal value / ARR (x)</t>
        </is>
      </c>
      <c r="B10" s="10">
        <f>Case_Inputs!$C$13/Case_Inputs!$C$16</f>
        <v/>
      </c>
    </row>
    <row r="11">
      <c r="A11" t="inlineStr">
        <is>
          <t>MDR post-tax</t>
        </is>
      </c>
      <c r="B11" s="10">
        <f>Case_Inputs!$C$19*(1-Assumptions!$D$5)</f>
        <v/>
      </c>
    </row>
    <row r="12">
      <c r="A12" t="inlineStr">
        <is>
          <t>EPS with MDR, no deal (₹)</t>
        </is>
      </c>
      <c r="B12" s="11">
        <f>Assumptions!$D$42</f>
        <v/>
      </c>
    </row>
    <row r="13">
      <c r="A13" t="inlineStr">
        <is>
          <t>MDR uplift to EPS</t>
        </is>
      </c>
      <c r="B13" s="14">
        <f>Assumptions!$D$42/Case_Inputs!$C$12-1</f>
        <v/>
      </c>
    </row>
    <row r="14">
      <c r="A14" t="inlineStr">
        <is>
          <t>MDR offset of drag, pre-tax</t>
        </is>
      </c>
      <c r="B14" s="14">
        <f>Case_Inputs!$C$19/Case_Inputs!$C$18</f>
        <v/>
      </c>
    </row>
    <row r="15">
      <c r="A15" t="inlineStr">
        <is>
          <t>MDR offset of drag, post-tax</t>
        </is>
      </c>
      <c r="B15" s="14">
        <f>B11/Case_Inputs!$C$18</f>
        <v/>
      </c>
    </row>
    <row r="16">
      <c r="A16" t="inlineStr">
        <is>
          <t>Drag / Liminal ARR (x)</t>
        </is>
      </c>
      <c r="B16" s="10">
        <f>Case_Inputs!$C$18/Case_Inputs!$C$16</f>
        <v/>
      </c>
    </row>
    <row r="17">
      <c r="A17" t="inlineStr">
        <is>
          <t>Drag / Paytm PAT</t>
        </is>
      </c>
      <c r="B17" s="14">
        <f>Case_Inputs!$C$18/Case_Inputs!$C$11</f>
        <v/>
      </c>
    </row>
    <row r="18">
      <c r="A18" t="inlineStr">
        <is>
          <t>Top-4 client ARR</t>
        </is>
      </c>
      <c r="B18" s="12">
        <f>Case_Inputs!$C$16*Case_Inputs!$C$17</f>
        <v/>
      </c>
    </row>
    <row r="19">
      <c r="A19" t="inlineStr">
        <is>
          <t>Earnings yield</t>
        </is>
      </c>
      <c r="B19" s="15">
        <f>Case_Inputs!$C$12/Assumptions!$D$41</f>
        <v/>
      </c>
    </row>
    <row r="20">
      <c r="A20" t="inlineStr">
        <is>
          <t>Post-tax cash yield</t>
        </is>
      </c>
      <c r="B20" s="15">
        <f>Assumptions!$D$6*(1-Assumptions!$D$5)</f>
        <v/>
      </c>
    </row>
    <row r="21">
      <c r="A21" t="inlineStr">
        <is>
          <t>Buyback of ₹2,100 Cr: shares retired (Cr)</t>
        </is>
      </c>
      <c r="B21" s="11">
        <f>Case_Inputs!$C$14/Assumptions!$D$41</f>
        <v/>
      </c>
    </row>
    <row r="22">
      <c r="A22" t="inlineStr">
        <is>
          <t>Buyback EPS (₹)</t>
        </is>
      </c>
      <c r="B22" s="11">
        <f>(Case_Inputs!$C$11-Case_Inputs!$C$14*Assumptions!$D$6*(1-Assumptions!$D$5))/(Case_Inputs!$C$6-B21)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Liminal standalone DCF by scenario (discount rate A08, terminal growth A09)</t>
        </is>
      </c>
    </row>
    <row r="2">
      <c r="A2" s="16" t="inlineStr">
        <is>
          <t>Scenario</t>
        </is>
      </c>
      <c r="B2" s="17" t="inlineStr">
        <is>
          <t>bear</t>
        </is>
      </c>
    </row>
    <row r="3">
      <c r="A3" s="16" t="inlineStr">
        <is>
          <t>Churn applied</t>
        </is>
      </c>
      <c r="B3" s="8" t="n">
        <v>0</v>
      </c>
    </row>
    <row r="5">
      <c r="A5" s="4" t="inlineStr">
        <is>
          <t>Liminal (standalone)</t>
        </is>
      </c>
      <c r="B5" s="4" t="inlineStr">
        <is>
          <t>FY26</t>
        </is>
      </c>
      <c r="C5" s="4" t="inlineStr">
        <is>
          <t>FY27</t>
        </is>
      </c>
      <c r="D5" s="4" t="inlineStr">
        <is>
          <t>FY28</t>
        </is>
      </c>
      <c r="E5" s="4" t="inlineStr">
        <is>
          <t>FY29</t>
        </is>
      </c>
      <c r="F5" s="4" t="inlineStr">
        <is>
          <t>FY30</t>
        </is>
      </c>
      <c r="G5" s="4" t="inlineStr">
        <is>
          <t>FY31</t>
        </is>
      </c>
      <c r="H5" s="4" t="inlineStr">
        <is>
          <t>FY32</t>
        </is>
      </c>
      <c r="I5" s="4" t="inlineStr">
        <is>
          <t>FY33</t>
        </is>
      </c>
      <c r="J5" s="4" t="inlineStr">
        <is>
          <t>FY34</t>
        </is>
      </c>
      <c r="K5" s="4" t="inlineStr">
        <is>
          <t>FY35</t>
        </is>
      </c>
      <c r="L5" s="4" t="inlineStr">
        <is>
          <t>FY36</t>
        </is>
      </c>
    </row>
    <row r="6">
      <c r="A6" t="inlineStr">
        <is>
          <t>Growth</t>
        </is>
      </c>
      <c r="C6" s="14">
        <f>INDEX(Scenario_Paths!C$5:C$7,MATCH($B$2,Scenario_Paths!$B$5:$B$7,0))</f>
        <v/>
      </c>
      <c r="D6" s="14">
        <f>INDEX(Scenario_Paths!D$5:D$7,MATCH($B$2,Scenario_Paths!$B$5:$B$7,0))</f>
        <v/>
      </c>
      <c r="E6" s="14">
        <f>INDEX(Scenario_Paths!E$5:E$7,MATCH($B$2,Scenario_Paths!$B$5:$B$7,0))</f>
        <v/>
      </c>
      <c r="F6" s="14">
        <f>INDEX(Scenario_Paths!F$5:F$7,MATCH($B$2,Scenario_Paths!$B$5:$B$7,0))</f>
        <v/>
      </c>
      <c r="G6" s="14">
        <f>INDEX(Scenario_Paths!G$5:G$7,MATCH($B$2,Scenario_Paths!$B$5:$B$7,0))</f>
        <v/>
      </c>
      <c r="H6" s="14">
        <f>INDEX(Scenario_Paths!H$5:H$7,MATCH($B$2,Scenario_Paths!$B$5:$B$7,0))</f>
        <v/>
      </c>
      <c r="I6" s="14">
        <f>INDEX(Scenario_Paths!I$5:I$7,MATCH($B$2,Scenario_Paths!$B$5:$B$7,0))</f>
        <v/>
      </c>
      <c r="J6" s="14">
        <f>INDEX(Scenario_Paths!J$5:J$7,MATCH($B$2,Scenario_Paths!$B$5:$B$7,0))</f>
        <v/>
      </c>
      <c r="K6" s="14">
        <f>INDEX(Scenario_Paths!K$5:K$7,MATCH($B$2,Scenario_Paths!$B$5:$B$7,0))</f>
        <v/>
      </c>
      <c r="L6" s="14">
        <f>INDEX(Scenario_Paths!L$5:L$7,MATCH($B$2,Scenario_Paths!$B$5:$B$7,0))</f>
        <v/>
      </c>
    </row>
    <row r="7">
      <c r="A7" t="inlineStr">
        <is>
          <t>Margin</t>
        </is>
      </c>
      <c r="C7" s="14">
        <f>INDEX(Scenario_Paths!C$10:C$12,MATCH($B$2,Scenario_Paths!$B$10:$B$12,0))</f>
        <v/>
      </c>
      <c r="D7" s="14">
        <f>INDEX(Scenario_Paths!D$10:D$12,MATCH($B$2,Scenario_Paths!$B$10:$B$12,0))</f>
        <v/>
      </c>
      <c r="E7" s="14">
        <f>INDEX(Scenario_Paths!E$10:E$12,MATCH($B$2,Scenario_Paths!$B$10:$B$12,0))</f>
        <v/>
      </c>
      <c r="F7" s="14">
        <f>INDEX(Scenario_Paths!F$10:F$12,MATCH($B$2,Scenario_Paths!$B$10:$B$12,0))</f>
        <v/>
      </c>
      <c r="G7" s="14">
        <f>INDEX(Scenario_Paths!G$10:G$12,MATCH($B$2,Scenario_Paths!$B$10:$B$12,0))</f>
        <v/>
      </c>
      <c r="H7" s="14">
        <f>INDEX(Scenario_Paths!H$10:H$12,MATCH($B$2,Scenario_Paths!$B$10:$B$12,0))</f>
        <v/>
      </c>
      <c r="I7" s="14">
        <f>INDEX(Scenario_Paths!I$10:I$12,MATCH($B$2,Scenario_Paths!$B$10:$B$12,0))</f>
        <v/>
      </c>
      <c r="J7" s="14">
        <f>INDEX(Scenario_Paths!J$10:J$12,MATCH($B$2,Scenario_Paths!$B$10:$B$12,0))</f>
        <v/>
      </c>
      <c r="K7" s="14">
        <f>INDEX(Scenario_Paths!K$10:K$12,MATCH($B$2,Scenario_Paths!$B$10:$B$12,0))</f>
        <v/>
      </c>
      <c r="L7" s="14">
        <f>INDEX(Scenario_Paths!L$10:L$12,MATCH($B$2,Scenario_Paths!$B$10:$B$12,0))</f>
        <v/>
      </c>
    </row>
    <row r="8">
      <c r="A8" t="inlineStr">
        <is>
          <t>Revenue</t>
        </is>
      </c>
      <c r="B8" s="13">
        <f>Case_Inputs!$C$16*(1-$B$3)</f>
        <v/>
      </c>
      <c r="C8" s="13">
        <f>B8*(1+C6)</f>
        <v/>
      </c>
      <c r="D8" s="13">
        <f>C8*(1+D6)</f>
        <v/>
      </c>
      <c r="E8" s="13">
        <f>D8*(1+E6)</f>
        <v/>
      </c>
      <c r="F8" s="13">
        <f>E8*(1+F6)</f>
        <v/>
      </c>
      <c r="G8" s="13">
        <f>F8*(1+G6)</f>
        <v/>
      </c>
      <c r="H8" s="13">
        <f>G8*(1+H6)</f>
        <v/>
      </c>
      <c r="I8" s="13">
        <f>H8*(1+I6)</f>
        <v/>
      </c>
      <c r="J8" s="13">
        <f>I8*(1+J6)</f>
        <v/>
      </c>
      <c r="K8" s="13">
        <f>J8*(1+K6)</f>
        <v/>
      </c>
      <c r="L8" s="13">
        <f>K8*(1+L6)</f>
        <v/>
      </c>
    </row>
    <row r="9">
      <c r="A9" t="inlineStr">
        <is>
          <t>Sticky cost of churned ARR (col B = churned ARR base)</t>
        </is>
      </c>
      <c r="B9" s="13">
        <f>Case_Inputs!$C$16*$B$3*(1+C6)</f>
        <v/>
      </c>
      <c r="C9" s="13">
        <f>$B$9*Assumptions!$D$15</f>
        <v/>
      </c>
      <c r="D9" s="13">
        <f>$B$9*Assumptions!$D$15*0.5</f>
        <v/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0</v>
      </c>
    </row>
    <row r="10">
      <c r="A10" t="inlineStr">
        <is>
          <t>EBITDA</t>
        </is>
      </c>
      <c r="C10" s="13">
        <f>C8*C7-C9</f>
        <v/>
      </c>
      <c r="D10" s="13">
        <f>D8*D7-D9</f>
        <v/>
      </c>
      <c r="E10" s="13">
        <f>E8*E7-E9</f>
        <v/>
      </c>
      <c r="F10" s="13">
        <f>F8*F7-F9</f>
        <v/>
      </c>
      <c r="G10" s="13">
        <f>G8*G7-G9</f>
        <v/>
      </c>
      <c r="H10" s="13">
        <f>H8*H7-H9</f>
        <v/>
      </c>
      <c r="I10" s="13">
        <f>I8*I7-I9</f>
        <v/>
      </c>
      <c r="J10" s="13">
        <f>J8*J7-J9</f>
        <v/>
      </c>
      <c r="K10" s="13">
        <f>K8*K7-K9</f>
        <v/>
      </c>
      <c r="L10" s="13">
        <f>L8*L7-L9</f>
        <v/>
      </c>
    </row>
    <row r="11">
      <c r="A11" t="inlineStr">
        <is>
          <t>D&amp;A</t>
        </is>
      </c>
      <c r="C11" s="13">
        <f>Assumptions!$D$12*C8</f>
        <v/>
      </c>
      <c r="D11" s="13">
        <f>Assumptions!$D$12*D8</f>
        <v/>
      </c>
      <c r="E11" s="13">
        <f>Assumptions!$D$12*E8</f>
        <v/>
      </c>
      <c r="F11" s="13">
        <f>Assumptions!$D$12*F8</f>
        <v/>
      </c>
      <c r="G11" s="13">
        <f>Assumptions!$D$12*G8</f>
        <v/>
      </c>
      <c r="H11" s="13">
        <f>Assumptions!$D$12*H8</f>
        <v/>
      </c>
      <c r="I11" s="13">
        <f>Assumptions!$D$12*I8</f>
        <v/>
      </c>
      <c r="J11" s="13">
        <f>Assumptions!$D$12*J8</f>
        <v/>
      </c>
      <c r="K11" s="13">
        <f>Assumptions!$D$12*K8</f>
        <v/>
      </c>
      <c r="L11" s="13">
        <f>Assumptions!$D$12*L8</f>
        <v/>
      </c>
    </row>
    <row r="12">
      <c r="A12" t="inlineStr">
        <is>
          <t>EBIT</t>
        </is>
      </c>
      <c r="C12" s="13">
        <f>C10-C11</f>
        <v/>
      </c>
      <c r="D12" s="13">
        <f>D10-D11</f>
        <v/>
      </c>
      <c r="E12" s="13">
        <f>E10-E11</f>
        <v/>
      </c>
      <c r="F12" s="13">
        <f>F10-F11</f>
        <v/>
      </c>
      <c r="G12" s="13">
        <f>G10-G11</f>
        <v/>
      </c>
      <c r="H12" s="13">
        <f>H10-H11</f>
        <v/>
      </c>
      <c r="I12" s="13">
        <f>I10-I11</f>
        <v/>
      </c>
      <c r="J12" s="13">
        <f>J10-J11</f>
        <v/>
      </c>
      <c r="K12" s="13">
        <f>K10-K11</f>
        <v/>
      </c>
      <c r="L12" s="13">
        <f>L10-L11</f>
        <v/>
      </c>
    </row>
    <row r="13">
      <c r="A13" t="inlineStr">
        <is>
          <t>Tax</t>
        </is>
      </c>
      <c r="C13" s="13">
        <f>MAX(C12,0)*Assumptions!$D$5</f>
        <v/>
      </c>
      <c r="D13" s="13">
        <f>MAX(D12,0)*Assumptions!$D$5</f>
        <v/>
      </c>
      <c r="E13" s="13">
        <f>MAX(E12,0)*Assumptions!$D$5</f>
        <v/>
      </c>
      <c r="F13" s="13">
        <f>MAX(F12,0)*Assumptions!$D$5</f>
        <v/>
      </c>
      <c r="G13" s="13">
        <f>MAX(G12,0)*Assumptions!$D$5</f>
        <v/>
      </c>
      <c r="H13" s="13">
        <f>MAX(H12,0)*Assumptions!$D$5</f>
        <v/>
      </c>
      <c r="I13" s="13">
        <f>MAX(I12,0)*Assumptions!$D$5</f>
        <v/>
      </c>
      <c r="J13" s="13">
        <f>MAX(J12,0)*Assumptions!$D$5</f>
        <v/>
      </c>
      <c r="K13" s="13">
        <f>MAX(K12,0)*Assumptions!$D$5</f>
        <v/>
      </c>
      <c r="L13" s="13">
        <f>MAX(L12,0)*Assumptions!$D$5</f>
        <v/>
      </c>
    </row>
    <row r="14">
      <c r="A14" t="inlineStr">
        <is>
          <t>PAT</t>
        </is>
      </c>
      <c r="C14" s="13">
        <f>C12-C13</f>
        <v/>
      </c>
      <c r="D14" s="13">
        <f>D12-D13</f>
        <v/>
      </c>
      <c r="E14" s="13">
        <f>E12-E13</f>
        <v/>
      </c>
      <c r="F14" s="13">
        <f>F12-F13</f>
        <v/>
      </c>
      <c r="G14" s="13">
        <f>G12-G13</f>
        <v/>
      </c>
      <c r="H14" s="13">
        <f>H12-H13</f>
        <v/>
      </c>
      <c r="I14" s="13">
        <f>I12-I13</f>
        <v/>
      </c>
      <c r="J14" s="13">
        <f>J12-J13</f>
        <v/>
      </c>
      <c r="K14" s="13">
        <f>K12-K13</f>
        <v/>
      </c>
      <c r="L14" s="13">
        <f>L12-L13</f>
        <v/>
      </c>
    </row>
    <row r="15">
      <c r="A15" t="inlineStr">
        <is>
          <t>Capex</t>
        </is>
      </c>
      <c r="C15" s="13">
        <f>Assumptions!$D$13*C8</f>
        <v/>
      </c>
      <c r="D15" s="13">
        <f>Assumptions!$D$13*D8</f>
        <v/>
      </c>
      <c r="E15" s="13">
        <f>Assumptions!$D$13*E8</f>
        <v/>
      </c>
      <c r="F15" s="13">
        <f>Assumptions!$D$13*F8</f>
        <v/>
      </c>
      <c r="G15" s="13">
        <f>Assumptions!$D$13*G8</f>
        <v/>
      </c>
      <c r="H15" s="13">
        <f>Assumptions!$D$13*H8</f>
        <v/>
      </c>
      <c r="I15" s="13">
        <f>Assumptions!$D$13*I8</f>
        <v/>
      </c>
      <c r="J15" s="13">
        <f>Assumptions!$D$13*J8</f>
        <v/>
      </c>
      <c r="K15" s="13">
        <f>Assumptions!$D$13*K8</f>
        <v/>
      </c>
      <c r="L15" s="13">
        <f>Assumptions!$D$13*L8</f>
        <v/>
      </c>
    </row>
    <row r="16">
      <c r="A16" t="inlineStr">
        <is>
          <t>Change in NWC</t>
        </is>
      </c>
      <c r="C16" s="13">
        <f>Assumptions!$D$14*(C8-B8)</f>
        <v/>
      </c>
      <c r="D16" s="13">
        <f>Assumptions!$D$14*(D8-C8)</f>
        <v/>
      </c>
      <c r="E16" s="13">
        <f>Assumptions!$D$14*(E8-D8)</f>
        <v/>
      </c>
      <c r="F16" s="13">
        <f>Assumptions!$D$14*(F8-E8)</f>
        <v/>
      </c>
      <c r="G16" s="13">
        <f>Assumptions!$D$14*(G8-F8)</f>
        <v/>
      </c>
      <c r="H16" s="13">
        <f>Assumptions!$D$14*(H8-G8)</f>
        <v/>
      </c>
      <c r="I16" s="13">
        <f>Assumptions!$D$14*(I8-H8)</f>
        <v/>
      </c>
      <c r="J16" s="13">
        <f>Assumptions!$D$14*(J8-I8)</f>
        <v/>
      </c>
      <c r="K16" s="13">
        <f>Assumptions!$D$14*(K8-J8)</f>
        <v/>
      </c>
      <c r="L16" s="13">
        <f>Assumptions!$D$14*(L8-K8)</f>
        <v/>
      </c>
    </row>
    <row r="17">
      <c r="A17" t="inlineStr">
        <is>
          <t>FCF</t>
        </is>
      </c>
      <c r="C17" s="13">
        <f>C10-C13-C15-C16</f>
        <v/>
      </c>
      <c r="D17" s="13">
        <f>D10-D13-D15-D16</f>
        <v/>
      </c>
      <c r="E17" s="13">
        <f>E10-E13-E15-E16</f>
        <v/>
      </c>
      <c r="F17" s="13">
        <f>F10-F13-F15-F16</f>
        <v/>
      </c>
      <c r="G17" s="13">
        <f>G10-G13-G15-G16</f>
        <v/>
      </c>
      <c r="H17" s="13">
        <f>H10-H13-H15-H16</f>
        <v/>
      </c>
      <c r="I17" s="13">
        <f>I10-I13-I15-I16</f>
        <v/>
      </c>
      <c r="J17" s="13">
        <f>J10-J13-J15-J16</f>
        <v/>
      </c>
      <c r="K17" s="13">
        <f>K10-K13-K15-K16</f>
        <v/>
      </c>
      <c r="L17" s="13">
        <f>L10-L13-L15-L16</f>
        <v/>
      </c>
    </row>
    <row r="18">
      <c r="A18" t="inlineStr">
        <is>
          <t>Discount factor</t>
        </is>
      </c>
      <c r="C18" s="18">
        <f>1/(1+Assumptions!$D$10)^1</f>
        <v/>
      </c>
      <c r="D18" s="18">
        <f>1/(1+Assumptions!$D$10)^2</f>
        <v/>
      </c>
      <c r="E18" s="18">
        <f>1/(1+Assumptions!$D$10)^3</f>
        <v/>
      </c>
      <c r="F18" s="18">
        <f>1/(1+Assumptions!$D$10)^4</f>
        <v/>
      </c>
      <c r="G18" s="18">
        <f>1/(1+Assumptions!$D$10)^5</f>
        <v/>
      </c>
      <c r="H18" s="18">
        <f>1/(1+Assumptions!$D$10)^6</f>
        <v/>
      </c>
      <c r="I18" s="18">
        <f>1/(1+Assumptions!$D$10)^7</f>
        <v/>
      </c>
      <c r="J18" s="18">
        <f>1/(1+Assumptions!$D$10)^8</f>
        <v/>
      </c>
      <c r="K18" s="18">
        <f>1/(1+Assumptions!$D$10)^9</f>
        <v/>
      </c>
      <c r="L18" s="18">
        <f>1/(1+Assumptions!$D$10)^10</f>
        <v/>
      </c>
    </row>
    <row r="19">
      <c r="A19" t="inlineStr">
        <is>
          <t>PV of FCF</t>
        </is>
      </c>
      <c r="C19" s="13">
        <f>C17*C18</f>
        <v/>
      </c>
      <c r="D19" s="13">
        <f>D17*D18</f>
        <v/>
      </c>
      <c r="E19" s="13">
        <f>E17*E18</f>
        <v/>
      </c>
      <c r="F19" s="13">
        <f>F17*F18</f>
        <v/>
      </c>
      <c r="G19" s="13">
        <f>G17*G18</f>
        <v/>
      </c>
      <c r="H19" s="13">
        <f>H17*H18</f>
        <v/>
      </c>
      <c r="I19" s="13">
        <f>I17*I18</f>
        <v/>
      </c>
      <c r="J19" s="13">
        <f>J17*J18</f>
        <v/>
      </c>
      <c r="K19" s="13">
        <f>K17*K18</f>
        <v/>
      </c>
      <c r="L19" s="13">
        <f>L17*L18</f>
        <v/>
      </c>
    </row>
    <row r="20">
      <c r="A20" t="inlineStr">
        <is>
          <t>Terminal value (PV)</t>
        </is>
      </c>
      <c r="B20" s="12">
        <f>L17*(1+Assumptions!$D$11)/(Assumptions!$D$10-Assumptions!$D$11)*L18</f>
        <v/>
      </c>
    </row>
    <row r="21">
      <c r="A21" s="16" t="inlineStr">
        <is>
          <t>Liminal enterprise value</t>
        </is>
      </c>
      <c r="B21" s="19">
        <f>SUM(C19:L19)+B20</f>
        <v/>
      </c>
    </row>
    <row r="24">
      <c r="A24" s="16" t="inlineStr">
        <is>
          <t>Scenario</t>
        </is>
      </c>
      <c r="B24" s="17" t="inlineStr">
        <is>
          <t>base</t>
        </is>
      </c>
    </row>
    <row r="25">
      <c r="A25" s="16" t="inlineStr">
        <is>
          <t>Churn applied</t>
        </is>
      </c>
      <c r="B25" s="8" t="n">
        <v>0</v>
      </c>
    </row>
    <row r="27">
      <c r="A27" s="4" t="inlineStr">
        <is>
          <t>Liminal (standalone)</t>
        </is>
      </c>
      <c r="B27" s="4" t="inlineStr">
        <is>
          <t>FY26</t>
        </is>
      </c>
      <c r="C27" s="4" t="inlineStr">
        <is>
          <t>FY27</t>
        </is>
      </c>
      <c r="D27" s="4" t="inlineStr">
        <is>
          <t>FY28</t>
        </is>
      </c>
      <c r="E27" s="4" t="inlineStr">
        <is>
          <t>FY29</t>
        </is>
      </c>
      <c r="F27" s="4" t="inlineStr">
        <is>
          <t>FY30</t>
        </is>
      </c>
      <c r="G27" s="4" t="inlineStr">
        <is>
          <t>FY31</t>
        </is>
      </c>
      <c r="H27" s="4" t="inlineStr">
        <is>
          <t>FY32</t>
        </is>
      </c>
      <c r="I27" s="4" t="inlineStr">
        <is>
          <t>FY33</t>
        </is>
      </c>
      <c r="J27" s="4" t="inlineStr">
        <is>
          <t>FY34</t>
        </is>
      </c>
      <c r="K27" s="4" t="inlineStr">
        <is>
          <t>FY35</t>
        </is>
      </c>
      <c r="L27" s="4" t="inlineStr">
        <is>
          <t>FY36</t>
        </is>
      </c>
    </row>
    <row r="28">
      <c r="A28" t="inlineStr">
        <is>
          <t>Growth</t>
        </is>
      </c>
      <c r="C28" s="14">
        <f>INDEX(Scenario_Paths!C$5:C$7,MATCH($B$24,Scenario_Paths!$B$5:$B$7,0))</f>
        <v/>
      </c>
      <c r="D28" s="14">
        <f>INDEX(Scenario_Paths!D$5:D$7,MATCH($B$24,Scenario_Paths!$B$5:$B$7,0))</f>
        <v/>
      </c>
      <c r="E28" s="14">
        <f>INDEX(Scenario_Paths!E$5:E$7,MATCH($B$24,Scenario_Paths!$B$5:$B$7,0))</f>
        <v/>
      </c>
      <c r="F28" s="14">
        <f>INDEX(Scenario_Paths!F$5:F$7,MATCH($B$24,Scenario_Paths!$B$5:$B$7,0))</f>
        <v/>
      </c>
      <c r="G28" s="14">
        <f>INDEX(Scenario_Paths!G$5:G$7,MATCH($B$24,Scenario_Paths!$B$5:$B$7,0))</f>
        <v/>
      </c>
      <c r="H28" s="14">
        <f>INDEX(Scenario_Paths!H$5:H$7,MATCH($B$24,Scenario_Paths!$B$5:$B$7,0))</f>
        <v/>
      </c>
      <c r="I28" s="14">
        <f>INDEX(Scenario_Paths!I$5:I$7,MATCH($B$24,Scenario_Paths!$B$5:$B$7,0))</f>
        <v/>
      </c>
      <c r="J28" s="14">
        <f>INDEX(Scenario_Paths!J$5:J$7,MATCH($B$24,Scenario_Paths!$B$5:$B$7,0))</f>
        <v/>
      </c>
      <c r="K28" s="14">
        <f>INDEX(Scenario_Paths!K$5:K$7,MATCH($B$24,Scenario_Paths!$B$5:$B$7,0))</f>
        <v/>
      </c>
      <c r="L28" s="14">
        <f>INDEX(Scenario_Paths!L$5:L$7,MATCH($B$24,Scenario_Paths!$B$5:$B$7,0))</f>
        <v/>
      </c>
    </row>
    <row r="29">
      <c r="A29" t="inlineStr">
        <is>
          <t>Margin</t>
        </is>
      </c>
      <c r="C29" s="14">
        <f>INDEX(Scenario_Paths!C$10:C$12,MATCH($B$24,Scenario_Paths!$B$10:$B$12,0))</f>
        <v/>
      </c>
      <c r="D29" s="14">
        <f>INDEX(Scenario_Paths!D$10:D$12,MATCH($B$24,Scenario_Paths!$B$10:$B$12,0))</f>
        <v/>
      </c>
      <c r="E29" s="14">
        <f>INDEX(Scenario_Paths!E$10:E$12,MATCH($B$24,Scenario_Paths!$B$10:$B$12,0))</f>
        <v/>
      </c>
      <c r="F29" s="14">
        <f>INDEX(Scenario_Paths!F$10:F$12,MATCH($B$24,Scenario_Paths!$B$10:$B$12,0))</f>
        <v/>
      </c>
      <c r="G29" s="14">
        <f>INDEX(Scenario_Paths!G$10:G$12,MATCH($B$24,Scenario_Paths!$B$10:$B$12,0))</f>
        <v/>
      </c>
      <c r="H29" s="14">
        <f>INDEX(Scenario_Paths!H$10:H$12,MATCH($B$24,Scenario_Paths!$B$10:$B$12,0))</f>
        <v/>
      </c>
      <c r="I29" s="14">
        <f>INDEX(Scenario_Paths!I$10:I$12,MATCH($B$24,Scenario_Paths!$B$10:$B$12,0))</f>
        <v/>
      </c>
      <c r="J29" s="14">
        <f>INDEX(Scenario_Paths!J$10:J$12,MATCH($B$24,Scenario_Paths!$B$10:$B$12,0))</f>
        <v/>
      </c>
      <c r="K29" s="14">
        <f>INDEX(Scenario_Paths!K$10:K$12,MATCH($B$24,Scenario_Paths!$B$10:$B$12,0))</f>
        <v/>
      </c>
      <c r="L29" s="14">
        <f>INDEX(Scenario_Paths!L$10:L$12,MATCH($B$24,Scenario_Paths!$B$10:$B$12,0))</f>
        <v/>
      </c>
    </row>
    <row r="30">
      <c r="A30" t="inlineStr">
        <is>
          <t>Revenue</t>
        </is>
      </c>
      <c r="B30" s="13">
        <f>Case_Inputs!$C$16*(1-$B$25)</f>
        <v/>
      </c>
      <c r="C30" s="13">
        <f>B30*(1+C28)</f>
        <v/>
      </c>
      <c r="D30" s="13">
        <f>C30*(1+D28)</f>
        <v/>
      </c>
      <c r="E30" s="13">
        <f>D30*(1+E28)</f>
        <v/>
      </c>
      <c r="F30" s="13">
        <f>E30*(1+F28)</f>
        <v/>
      </c>
      <c r="G30" s="13">
        <f>F30*(1+G28)</f>
        <v/>
      </c>
      <c r="H30" s="13">
        <f>G30*(1+H28)</f>
        <v/>
      </c>
      <c r="I30" s="13">
        <f>H30*(1+I28)</f>
        <v/>
      </c>
      <c r="J30" s="13">
        <f>I30*(1+J28)</f>
        <v/>
      </c>
      <c r="K30" s="13">
        <f>J30*(1+K28)</f>
        <v/>
      </c>
      <c r="L30" s="13">
        <f>K30*(1+L28)</f>
        <v/>
      </c>
    </row>
    <row r="31">
      <c r="A31" t="inlineStr">
        <is>
          <t>Sticky cost of churned ARR (col B = churned ARR base)</t>
        </is>
      </c>
      <c r="B31" s="13">
        <f>Case_Inputs!$C$16*$B$25*(1+C28)</f>
        <v/>
      </c>
      <c r="C31" s="13">
        <f>$B$31*Assumptions!$D$15</f>
        <v/>
      </c>
      <c r="D31" s="13">
        <f>$B$31*Assumptions!$D$15*0.5</f>
        <v/>
      </c>
      <c r="E31" s="13" t="n">
        <v>0</v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</row>
    <row r="32">
      <c r="A32" t="inlineStr">
        <is>
          <t>EBITDA</t>
        </is>
      </c>
      <c r="C32" s="13">
        <f>C30*C29-C31</f>
        <v/>
      </c>
      <c r="D32" s="13">
        <f>D30*D29-D31</f>
        <v/>
      </c>
      <c r="E32" s="13">
        <f>E30*E29-E31</f>
        <v/>
      </c>
      <c r="F32" s="13">
        <f>F30*F29-F31</f>
        <v/>
      </c>
      <c r="G32" s="13">
        <f>G30*G29-G31</f>
        <v/>
      </c>
      <c r="H32" s="13">
        <f>H30*H29-H31</f>
        <v/>
      </c>
      <c r="I32" s="13">
        <f>I30*I29-I31</f>
        <v/>
      </c>
      <c r="J32" s="13">
        <f>J30*J29-J31</f>
        <v/>
      </c>
      <c r="K32" s="13">
        <f>K30*K29-K31</f>
        <v/>
      </c>
      <c r="L32" s="13">
        <f>L30*L29-L31</f>
        <v/>
      </c>
    </row>
    <row r="33">
      <c r="A33" t="inlineStr">
        <is>
          <t>D&amp;A</t>
        </is>
      </c>
      <c r="C33" s="13">
        <f>Assumptions!$D$12*C30</f>
        <v/>
      </c>
      <c r="D33" s="13">
        <f>Assumptions!$D$12*D30</f>
        <v/>
      </c>
      <c r="E33" s="13">
        <f>Assumptions!$D$12*E30</f>
        <v/>
      </c>
      <c r="F33" s="13">
        <f>Assumptions!$D$12*F30</f>
        <v/>
      </c>
      <c r="G33" s="13">
        <f>Assumptions!$D$12*G30</f>
        <v/>
      </c>
      <c r="H33" s="13">
        <f>Assumptions!$D$12*H30</f>
        <v/>
      </c>
      <c r="I33" s="13">
        <f>Assumptions!$D$12*I30</f>
        <v/>
      </c>
      <c r="J33" s="13">
        <f>Assumptions!$D$12*J30</f>
        <v/>
      </c>
      <c r="K33" s="13">
        <f>Assumptions!$D$12*K30</f>
        <v/>
      </c>
      <c r="L33" s="13">
        <f>Assumptions!$D$12*L30</f>
        <v/>
      </c>
    </row>
    <row r="34">
      <c r="A34" t="inlineStr">
        <is>
          <t>EBIT</t>
        </is>
      </c>
      <c r="C34" s="13">
        <f>C32-C33</f>
        <v/>
      </c>
      <c r="D34" s="13">
        <f>D32-D33</f>
        <v/>
      </c>
      <c r="E34" s="13">
        <f>E32-E33</f>
        <v/>
      </c>
      <c r="F34" s="13">
        <f>F32-F33</f>
        <v/>
      </c>
      <c r="G34" s="13">
        <f>G32-G33</f>
        <v/>
      </c>
      <c r="H34" s="13">
        <f>H32-H33</f>
        <v/>
      </c>
      <c r="I34" s="13">
        <f>I32-I33</f>
        <v/>
      </c>
      <c r="J34" s="13">
        <f>J32-J33</f>
        <v/>
      </c>
      <c r="K34" s="13">
        <f>K32-K33</f>
        <v/>
      </c>
      <c r="L34" s="13">
        <f>L32-L33</f>
        <v/>
      </c>
    </row>
    <row r="35">
      <c r="A35" t="inlineStr">
        <is>
          <t>Tax</t>
        </is>
      </c>
      <c r="C35" s="13">
        <f>MAX(C34,0)*Assumptions!$D$5</f>
        <v/>
      </c>
      <c r="D35" s="13">
        <f>MAX(D34,0)*Assumptions!$D$5</f>
        <v/>
      </c>
      <c r="E35" s="13">
        <f>MAX(E34,0)*Assumptions!$D$5</f>
        <v/>
      </c>
      <c r="F35" s="13">
        <f>MAX(F34,0)*Assumptions!$D$5</f>
        <v/>
      </c>
      <c r="G35" s="13">
        <f>MAX(G34,0)*Assumptions!$D$5</f>
        <v/>
      </c>
      <c r="H35" s="13">
        <f>MAX(H34,0)*Assumptions!$D$5</f>
        <v/>
      </c>
      <c r="I35" s="13">
        <f>MAX(I34,0)*Assumptions!$D$5</f>
        <v/>
      </c>
      <c r="J35" s="13">
        <f>MAX(J34,0)*Assumptions!$D$5</f>
        <v/>
      </c>
      <c r="K35" s="13">
        <f>MAX(K34,0)*Assumptions!$D$5</f>
        <v/>
      </c>
      <c r="L35" s="13">
        <f>MAX(L34,0)*Assumptions!$D$5</f>
        <v/>
      </c>
    </row>
    <row r="36">
      <c r="A36" t="inlineStr">
        <is>
          <t>PAT</t>
        </is>
      </c>
      <c r="C36" s="13">
        <f>C34-C35</f>
        <v/>
      </c>
      <c r="D36" s="13">
        <f>D34-D35</f>
        <v/>
      </c>
      <c r="E36" s="13">
        <f>E34-E35</f>
        <v/>
      </c>
      <c r="F36" s="13">
        <f>F34-F35</f>
        <v/>
      </c>
      <c r="G36" s="13">
        <f>G34-G35</f>
        <v/>
      </c>
      <c r="H36" s="13">
        <f>H34-H35</f>
        <v/>
      </c>
      <c r="I36" s="13">
        <f>I34-I35</f>
        <v/>
      </c>
      <c r="J36" s="13">
        <f>J34-J35</f>
        <v/>
      </c>
      <c r="K36" s="13">
        <f>K34-K35</f>
        <v/>
      </c>
      <c r="L36" s="13">
        <f>L34-L35</f>
        <v/>
      </c>
    </row>
    <row r="37">
      <c r="A37" t="inlineStr">
        <is>
          <t>Capex</t>
        </is>
      </c>
      <c r="C37" s="13">
        <f>Assumptions!$D$13*C30</f>
        <v/>
      </c>
      <c r="D37" s="13">
        <f>Assumptions!$D$13*D30</f>
        <v/>
      </c>
      <c r="E37" s="13">
        <f>Assumptions!$D$13*E30</f>
        <v/>
      </c>
      <c r="F37" s="13">
        <f>Assumptions!$D$13*F30</f>
        <v/>
      </c>
      <c r="G37" s="13">
        <f>Assumptions!$D$13*G30</f>
        <v/>
      </c>
      <c r="H37" s="13">
        <f>Assumptions!$D$13*H30</f>
        <v/>
      </c>
      <c r="I37" s="13">
        <f>Assumptions!$D$13*I30</f>
        <v/>
      </c>
      <c r="J37" s="13">
        <f>Assumptions!$D$13*J30</f>
        <v/>
      </c>
      <c r="K37" s="13">
        <f>Assumptions!$D$13*K30</f>
        <v/>
      </c>
      <c r="L37" s="13">
        <f>Assumptions!$D$13*L30</f>
        <v/>
      </c>
    </row>
    <row r="38">
      <c r="A38" t="inlineStr">
        <is>
          <t>Change in NWC</t>
        </is>
      </c>
      <c r="C38" s="13">
        <f>Assumptions!$D$14*(C30-B30)</f>
        <v/>
      </c>
      <c r="D38" s="13">
        <f>Assumptions!$D$14*(D30-C30)</f>
        <v/>
      </c>
      <c r="E38" s="13">
        <f>Assumptions!$D$14*(E30-D30)</f>
        <v/>
      </c>
      <c r="F38" s="13">
        <f>Assumptions!$D$14*(F30-E30)</f>
        <v/>
      </c>
      <c r="G38" s="13">
        <f>Assumptions!$D$14*(G30-F30)</f>
        <v/>
      </c>
      <c r="H38" s="13">
        <f>Assumptions!$D$14*(H30-G30)</f>
        <v/>
      </c>
      <c r="I38" s="13">
        <f>Assumptions!$D$14*(I30-H30)</f>
        <v/>
      </c>
      <c r="J38" s="13">
        <f>Assumptions!$D$14*(J30-I30)</f>
        <v/>
      </c>
      <c r="K38" s="13">
        <f>Assumptions!$D$14*(K30-J30)</f>
        <v/>
      </c>
      <c r="L38" s="13">
        <f>Assumptions!$D$14*(L30-K30)</f>
        <v/>
      </c>
    </row>
    <row r="39">
      <c r="A39" t="inlineStr">
        <is>
          <t>FCF</t>
        </is>
      </c>
      <c r="C39" s="13">
        <f>C32-C35-C37-C38</f>
        <v/>
      </c>
      <c r="D39" s="13">
        <f>D32-D35-D37-D38</f>
        <v/>
      </c>
      <c r="E39" s="13">
        <f>E32-E35-E37-E38</f>
        <v/>
      </c>
      <c r="F39" s="13">
        <f>F32-F35-F37-F38</f>
        <v/>
      </c>
      <c r="G39" s="13">
        <f>G32-G35-G37-G38</f>
        <v/>
      </c>
      <c r="H39" s="13">
        <f>H32-H35-H37-H38</f>
        <v/>
      </c>
      <c r="I39" s="13">
        <f>I32-I35-I37-I38</f>
        <v/>
      </c>
      <c r="J39" s="13">
        <f>J32-J35-J37-J38</f>
        <v/>
      </c>
      <c r="K39" s="13">
        <f>K32-K35-K37-K38</f>
        <v/>
      </c>
      <c r="L39" s="13">
        <f>L32-L35-L37-L38</f>
        <v/>
      </c>
    </row>
    <row r="40">
      <c r="A40" t="inlineStr">
        <is>
          <t>Discount factor</t>
        </is>
      </c>
      <c r="C40" s="18">
        <f>1/(1+Assumptions!$D$10)^1</f>
        <v/>
      </c>
      <c r="D40" s="18">
        <f>1/(1+Assumptions!$D$10)^2</f>
        <v/>
      </c>
      <c r="E40" s="18">
        <f>1/(1+Assumptions!$D$10)^3</f>
        <v/>
      </c>
      <c r="F40" s="18">
        <f>1/(1+Assumptions!$D$10)^4</f>
        <v/>
      </c>
      <c r="G40" s="18">
        <f>1/(1+Assumptions!$D$10)^5</f>
        <v/>
      </c>
      <c r="H40" s="18">
        <f>1/(1+Assumptions!$D$10)^6</f>
        <v/>
      </c>
      <c r="I40" s="18">
        <f>1/(1+Assumptions!$D$10)^7</f>
        <v/>
      </c>
      <c r="J40" s="18">
        <f>1/(1+Assumptions!$D$10)^8</f>
        <v/>
      </c>
      <c r="K40" s="18">
        <f>1/(1+Assumptions!$D$10)^9</f>
        <v/>
      </c>
      <c r="L40" s="18">
        <f>1/(1+Assumptions!$D$10)^10</f>
        <v/>
      </c>
    </row>
    <row r="41">
      <c r="A41" t="inlineStr">
        <is>
          <t>PV of FCF</t>
        </is>
      </c>
      <c r="C41" s="13">
        <f>C39*C40</f>
        <v/>
      </c>
      <c r="D41" s="13">
        <f>D39*D40</f>
        <v/>
      </c>
      <c r="E41" s="13">
        <f>E39*E40</f>
        <v/>
      </c>
      <c r="F41" s="13">
        <f>F39*F40</f>
        <v/>
      </c>
      <c r="G41" s="13">
        <f>G39*G40</f>
        <v/>
      </c>
      <c r="H41" s="13">
        <f>H39*H40</f>
        <v/>
      </c>
      <c r="I41" s="13">
        <f>I39*I40</f>
        <v/>
      </c>
      <c r="J41" s="13">
        <f>J39*J40</f>
        <v/>
      </c>
      <c r="K41" s="13">
        <f>K39*K40</f>
        <v/>
      </c>
      <c r="L41" s="13">
        <f>L39*L40</f>
        <v/>
      </c>
    </row>
    <row r="42">
      <c r="A42" t="inlineStr">
        <is>
          <t>Terminal value (PV)</t>
        </is>
      </c>
      <c r="B42" s="12">
        <f>L39*(1+Assumptions!$D$11)/(Assumptions!$D$10-Assumptions!$D$11)*L40</f>
        <v/>
      </c>
    </row>
    <row r="43">
      <c r="A43" s="16" t="inlineStr">
        <is>
          <t>Liminal enterprise value</t>
        </is>
      </c>
      <c r="B43" s="19">
        <f>SUM(C41:L41)+B42</f>
        <v/>
      </c>
    </row>
    <row r="46">
      <c r="A46" s="16" t="inlineStr">
        <is>
          <t>Scenario</t>
        </is>
      </c>
      <c r="B46" s="17" t="inlineStr">
        <is>
          <t>bull</t>
        </is>
      </c>
    </row>
    <row r="47">
      <c r="A47" s="16" t="inlineStr">
        <is>
          <t>Churn applied</t>
        </is>
      </c>
      <c r="B47" s="8" t="n">
        <v>0</v>
      </c>
    </row>
    <row r="49">
      <c r="A49" s="4" t="inlineStr">
        <is>
          <t>Liminal (standalone)</t>
        </is>
      </c>
      <c r="B49" s="4" t="inlineStr">
        <is>
          <t>FY26</t>
        </is>
      </c>
      <c r="C49" s="4" t="inlineStr">
        <is>
          <t>FY27</t>
        </is>
      </c>
      <c r="D49" s="4" t="inlineStr">
        <is>
          <t>FY28</t>
        </is>
      </c>
      <c r="E49" s="4" t="inlineStr">
        <is>
          <t>FY29</t>
        </is>
      </c>
      <c r="F49" s="4" t="inlineStr">
        <is>
          <t>FY30</t>
        </is>
      </c>
      <c r="G49" s="4" t="inlineStr">
        <is>
          <t>FY31</t>
        </is>
      </c>
      <c r="H49" s="4" t="inlineStr">
        <is>
          <t>FY32</t>
        </is>
      </c>
      <c r="I49" s="4" t="inlineStr">
        <is>
          <t>FY33</t>
        </is>
      </c>
      <c r="J49" s="4" t="inlineStr">
        <is>
          <t>FY34</t>
        </is>
      </c>
      <c r="K49" s="4" t="inlineStr">
        <is>
          <t>FY35</t>
        </is>
      </c>
      <c r="L49" s="4" t="inlineStr">
        <is>
          <t>FY36</t>
        </is>
      </c>
    </row>
    <row r="50">
      <c r="A50" t="inlineStr">
        <is>
          <t>Growth</t>
        </is>
      </c>
      <c r="C50" s="14">
        <f>INDEX(Scenario_Paths!C$5:C$7,MATCH($B$46,Scenario_Paths!$B$5:$B$7,0))</f>
        <v/>
      </c>
      <c r="D50" s="14">
        <f>INDEX(Scenario_Paths!D$5:D$7,MATCH($B$46,Scenario_Paths!$B$5:$B$7,0))</f>
        <v/>
      </c>
      <c r="E50" s="14">
        <f>INDEX(Scenario_Paths!E$5:E$7,MATCH($B$46,Scenario_Paths!$B$5:$B$7,0))</f>
        <v/>
      </c>
      <c r="F50" s="14">
        <f>INDEX(Scenario_Paths!F$5:F$7,MATCH($B$46,Scenario_Paths!$B$5:$B$7,0))</f>
        <v/>
      </c>
      <c r="G50" s="14">
        <f>INDEX(Scenario_Paths!G$5:G$7,MATCH($B$46,Scenario_Paths!$B$5:$B$7,0))</f>
        <v/>
      </c>
      <c r="H50" s="14">
        <f>INDEX(Scenario_Paths!H$5:H$7,MATCH($B$46,Scenario_Paths!$B$5:$B$7,0))</f>
        <v/>
      </c>
      <c r="I50" s="14">
        <f>INDEX(Scenario_Paths!I$5:I$7,MATCH($B$46,Scenario_Paths!$B$5:$B$7,0))</f>
        <v/>
      </c>
      <c r="J50" s="14">
        <f>INDEX(Scenario_Paths!J$5:J$7,MATCH($B$46,Scenario_Paths!$B$5:$B$7,0))</f>
        <v/>
      </c>
      <c r="K50" s="14">
        <f>INDEX(Scenario_Paths!K$5:K$7,MATCH($B$46,Scenario_Paths!$B$5:$B$7,0))</f>
        <v/>
      </c>
      <c r="L50" s="14">
        <f>INDEX(Scenario_Paths!L$5:L$7,MATCH($B$46,Scenario_Paths!$B$5:$B$7,0))</f>
        <v/>
      </c>
    </row>
    <row r="51">
      <c r="A51" t="inlineStr">
        <is>
          <t>Margin</t>
        </is>
      </c>
      <c r="C51" s="14">
        <f>INDEX(Scenario_Paths!C$10:C$12,MATCH($B$46,Scenario_Paths!$B$10:$B$12,0))</f>
        <v/>
      </c>
      <c r="D51" s="14">
        <f>INDEX(Scenario_Paths!D$10:D$12,MATCH($B$46,Scenario_Paths!$B$10:$B$12,0))</f>
        <v/>
      </c>
      <c r="E51" s="14">
        <f>INDEX(Scenario_Paths!E$10:E$12,MATCH($B$46,Scenario_Paths!$B$10:$B$12,0))</f>
        <v/>
      </c>
      <c r="F51" s="14">
        <f>INDEX(Scenario_Paths!F$10:F$12,MATCH($B$46,Scenario_Paths!$B$10:$B$12,0))</f>
        <v/>
      </c>
      <c r="G51" s="14">
        <f>INDEX(Scenario_Paths!G$10:G$12,MATCH($B$46,Scenario_Paths!$B$10:$B$12,0))</f>
        <v/>
      </c>
      <c r="H51" s="14">
        <f>INDEX(Scenario_Paths!H$10:H$12,MATCH($B$46,Scenario_Paths!$B$10:$B$12,0))</f>
        <v/>
      </c>
      <c r="I51" s="14">
        <f>INDEX(Scenario_Paths!I$10:I$12,MATCH($B$46,Scenario_Paths!$B$10:$B$12,0))</f>
        <v/>
      </c>
      <c r="J51" s="14">
        <f>INDEX(Scenario_Paths!J$10:J$12,MATCH($B$46,Scenario_Paths!$B$10:$B$12,0))</f>
        <v/>
      </c>
      <c r="K51" s="14">
        <f>INDEX(Scenario_Paths!K$10:K$12,MATCH($B$46,Scenario_Paths!$B$10:$B$12,0))</f>
        <v/>
      </c>
      <c r="L51" s="14">
        <f>INDEX(Scenario_Paths!L$10:L$12,MATCH($B$46,Scenario_Paths!$B$10:$B$12,0))</f>
        <v/>
      </c>
    </row>
    <row r="52">
      <c r="A52" t="inlineStr">
        <is>
          <t>Revenue</t>
        </is>
      </c>
      <c r="B52" s="13">
        <f>Case_Inputs!$C$16*(1-$B$47)</f>
        <v/>
      </c>
      <c r="C52" s="13">
        <f>B52*(1+C50)</f>
        <v/>
      </c>
      <c r="D52" s="13">
        <f>C52*(1+D50)</f>
        <v/>
      </c>
      <c r="E52" s="13">
        <f>D52*(1+E50)</f>
        <v/>
      </c>
      <c r="F52" s="13">
        <f>E52*(1+F50)</f>
        <v/>
      </c>
      <c r="G52" s="13">
        <f>F52*(1+G50)</f>
        <v/>
      </c>
      <c r="H52" s="13">
        <f>G52*(1+H50)</f>
        <v/>
      </c>
      <c r="I52" s="13">
        <f>H52*(1+I50)</f>
        <v/>
      </c>
      <c r="J52" s="13">
        <f>I52*(1+J50)</f>
        <v/>
      </c>
      <c r="K52" s="13">
        <f>J52*(1+K50)</f>
        <v/>
      </c>
      <c r="L52" s="13">
        <f>K52*(1+L50)</f>
        <v/>
      </c>
    </row>
    <row r="53">
      <c r="A53" t="inlineStr">
        <is>
          <t>Sticky cost of churned ARR (col B = churned ARR base)</t>
        </is>
      </c>
      <c r="B53" s="13">
        <f>Case_Inputs!$C$16*$B$47*(1+C50)</f>
        <v/>
      </c>
      <c r="C53" s="13">
        <f>$B$53*Assumptions!$D$15</f>
        <v/>
      </c>
      <c r="D53" s="13">
        <f>$B$53*Assumptions!$D$15*0.5</f>
        <v/>
      </c>
      <c r="E53" s="13" t="n">
        <v>0</v>
      </c>
      <c r="F53" s="13" t="n">
        <v>0</v>
      </c>
      <c r="G53" s="13" t="n">
        <v>0</v>
      </c>
      <c r="H53" s="13" t="n">
        <v>0</v>
      </c>
      <c r="I53" s="13" t="n">
        <v>0</v>
      </c>
      <c r="J53" s="13" t="n">
        <v>0</v>
      </c>
      <c r="K53" s="13" t="n">
        <v>0</v>
      </c>
      <c r="L53" s="13" t="n">
        <v>0</v>
      </c>
    </row>
    <row r="54">
      <c r="A54" t="inlineStr">
        <is>
          <t>EBITDA</t>
        </is>
      </c>
      <c r="C54" s="13">
        <f>C52*C51-C53</f>
        <v/>
      </c>
      <c r="D54" s="13">
        <f>D52*D51-D53</f>
        <v/>
      </c>
      <c r="E54" s="13">
        <f>E52*E51-E53</f>
        <v/>
      </c>
      <c r="F54" s="13">
        <f>F52*F51-F53</f>
        <v/>
      </c>
      <c r="G54" s="13">
        <f>G52*G51-G53</f>
        <v/>
      </c>
      <c r="H54" s="13">
        <f>H52*H51-H53</f>
        <v/>
      </c>
      <c r="I54" s="13">
        <f>I52*I51-I53</f>
        <v/>
      </c>
      <c r="J54" s="13">
        <f>J52*J51-J53</f>
        <v/>
      </c>
      <c r="K54" s="13">
        <f>K52*K51-K53</f>
        <v/>
      </c>
      <c r="L54" s="13">
        <f>L52*L51-L53</f>
        <v/>
      </c>
    </row>
    <row r="55">
      <c r="A55" t="inlineStr">
        <is>
          <t>D&amp;A</t>
        </is>
      </c>
      <c r="C55" s="13">
        <f>Assumptions!$D$12*C52</f>
        <v/>
      </c>
      <c r="D55" s="13">
        <f>Assumptions!$D$12*D52</f>
        <v/>
      </c>
      <c r="E55" s="13">
        <f>Assumptions!$D$12*E52</f>
        <v/>
      </c>
      <c r="F55" s="13">
        <f>Assumptions!$D$12*F52</f>
        <v/>
      </c>
      <c r="G55" s="13">
        <f>Assumptions!$D$12*G52</f>
        <v/>
      </c>
      <c r="H55" s="13">
        <f>Assumptions!$D$12*H52</f>
        <v/>
      </c>
      <c r="I55" s="13">
        <f>Assumptions!$D$12*I52</f>
        <v/>
      </c>
      <c r="J55" s="13">
        <f>Assumptions!$D$12*J52</f>
        <v/>
      </c>
      <c r="K55" s="13">
        <f>Assumptions!$D$12*K52</f>
        <v/>
      </c>
      <c r="L55" s="13">
        <f>Assumptions!$D$12*L52</f>
        <v/>
      </c>
    </row>
    <row r="56">
      <c r="A56" t="inlineStr">
        <is>
          <t>EBIT</t>
        </is>
      </c>
      <c r="C56" s="13">
        <f>C54-C55</f>
        <v/>
      </c>
      <c r="D56" s="13">
        <f>D54-D55</f>
        <v/>
      </c>
      <c r="E56" s="13">
        <f>E54-E55</f>
        <v/>
      </c>
      <c r="F56" s="13">
        <f>F54-F55</f>
        <v/>
      </c>
      <c r="G56" s="13">
        <f>G54-G55</f>
        <v/>
      </c>
      <c r="H56" s="13">
        <f>H54-H55</f>
        <v/>
      </c>
      <c r="I56" s="13">
        <f>I54-I55</f>
        <v/>
      </c>
      <c r="J56" s="13">
        <f>J54-J55</f>
        <v/>
      </c>
      <c r="K56" s="13">
        <f>K54-K55</f>
        <v/>
      </c>
      <c r="L56" s="13">
        <f>L54-L55</f>
        <v/>
      </c>
    </row>
    <row r="57">
      <c r="A57" t="inlineStr">
        <is>
          <t>Tax</t>
        </is>
      </c>
      <c r="C57" s="13">
        <f>MAX(C56,0)*Assumptions!$D$5</f>
        <v/>
      </c>
      <c r="D57" s="13">
        <f>MAX(D56,0)*Assumptions!$D$5</f>
        <v/>
      </c>
      <c r="E57" s="13">
        <f>MAX(E56,0)*Assumptions!$D$5</f>
        <v/>
      </c>
      <c r="F57" s="13">
        <f>MAX(F56,0)*Assumptions!$D$5</f>
        <v/>
      </c>
      <c r="G57" s="13">
        <f>MAX(G56,0)*Assumptions!$D$5</f>
        <v/>
      </c>
      <c r="H57" s="13">
        <f>MAX(H56,0)*Assumptions!$D$5</f>
        <v/>
      </c>
      <c r="I57" s="13">
        <f>MAX(I56,0)*Assumptions!$D$5</f>
        <v/>
      </c>
      <c r="J57" s="13">
        <f>MAX(J56,0)*Assumptions!$D$5</f>
        <v/>
      </c>
      <c r="K57" s="13">
        <f>MAX(K56,0)*Assumptions!$D$5</f>
        <v/>
      </c>
      <c r="L57" s="13">
        <f>MAX(L56,0)*Assumptions!$D$5</f>
        <v/>
      </c>
    </row>
    <row r="58">
      <c r="A58" t="inlineStr">
        <is>
          <t>PAT</t>
        </is>
      </c>
      <c r="C58" s="13">
        <f>C56-C57</f>
        <v/>
      </c>
      <c r="D58" s="13">
        <f>D56-D57</f>
        <v/>
      </c>
      <c r="E58" s="13">
        <f>E56-E57</f>
        <v/>
      </c>
      <c r="F58" s="13">
        <f>F56-F57</f>
        <v/>
      </c>
      <c r="G58" s="13">
        <f>G56-G57</f>
        <v/>
      </c>
      <c r="H58" s="13">
        <f>H56-H57</f>
        <v/>
      </c>
      <c r="I58" s="13">
        <f>I56-I57</f>
        <v/>
      </c>
      <c r="J58" s="13">
        <f>J56-J57</f>
        <v/>
      </c>
      <c r="K58" s="13">
        <f>K56-K57</f>
        <v/>
      </c>
      <c r="L58" s="13">
        <f>L56-L57</f>
        <v/>
      </c>
    </row>
    <row r="59">
      <c r="A59" t="inlineStr">
        <is>
          <t>Capex</t>
        </is>
      </c>
      <c r="C59" s="13">
        <f>Assumptions!$D$13*C52</f>
        <v/>
      </c>
      <c r="D59" s="13">
        <f>Assumptions!$D$13*D52</f>
        <v/>
      </c>
      <c r="E59" s="13">
        <f>Assumptions!$D$13*E52</f>
        <v/>
      </c>
      <c r="F59" s="13">
        <f>Assumptions!$D$13*F52</f>
        <v/>
      </c>
      <c r="G59" s="13">
        <f>Assumptions!$D$13*G52</f>
        <v/>
      </c>
      <c r="H59" s="13">
        <f>Assumptions!$D$13*H52</f>
        <v/>
      </c>
      <c r="I59" s="13">
        <f>Assumptions!$D$13*I52</f>
        <v/>
      </c>
      <c r="J59" s="13">
        <f>Assumptions!$D$13*J52</f>
        <v/>
      </c>
      <c r="K59" s="13">
        <f>Assumptions!$D$13*K52</f>
        <v/>
      </c>
      <c r="L59" s="13">
        <f>Assumptions!$D$13*L52</f>
        <v/>
      </c>
    </row>
    <row r="60">
      <c r="A60" t="inlineStr">
        <is>
          <t>Change in NWC</t>
        </is>
      </c>
      <c r="C60" s="13">
        <f>Assumptions!$D$14*(C52-B52)</f>
        <v/>
      </c>
      <c r="D60" s="13">
        <f>Assumptions!$D$14*(D52-C52)</f>
        <v/>
      </c>
      <c r="E60" s="13">
        <f>Assumptions!$D$14*(E52-D52)</f>
        <v/>
      </c>
      <c r="F60" s="13">
        <f>Assumptions!$D$14*(F52-E52)</f>
        <v/>
      </c>
      <c r="G60" s="13">
        <f>Assumptions!$D$14*(G52-F52)</f>
        <v/>
      </c>
      <c r="H60" s="13">
        <f>Assumptions!$D$14*(H52-G52)</f>
        <v/>
      </c>
      <c r="I60" s="13">
        <f>Assumptions!$D$14*(I52-H52)</f>
        <v/>
      </c>
      <c r="J60" s="13">
        <f>Assumptions!$D$14*(J52-I52)</f>
        <v/>
      </c>
      <c r="K60" s="13">
        <f>Assumptions!$D$14*(K52-J52)</f>
        <v/>
      </c>
      <c r="L60" s="13">
        <f>Assumptions!$D$14*(L52-K52)</f>
        <v/>
      </c>
    </row>
    <row r="61">
      <c r="A61" t="inlineStr">
        <is>
          <t>FCF</t>
        </is>
      </c>
      <c r="C61" s="13">
        <f>C54-C57-C59-C60</f>
        <v/>
      </c>
      <c r="D61" s="13">
        <f>D54-D57-D59-D60</f>
        <v/>
      </c>
      <c r="E61" s="13">
        <f>E54-E57-E59-E60</f>
        <v/>
      </c>
      <c r="F61" s="13">
        <f>F54-F57-F59-F60</f>
        <v/>
      </c>
      <c r="G61" s="13">
        <f>G54-G57-G59-G60</f>
        <v/>
      </c>
      <c r="H61" s="13">
        <f>H54-H57-H59-H60</f>
        <v/>
      </c>
      <c r="I61" s="13">
        <f>I54-I57-I59-I60</f>
        <v/>
      </c>
      <c r="J61" s="13">
        <f>J54-J57-J59-J60</f>
        <v/>
      </c>
      <c r="K61" s="13">
        <f>K54-K57-K59-K60</f>
        <v/>
      </c>
      <c r="L61" s="13">
        <f>L54-L57-L59-L60</f>
        <v/>
      </c>
    </row>
    <row r="62">
      <c r="A62" t="inlineStr">
        <is>
          <t>Discount factor</t>
        </is>
      </c>
      <c r="C62" s="18">
        <f>1/(1+Assumptions!$D$10)^1</f>
        <v/>
      </c>
      <c r="D62" s="18">
        <f>1/(1+Assumptions!$D$10)^2</f>
        <v/>
      </c>
      <c r="E62" s="18">
        <f>1/(1+Assumptions!$D$10)^3</f>
        <v/>
      </c>
      <c r="F62" s="18">
        <f>1/(1+Assumptions!$D$10)^4</f>
        <v/>
      </c>
      <c r="G62" s="18">
        <f>1/(1+Assumptions!$D$10)^5</f>
        <v/>
      </c>
      <c r="H62" s="18">
        <f>1/(1+Assumptions!$D$10)^6</f>
        <v/>
      </c>
      <c r="I62" s="18">
        <f>1/(1+Assumptions!$D$10)^7</f>
        <v/>
      </c>
      <c r="J62" s="18">
        <f>1/(1+Assumptions!$D$10)^8</f>
        <v/>
      </c>
      <c r="K62" s="18">
        <f>1/(1+Assumptions!$D$10)^9</f>
        <v/>
      </c>
      <c r="L62" s="18">
        <f>1/(1+Assumptions!$D$10)^10</f>
        <v/>
      </c>
    </row>
    <row r="63">
      <c r="A63" t="inlineStr">
        <is>
          <t>PV of FCF</t>
        </is>
      </c>
      <c r="C63" s="13">
        <f>C61*C62</f>
        <v/>
      </c>
      <c r="D63" s="13">
        <f>D61*D62</f>
        <v/>
      </c>
      <c r="E63" s="13">
        <f>E61*E62</f>
        <v/>
      </c>
      <c r="F63" s="13">
        <f>F61*F62</f>
        <v/>
      </c>
      <c r="G63" s="13">
        <f>G61*G62</f>
        <v/>
      </c>
      <c r="H63" s="13">
        <f>H61*H62</f>
        <v/>
      </c>
      <c r="I63" s="13">
        <f>I61*I62</f>
        <v/>
      </c>
      <c r="J63" s="13">
        <f>J61*J62</f>
        <v/>
      </c>
      <c r="K63" s="13">
        <f>K61*K62</f>
        <v/>
      </c>
      <c r="L63" s="13">
        <f>L61*L62</f>
        <v/>
      </c>
    </row>
    <row r="64">
      <c r="A64" t="inlineStr">
        <is>
          <t>Terminal value (PV)</t>
        </is>
      </c>
      <c r="B64" s="12">
        <f>L61*(1+Assumptions!$D$11)/(Assumptions!$D$10-Assumptions!$D$11)*L62</f>
        <v/>
      </c>
    </row>
    <row r="65">
      <c r="A65" s="16" t="inlineStr">
        <is>
          <t>Liminal enterprise value</t>
        </is>
      </c>
      <c r="B65" s="19">
        <f>SUM(C63:L63)+B64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Liminal EV sensitivity, base, no churn (values from model run)</t>
        </is>
      </c>
    </row>
    <row r="2">
      <c r="A2" s="2" t="inlineStr">
        <is>
          <t>Rows: discount rate. Columns: terminal growth.</t>
        </is>
      </c>
    </row>
    <row r="4">
      <c r="A4" s="4" t="inlineStr">
        <is>
          <t>Discount rate</t>
        </is>
      </c>
      <c r="B4" s="4" t="inlineStr">
        <is>
          <t>g 5.0%</t>
        </is>
      </c>
      <c r="C4" s="4" t="inlineStr">
        <is>
          <t>g 5.5%</t>
        </is>
      </c>
      <c r="D4" s="4" t="inlineStr">
        <is>
          <t>g 6.0%</t>
        </is>
      </c>
      <c r="E4" s="4" t="inlineStr">
        <is>
          <t>g 6.5%</t>
        </is>
      </c>
      <c r="F4" s="4" t="inlineStr">
        <is>
          <t>g 7.0%</t>
        </is>
      </c>
    </row>
    <row r="5">
      <c r="A5" s="14" t="n">
        <v>0.15</v>
      </c>
      <c r="B5" s="12" t="n">
        <v>1696</v>
      </c>
      <c r="C5" s="12" t="n">
        <v>1754</v>
      </c>
      <c r="D5" s="12" t="n">
        <v>1819</v>
      </c>
      <c r="E5" s="12" t="n">
        <v>1891</v>
      </c>
      <c r="F5" s="12" t="n">
        <v>1972</v>
      </c>
    </row>
    <row r="6">
      <c r="A6" s="14" t="n">
        <v>0.16</v>
      </c>
      <c r="B6" s="12" t="n">
        <v>1489</v>
      </c>
      <c r="C6" s="12" t="n">
        <v>1533</v>
      </c>
      <c r="D6" s="12" t="n">
        <v>1582</v>
      </c>
      <c r="E6" s="12" t="n">
        <v>1636</v>
      </c>
      <c r="F6" s="12" t="n">
        <v>1696</v>
      </c>
    </row>
    <row r="7">
      <c r="A7" s="14" t="n">
        <v>0.17</v>
      </c>
      <c r="B7" s="12" t="n">
        <v>1319</v>
      </c>
      <c r="C7" s="12" t="n">
        <v>1353</v>
      </c>
      <c r="D7" s="12" t="n">
        <v>1391</v>
      </c>
      <c r="E7" s="12" t="n">
        <v>1432</v>
      </c>
      <c r="F7" s="12" t="n">
        <v>1477</v>
      </c>
    </row>
    <row r="8">
      <c r="A8" s="14" t="n">
        <v>0.18</v>
      </c>
      <c r="B8" s="12" t="n">
        <v>1178</v>
      </c>
      <c r="C8" s="12" t="n">
        <v>1205</v>
      </c>
      <c r="D8" s="12" t="n">
        <v>1234</v>
      </c>
      <c r="E8" s="12" t="n">
        <v>1266</v>
      </c>
      <c r="F8" s="12" t="n">
        <v>1300</v>
      </c>
    </row>
    <row r="9">
      <c r="A9" s="14" t="n">
        <v>0.19</v>
      </c>
      <c r="B9" s="12" t="n">
        <v>1058</v>
      </c>
      <c r="C9" s="12" t="n">
        <v>1080</v>
      </c>
      <c r="D9" s="12" t="n">
        <v>1103</v>
      </c>
      <c r="E9" s="12" t="n">
        <v>1128</v>
      </c>
      <c r="F9" s="12" t="n">
        <v>1155</v>
      </c>
    </row>
    <row r="11">
      <c r="A11" s="16" t="inlineStr">
        <is>
          <t>Liminal EV by scenario and churn (values)</t>
        </is>
      </c>
    </row>
    <row r="12">
      <c r="A12" s="4" t="inlineStr">
        <is>
          <t>Scenario</t>
        </is>
      </c>
      <c r="B12" s="4" t="inlineStr">
        <is>
          <t>churn 0.0%</t>
        </is>
      </c>
      <c r="C12" s="4" t="inlineStr">
        <is>
          <t>churn 5.0%</t>
        </is>
      </c>
      <c r="D12" s="4" t="inlineStr">
        <is>
          <t>churn 15.0%</t>
        </is>
      </c>
      <c r="E12" s="4" t="inlineStr">
        <is>
          <t>churn 30.0%</t>
        </is>
      </c>
      <c r="F12" s="4" t="inlineStr">
        <is>
          <t>churn 37.5%</t>
        </is>
      </c>
      <c r="G12" s="4" t="inlineStr">
        <is>
          <t>churn 45.0%</t>
        </is>
      </c>
      <c r="H12" s="4" t="inlineStr">
        <is>
          <t>churn 60.0%</t>
        </is>
      </c>
    </row>
    <row r="13">
      <c r="A13" t="inlineStr">
        <is>
          <t>bear</t>
        </is>
      </c>
      <c r="B13" s="12" t="n">
        <v>428</v>
      </c>
      <c r="C13" s="12" t="n">
        <v>398</v>
      </c>
      <c r="D13" s="12" t="n">
        <v>337</v>
      </c>
      <c r="E13" s="12" t="n">
        <v>243</v>
      </c>
      <c r="F13" s="12" t="n">
        <v>196</v>
      </c>
      <c r="G13" s="12" t="n">
        <v>149</v>
      </c>
      <c r="H13" s="12" t="n">
        <v>55</v>
      </c>
    </row>
    <row r="14">
      <c r="A14" t="inlineStr">
        <is>
          <t>base</t>
        </is>
      </c>
      <c r="B14" s="12" t="n">
        <v>1391</v>
      </c>
      <c r="C14" s="12" t="n">
        <v>1313</v>
      </c>
      <c r="D14" s="12" t="n">
        <v>1154</v>
      </c>
      <c r="E14" s="12" t="n">
        <v>915</v>
      </c>
      <c r="F14" s="12" t="n">
        <v>795</v>
      </c>
      <c r="G14" s="12" t="n">
        <v>673</v>
      </c>
      <c r="H14" s="12" t="n">
        <v>430</v>
      </c>
    </row>
    <row r="15">
      <c r="A15" t="inlineStr">
        <is>
          <t>bull</t>
        </is>
      </c>
      <c r="B15" s="12" t="n">
        <v>2398</v>
      </c>
      <c r="C15" s="12" t="n">
        <v>2269</v>
      </c>
      <c r="D15" s="12" t="n">
        <v>2009</v>
      </c>
      <c r="E15" s="12" t="n">
        <v>1615</v>
      </c>
      <c r="F15" s="12" t="n">
        <v>1418</v>
      </c>
      <c r="G15" s="12" t="n">
        <v>1221</v>
      </c>
      <c r="H15" s="12" t="n">
        <v>822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Full acquisition at ₹4,000 Cr: accretion/dilution, cash and NPV</t>
        </is>
      </c>
    </row>
    <row r="2">
      <c r="A2" s="2" t="inlineStr">
        <is>
          <t>Case funding by default: ₹2,100 Cr balance-sheet cash + ₹1,900 Cr new Paytm shares</t>
        </is>
      </c>
    </row>
    <row r="3">
      <c r="A3" s="16" t="inlineStr">
        <is>
          <t>Scenario</t>
        </is>
      </c>
      <c r="B3" s="17" t="inlineStr">
        <is>
          <t>base</t>
        </is>
      </c>
    </row>
    <row r="4">
      <c r="A4" s="16" t="inlineStr">
        <is>
          <t>Churn</t>
        </is>
      </c>
      <c r="B4" s="8">
        <f>Assumptions!$D$16</f>
        <v/>
      </c>
    </row>
    <row r="5">
      <c r="A5" s="16" t="inlineStr">
        <is>
          <t>Annual capital drag</t>
        </is>
      </c>
      <c r="B5" s="9">
        <f>Case_Inputs!$C$18</f>
        <v/>
      </c>
    </row>
    <row r="6">
      <c r="A6" s="16" t="inlineStr">
        <is>
          <t>Cash from balance sheet</t>
        </is>
      </c>
      <c r="B6" s="9">
        <f>Case_Inputs!$C$14</f>
        <v/>
      </c>
    </row>
    <row r="7">
      <c r="A7" s="16" t="inlineStr">
        <is>
          <t>New debt</t>
        </is>
      </c>
      <c r="B7" s="9" t="n">
        <v>0</v>
      </c>
    </row>
    <row r="8">
      <c r="A8" s="16" t="inlineStr">
        <is>
          <t>New Paytm equity</t>
        </is>
      </c>
      <c r="B8" s="9">
        <f>Case_Inputs!$C$15</f>
        <v/>
      </c>
    </row>
    <row r="9">
      <c r="A9" s="16" t="inlineStr">
        <is>
          <t>Price</t>
        </is>
      </c>
      <c r="B9" s="9">
        <f>Case_Inputs!$C$13</f>
        <v/>
      </c>
    </row>
    <row r="12">
      <c r="A12" s="4" t="inlineStr">
        <is>
          <t>Liminal (standalone)</t>
        </is>
      </c>
      <c r="B12" s="4" t="inlineStr">
        <is>
          <t>FY26</t>
        </is>
      </c>
      <c r="C12" s="4" t="inlineStr">
        <is>
          <t>FY27</t>
        </is>
      </c>
      <c r="D12" s="4" t="inlineStr">
        <is>
          <t>FY28</t>
        </is>
      </c>
      <c r="E12" s="4" t="inlineStr">
        <is>
          <t>FY29</t>
        </is>
      </c>
      <c r="F12" s="4" t="inlineStr">
        <is>
          <t>FY30</t>
        </is>
      </c>
      <c r="G12" s="4" t="inlineStr">
        <is>
          <t>FY31</t>
        </is>
      </c>
      <c r="H12" s="4" t="inlineStr">
        <is>
          <t>FY32</t>
        </is>
      </c>
      <c r="I12" s="4" t="inlineStr">
        <is>
          <t>FY33</t>
        </is>
      </c>
      <c r="J12" s="4" t="inlineStr">
        <is>
          <t>FY34</t>
        </is>
      </c>
      <c r="K12" s="4" t="inlineStr">
        <is>
          <t>FY35</t>
        </is>
      </c>
      <c r="L12" s="4" t="inlineStr">
        <is>
          <t>FY36</t>
        </is>
      </c>
    </row>
    <row r="13">
      <c r="A13" t="inlineStr">
        <is>
          <t>Growth</t>
        </is>
      </c>
      <c r="C13" s="14">
        <f>INDEX(Scenario_Paths!C$5:C$7,MATCH($B$3,Scenario_Paths!$B$5:$B$7,0))</f>
        <v/>
      </c>
      <c r="D13" s="14">
        <f>INDEX(Scenario_Paths!D$5:D$7,MATCH($B$3,Scenario_Paths!$B$5:$B$7,0))</f>
        <v/>
      </c>
      <c r="E13" s="14">
        <f>INDEX(Scenario_Paths!E$5:E$7,MATCH($B$3,Scenario_Paths!$B$5:$B$7,0))</f>
        <v/>
      </c>
      <c r="F13" s="14">
        <f>INDEX(Scenario_Paths!F$5:F$7,MATCH($B$3,Scenario_Paths!$B$5:$B$7,0))</f>
        <v/>
      </c>
      <c r="G13" s="14">
        <f>INDEX(Scenario_Paths!G$5:G$7,MATCH($B$3,Scenario_Paths!$B$5:$B$7,0))</f>
        <v/>
      </c>
      <c r="H13" s="14">
        <f>INDEX(Scenario_Paths!H$5:H$7,MATCH($B$3,Scenario_Paths!$B$5:$B$7,0))</f>
        <v/>
      </c>
      <c r="I13" s="14">
        <f>INDEX(Scenario_Paths!I$5:I$7,MATCH($B$3,Scenario_Paths!$B$5:$B$7,0))</f>
        <v/>
      </c>
      <c r="J13" s="14">
        <f>INDEX(Scenario_Paths!J$5:J$7,MATCH($B$3,Scenario_Paths!$B$5:$B$7,0))</f>
        <v/>
      </c>
      <c r="K13" s="14">
        <f>INDEX(Scenario_Paths!K$5:K$7,MATCH($B$3,Scenario_Paths!$B$5:$B$7,0))</f>
        <v/>
      </c>
      <c r="L13" s="14">
        <f>INDEX(Scenario_Paths!L$5:L$7,MATCH($B$3,Scenario_Paths!$B$5:$B$7,0))</f>
        <v/>
      </c>
    </row>
    <row r="14">
      <c r="A14" t="inlineStr">
        <is>
          <t>Margin</t>
        </is>
      </c>
      <c r="C14" s="14">
        <f>INDEX(Scenario_Paths!C$10:C$12,MATCH($B$3,Scenario_Paths!$B$10:$B$12,0))</f>
        <v/>
      </c>
      <c r="D14" s="14">
        <f>INDEX(Scenario_Paths!D$10:D$12,MATCH($B$3,Scenario_Paths!$B$10:$B$12,0))</f>
        <v/>
      </c>
      <c r="E14" s="14">
        <f>INDEX(Scenario_Paths!E$10:E$12,MATCH($B$3,Scenario_Paths!$B$10:$B$12,0))</f>
        <v/>
      </c>
      <c r="F14" s="14">
        <f>INDEX(Scenario_Paths!F$10:F$12,MATCH($B$3,Scenario_Paths!$B$10:$B$12,0))</f>
        <v/>
      </c>
      <c r="G14" s="14">
        <f>INDEX(Scenario_Paths!G$10:G$12,MATCH($B$3,Scenario_Paths!$B$10:$B$12,0))</f>
        <v/>
      </c>
      <c r="H14" s="14">
        <f>INDEX(Scenario_Paths!H$10:H$12,MATCH($B$3,Scenario_Paths!$B$10:$B$12,0))</f>
        <v/>
      </c>
      <c r="I14" s="14">
        <f>INDEX(Scenario_Paths!I$10:I$12,MATCH($B$3,Scenario_Paths!$B$10:$B$12,0))</f>
        <v/>
      </c>
      <c r="J14" s="14">
        <f>INDEX(Scenario_Paths!J$10:J$12,MATCH($B$3,Scenario_Paths!$B$10:$B$12,0))</f>
        <v/>
      </c>
      <c r="K14" s="14">
        <f>INDEX(Scenario_Paths!K$10:K$12,MATCH($B$3,Scenario_Paths!$B$10:$B$12,0))</f>
        <v/>
      </c>
      <c r="L14" s="14">
        <f>INDEX(Scenario_Paths!L$10:L$12,MATCH($B$3,Scenario_Paths!$B$10:$B$12,0))</f>
        <v/>
      </c>
    </row>
    <row r="15">
      <c r="A15" t="inlineStr">
        <is>
          <t>Revenue</t>
        </is>
      </c>
      <c r="B15" s="13">
        <f>Case_Inputs!$C$16*(1-$B$4)</f>
        <v/>
      </c>
      <c r="C15" s="13">
        <f>B15*(1+C13)</f>
        <v/>
      </c>
      <c r="D15" s="13">
        <f>C15*(1+D13)</f>
        <v/>
      </c>
      <c r="E15" s="13">
        <f>D15*(1+E13)</f>
        <v/>
      </c>
      <c r="F15" s="13">
        <f>E15*(1+F13)</f>
        <v/>
      </c>
      <c r="G15" s="13">
        <f>F15*(1+G13)</f>
        <v/>
      </c>
      <c r="H15" s="13">
        <f>G15*(1+H13)</f>
        <v/>
      </c>
      <c r="I15" s="13">
        <f>H15*(1+I13)</f>
        <v/>
      </c>
      <c r="J15" s="13">
        <f>I15*(1+J13)</f>
        <v/>
      </c>
      <c r="K15" s="13">
        <f>J15*(1+K13)</f>
        <v/>
      </c>
      <c r="L15" s="13">
        <f>K15*(1+L13)</f>
        <v/>
      </c>
    </row>
    <row r="16">
      <c r="A16" t="inlineStr">
        <is>
          <t>Sticky cost of churned ARR (col B = churned ARR base)</t>
        </is>
      </c>
      <c r="B16" s="13">
        <f>Case_Inputs!$C$16*$B$4*(1+C13)</f>
        <v/>
      </c>
      <c r="C16" s="13">
        <f>$B$16*Assumptions!$D$15</f>
        <v/>
      </c>
      <c r="D16" s="13">
        <f>$B$16*Assumptions!$D$15*0.5</f>
        <v/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</row>
    <row r="17">
      <c r="A17" t="inlineStr">
        <is>
          <t>EBITDA</t>
        </is>
      </c>
      <c r="C17" s="13">
        <f>C15*C14-C16</f>
        <v/>
      </c>
      <c r="D17" s="13">
        <f>D15*D14-D16</f>
        <v/>
      </c>
      <c r="E17" s="13">
        <f>E15*E14-E16</f>
        <v/>
      </c>
      <c r="F17" s="13">
        <f>F15*F14-F16</f>
        <v/>
      </c>
      <c r="G17" s="13">
        <f>G15*G14-G16</f>
        <v/>
      </c>
      <c r="H17" s="13">
        <f>H15*H14-H16</f>
        <v/>
      </c>
      <c r="I17" s="13">
        <f>I15*I14-I16</f>
        <v/>
      </c>
      <c r="J17" s="13">
        <f>J15*J14-J16</f>
        <v/>
      </c>
      <c r="K17" s="13">
        <f>K15*K14-K16</f>
        <v/>
      </c>
      <c r="L17" s="13">
        <f>L15*L14-L16</f>
        <v/>
      </c>
    </row>
    <row r="18">
      <c r="A18" t="inlineStr">
        <is>
          <t>D&amp;A</t>
        </is>
      </c>
      <c r="C18" s="13">
        <f>Assumptions!$D$12*C15</f>
        <v/>
      </c>
      <c r="D18" s="13">
        <f>Assumptions!$D$12*D15</f>
        <v/>
      </c>
      <c r="E18" s="13">
        <f>Assumptions!$D$12*E15</f>
        <v/>
      </c>
      <c r="F18" s="13">
        <f>Assumptions!$D$12*F15</f>
        <v/>
      </c>
      <c r="G18" s="13">
        <f>Assumptions!$D$12*G15</f>
        <v/>
      </c>
      <c r="H18" s="13">
        <f>Assumptions!$D$12*H15</f>
        <v/>
      </c>
      <c r="I18" s="13">
        <f>Assumptions!$D$12*I15</f>
        <v/>
      </c>
      <c r="J18" s="13">
        <f>Assumptions!$D$12*J15</f>
        <v/>
      </c>
      <c r="K18" s="13">
        <f>Assumptions!$D$12*K15</f>
        <v/>
      </c>
      <c r="L18" s="13">
        <f>Assumptions!$D$12*L15</f>
        <v/>
      </c>
    </row>
    <row r="19">
      <c r="A19" t="inlineStr">
        <is>
          <t>EBIT</t>
        </is>
      </c>
      <c r="C19" s="13">
        <f>C17-C18</f>
        <v/>
      </c>
      <c r="D19" s="13">
        <f>D17-D18</f>
        <v/>
      </c>
      <c r="E19" s="13">
        <f>E17-E18</f>
        <v/>
      </c>
      <c r="F19" s="13">
        <f>F17-F18</f>
        <v/>
      </c>
      <c r="G19" s="13">
        <f>G17-G18</f>
        <v/>
      </c>
      <c r="H19" s="13">
        <f>H17-H18</f>
        <v/>
      </c>
      <c r="I19" s="13">
        <f>I17-I18</f>
        <v/>
      </c>
      <c r="J19" s="13">
        <f>J17-J18</f>
        <v/>
      </c>
      <c r="K19" s="13">
        <f>K17-K18</f>
        <v/>
      </c>
      <c r="L19" s="13">
        <f>L17-L18</f>
        <v/>
      </c>
    </row>
    <row r="20">
      <c r="A20" t="inlineStr">
        <is>
          <t>Tax</t>
        </is>
      </c>
      <c r="C20" s="13">
        <f>MAX(C19,0)*Assumptions!$D$5</f>
        <v/>
      </c>
      <c r="D20" s="13">
        <f>MAX(D19,0)*Assumptions!$D$5</f>
        <v/>
      </c>
      <c r="E20" s="13">
        <f>MAX(E19,0)*Assumptions!$D$5</f>
        <v/>
      </c>
      <c r="F20" s="13">
        <f>MAX(F19,0)*Assumptions!$D$5</f>
        <v/>
      </c>
      <c r="G20" s="13">
        <f>MAX(G19,0)*Assumptions!$D$5</f>
        <v/>
      </c>
      <c r="H20" s="13">
        <f>MAX(H19,0)*Assumptions!$D$5</f>
        <v/>
      </c>
      <c r="I20" s="13">
        <f>MAX(I19,0)*Assumptions!$D$5</f>
        <v/>
      </c>
      <c r="J20" s="13">
        <f>MAX(J19,0)*Assumptions!$D$5</f>
        <v/>
      </c>
      <c r="K20" s="13">
        <f>MAX(K19,0)*Assumptions!$D$5</f>
        <v/>
      </c>
      <c r="L20" s="13">
        <f>MAX(L19,0)*Assumptions!$D$5</f>
        <v/>
      </c>
    </row>
    <row r="21">
      <c r="A21" t="inlineStr">
        <is>
          <t>PAT</t>
        </is>
      </c>
      <c r="C21" s="13">
        <f>C19-C20</f>
        <v/>
      </c>
      <c r="D21" s="13">
        <f>D19-D20</f>
        <v/>
      </c>
      <c r="E21" s="13">
        <f>E19-E20</f>
        <v/>
      </c>
      <c r="F21" s="13">
        <f>F19-F20</f>
        <v/>
      </c>
      <c r="G21" s="13">
        <f>G19-G20</f>
        <v/>
      </c>
      <c r="H21" s="13">
        <f>H19-H20</f>
        <v/>
      </c>
      <c r="I21" s="13">
        <f>I19-I20</f>
        <v/>
      </c>
      <c r="J21" s="13">
        <f>J19-J20</f>
        <v/>
      </c>
      <c r="K21" s="13">
        <f>K19-K20</f>
        <v/>
      </c>
      <c r="L21" s="13">
        <f>L19-L20</f>
        <v/>
      </c>
    </row>
    <row r="22">
      <c r="A22" t="inlineStr">
        <is>
          <t>Capex</t>
        </is>
      </c>
      <c r="C22" s="13">
        <f>Assumptions!$D$13*C15</f>
        <v/>
      </c>
      <c r="D22" s="13">
        <f>Assumptions!$D$13*D15</f>
        <v/>
      </c>
      <c r="E22" s="13">
        <f>Assumptions!$D$13*E15</f>
        <v/>
      </c>
      <c r="F22" s="13">
        <f>Assumptions!$D$13*F15</f>
        <v/>
      </c>
      <c r="G22" s="13">
        <f>Assumptions!$D$13*G15</f>
        <v/>
      </c>
      <c r="H22" s="13">
        <f>Assumptions!$D$13*H15</f>
        <v/>
      </c>
      <c r="I22" s="13">
        <f>Assumptions!$D$13*I15</f>
        <v/>
      </c>
      <c r="J22" s="13">
        <f>Assumptions!$D$13*J15</f>
        <v/>
      </c>
      <c r="K22" s="13">
        <f>Assumptions!$D$13*K15</f>
        <v/>
      </c>
      <c r="L22" s="13">
        <f>Assumptions!$D$13*L15</f>
        <v/>
      </c>
    </row>
    <row r="23">
      <c r="A23" t="inlineStr">
        <is>
          <t>Change in NWC</t>
        </is>
      </c>
      <c r="C23" s="13">
        <f>Assumptions!$D$14*(C15-B15)</f>
        <v/>
      </c>
      <c r="D23" s="13">
        <f>Assumptions!$D$14*(D15-C15)</f>
        <v/>
      </c>
      <c r="E23" s="13">
        <f>Assumptions!$D$14*(E15-D15)</f>
        <v/>
      </c>
      <c r="F23" s="13">
        <f>Assumptions!$D$14*(F15-E15)</f>
        <v/>
      </c>
      <c r="G23" s="13">
        <f>Assumptions!$D$14*(G15-F15)</f>
        <v/>
      </c>
      <c r="H23" s="13">
        <f>Assumptions!$D$14*(H15-G15)</f>
        <v/>
      </c>
      <c r="I23" s="13">
        <f>Assumptions!$D$14*(I15-H15)</f>
        <v/>
      </c>
      <c r="J23" s="13">
        <f>Assumptions!$D$14*(J15-I15)</f>
        <v/>
      </c>
      <c r="K23" s="13">
        <f>Assumptions!$D$14*(K15-J15)</f>
        <v/>
      </c>
      <c r="L23" s="13">
        <f>Assumptions!$D$14*(L15-K15)</f>
        <v/>
      </c>
    </row>
    <row r="24">
      <c r="A24" t="inlineStr">
        <is>
          <t>FCF</t>
        </is>
      </c>
      <c r="C24" s="13">
        <f>C17-C20-C22-C23</f>
        <v/>
      </c>
      <c r="D24" s="13">
        <f>D17-D20-D22-D23</f>
        <v/>
      </c>
      <c r="E24" s="13">
        <f>E17-E20-E22-E23</f>
        <v/>
      </c>
      <c r="F24" s="13">
        <f>F17-F20-F22-F23</f>
        <v/>
      </c>
      <c r="G24" s="13">
        <f>G17-G20-G22-G23</f>
        <v/>
      </c>
      <c r="H24" s="13">
        <f>H17-H20-H22-H23</f>
        <v/>
      </c>
      <c r="I24" s="13">
        <f>I17-I20-I22-I23</f>
        <v/>
      </c>
      <c r="J24" s="13">
        <f>J17-J20-J22-J23</f>
        <v/>
      </c>
      <c r="K24" s="13">
        <f>K17-K20-K22-K23</f>
        <v/>
      </c>
      <c r="L24" s="13">
        <f>L17-L20-L22-L23</f>
        <v/>
      </c>
    </row>
    <row r="25">
      <c r="A25" t="inlineStr">
        <is>
          <t>Discount factor</t>
        </is>
      </c>
      <c r="C25" s="18">
        <f>1/(1+Assumptions!$D$10)^1</f>
        <v/>
      </c>
      <c r="D25" s="18">
        <f>1/(1+Assumptions!$D$10)^2</f>
        <v/>
      </c>
      <c r="E25" s="18">
        <f>1/(1+Assumptions!$D$10)^3</f>
        <v/>
      </c>
      <c r="F25" s="18">
        <f>1/(1+Assumptions!$D$10)^4</f>
        <v/>
      </c>
      <c r="G25" s="18">
        <f>1/(1+Assumptions!$D$10)^5</f>
        <v/>
      </c>
      <c r="H25" s="18">
        <f>1/(1+Assumptions!$D$10)^6</f>
        <v/>
      </c>
      <c r="I25" s="18">
        <f>1/(1+Assumptions!$D$10)^7</f>
        <v/>
      </c>
      <c r="J25" s="18">
        <f>1/(1+Assumptions!$D$10)^8</f>
        <v/>
      </c>
      <c r="K25" s="18">
        <f>1/(1+Assumptions!$D$10)^9</f>
        <v/>
      </c>
      <c r="L25" s="18">
        <f>1/(1+Assumptions!$D$10)^10</f>
        <v/>
      </c>
    </row>
    <row r="26">
      <c r="A26" t="inlineStr">
        <is>
          <t>PV of FCF</t>
        </is>
      </c>
      <c r="C26" s="13">
        <f>C24*C25</f>
        <v/>
      </c>
      <c r="D26" s="13">
        <f>D24*D25</f>
        <v/>
      </c>
      <c r="E26" s="13">
        <f>E24*E25</f>
        <v/>
      </c>
      <c r="F26" s="13">
        <f>F24*F25</f>
        <v/>
      </c>
      <c r="G26" s="13">
        <f>G24*G25</f>
        <v/>
      </c>
      <c r="H26" s="13">
        <f>H24*H25</f>
        <v/>
      </c>
      <c r="I26" s="13">
        <f>I24*I25</f>
        <v/>
      </c>
      <c r="J26" s="13">
        <f>J24*J25</f>
        <v/>
      </c>
      <c r="K26" s="13">
        <f>K24*K25</f>
        <v/>
      </c>
      <c r="L26" s="13">
        <f>L24*L25</f>
        <v/>
      </c>
    </row>
    <row r="27">
      <c r="A27" t="inlineStr">
        <is>
          <t>Terminal value (PV)</t>
        </is>
      </c>
      <c r="B27" s="12">
        <f>L24*(1+Assumptions!$D$11)/(Assumptions!$D$10-Assumptions!$D$11)*L25</f>
        <v/>
      </c>
    </row>
    <row r="28">
      <c r="A28" s="16" t="inlineStr">
        <is>
          <t>Liminal enterprise value</t>
        </is>
      </c>
      <c r="B28" s="19">
        <f>SUM(C26:L26)+B27</f>
        <v/>
      </c>
    </row>
    <row r="30">
      <c r="A30" t="inlineStr">
        <is>
          <t>Revenue synergy</t>
        </is>
      </c>
      <c r="C30" s="12">
        <f>INDEX(Scenario_Paths!C$15:C$17,MATCH($B$3,Scenario_Paths!$B$15:$B$17,0))</f>
        <v/>
      </c>
      <c r="D30" s="12">
        <f>INDEX(Scenario_Paths!D$15:D$17,MATCH($B$3,Scenario_Paths!$B$15:$B$17,0))</f>
        <v/>
      </c>
      <c r="E30" s="12">
        <f>INDEX(Scenario_Paths!E$15:E$17,MATCH($B$3,Scenario_Paths!$B$15:$B$17,0))</f>
        <v/>
      </c>
      <c r="F30" s="12">
        <f>INDEX(Scenario_Paths!F$15:F$17,MATCH($B$3,Scenario_Paths!$B$15:$B$17,0))</f>
        <v/>
      </c>
      <c r="G30" s="12">
        <f>INDEX(Scenario_Paths!G$15:G$17,MATCH($B$3,Scenario_Paths!$B$15:$B$17,0))</f>
        <v/>
      </c>
      <c r="H30" s="12">
        <f>INDEX(Scenario_Paths!H$15:H$17,MATCH($B$3,Scenario_Paths!$B$15:$B$17,0))</f>
        <v/>
      </c>
      <c r="I30" s="12">
        <f>INDEX(Scenario_Paths!I$15:I$17,MATCH($B$3,Scenario_Paths!$B$15:$B$17,0))</f>
        <v/>
      </c>
      <c r="J30" s="12">
        <f>INDEX(Scenario_Paths!J$15:J$17,MATCH($B$3,Scenario_Paths!$B$15:$B$17,0))</f>
        <v/>
      </c>
      <c r="K30" s="12">
        <f>INDEX(Scenario_Paths!K$15:K$17,MATCH($B$3,Scenario_Paths!$B$15:$B$17,0))</f>
        <v/>
      </c>
      <c r="L30" s="12">
        <f>INDEX(Scenario_Paths!L$15:L$17,MATCH($B$3,Scenario_Paths!$B$15:$B$17,0))</f>
        <v/>
      </c>
    </row>
    <row r="31">
      <c r="A31" t="inlineStr">
        <is>
          <t>Synergy after tax</t>
        </is>
      </c>
      <c r="C31" s="13">
        <f>C30*Assumptions!$D$25*(1-Assumptions!$D$5)*1</f>
        <v/>
      </c>
      <c r="D31" s="13">
        <f>D30*Assumptions!$D$25*(1-Assumptions!$D$5)*1</f>
        <v/>
      </c>
      <c r="E31" s="13">
        <f>E30*Assumptions!$D$25*(1-Assumptions!$D$5)*1</f>
        <v/>
      </c>
      <c r="F31" s="13">
        <f>F30*Assumptions!$D$25*(1-Assumptions!$D$5)*1</f>
        <v/>
      </c>
      <c r="G31" s="13">
        <f>G30*Assumptions!$D$25*(1-Assumptions!$D$5)*1</f>
        <v/>
      </c>
      <c r="H31" s="13">
        <f>H30*Assumptions!$D$25*(1-Assumptions!$D$5)*1</f>
        <v/>
      </c>
      <c r="I31" s="13">
        <f>I30*Assumptions!$D$25*(1-Assumptions!$D$5)*1</f>
        <v/>
      </c>
      <c r="J31" s="13">
        <f>J30*Assumptions!$D$25*(1-Assumptions!$D$5)*1</f>
        <v/>
      </c>
      <c r="K31" s="13">
        <f>K30*Assumptions!$D$25*(1-Assumptions!$D$5)*1</f>
        <v/>
      </c>
      <c r="L31" s="13">
        <f>L30*Assumptions!$D$25*(1-Assumptions!$D$5)*1</f>
        <v/>
      </c>
    </row>
    <row r="32">
      <c r="A32" t="inlineStr">
        <is>
          <t>Paytm discount factor</t>
        </is>
      </c>
      <c r="C32" s="18">
        <f>1/(1+Assumptions!$D$9)^1</f>
        <v/>
      </c>
      <c r="D32" s="18">
        <f>1/(1+Assumptions!$D$9)^2</f>
        <v/>
      </c>
      <c r="E32" s="18">
        <f>1/(1+Assumptions!$D$9)^3</f>
        <v/>
      </c>
      <c r="F32" s="18">
        <f>1/(1+Assumptions!$D$9)^4</f>
        <v/>
      </c>
      <c r="G32" s="18">
        <f>1/(1+Assumptions!$D$9)^5</f>
        <v/>
      </c>
      <c r="H32" s="18">
        <f>1/(1+Assumptions!$D$9)^6</f>
        <v/>
      </c>
      <c r="I32" s="18">
        <f>1/(1+Assumptions!$D$9)^7</f>
        <v/>
      </c>
      <c r="J32" s="18">
        <f>1/(1+Assumptions!$D$9)^8</f>
        <v/>
      </c>
      <c r="K32" s="18">
        <f>1/(1+Assumptions!$D$9)^9</f>
        <v/>
      </c>
      <c r="L32" s="18">
        <f>1/(1+Assumptions!$D$9)^10</f>
        <v/>
      </c>
    </row>
    <row r="33">
      <c r="A33" s="16" t="inlineStr">
        <is>
          <t>Synergy PV (incl. terminal)</t>
        </is>
      </c>
      <c r="B33" s="12">
        <f>SUMPRODUCT(C31:L31,C32:L32)+L31*(1+Assumptions!$D$26)/(Assumptions!$D$9-Assumptions!$D$26)*L32</f>
        <v/>
      </c>
    </row>
    <row r="35">
      <c r="A35" s="4" t="inlineStr">
        <is>
          <t>Paytm deal build</t>
        </is>
      </c>
      <c r="B35" s="4" t="inlineStr"/>
      <c r="C35" s="4" t="n">
        <v>2027</v>
      </c>
      <c r="D35" s="4" t="n">
        <v>2028</v>
      </c>
      <c r="E35" s="4" t="n">
        <v>2029</v>
      </c>
      <c r="F35" s="4" t="n">
        <v>2030</v>
      </c>
      <c r="G35" s="4" t="n">
        <v>2031</v>
      </c>
      <c r="H35" s="4" t="n">
        <v>2032</v>
      </c>
      <c r="I35" s="4" t="n">
        <v>2033</v>
      </c>
      <c r="J35" s="4" t="n">
        <v>2034</v>
      </c>
      <c r="K35" s="4" t="n">
        <v>2035</v>
      </c>
      <c r="L35" s="4" t="n">
        <v>2036</v>
      </c>
    </row>
    <row r="36">
      <c r="A36" t="inlineStr">
        <is>
          <t>Cumulative locked reserves</t>
        </is>
      </c>
      <c r="C36" s="12">
        <f>$B$5</f>
        <v/>
      </c>
      <c r="D36" s="12">
        <f>C36+$B$5</f>
        <v/>
      </c>
      <c r="E36" s="12">
        <f>D36+$B$5</f>
        <v/>
      </c>
      <c r="F36" s="12">
        <f>E36+$B$5</f>
        <v/>
      </c>
      <c r="G36" s="12">
        <f>F36+$B$5</f>
        <v/>
      </c>
      <c r="H36" s="12">
        <f>G36+$B$5</f>
        <v/>
      </c>
      <c r="I36" s="12">
        <f>H36+$B$5</f>
        <v/>
      </c>
      <c r="J36" s="12">
        <f>I36+$B$5</f>
        <v/>
      </c>
      <c r="K36" s="12">
        <f>J36+$B$5</f>
        <v/>
      </c>
      <c r="L36" s="12">
        <f>K36+$B$5</f>
        <v/>
      </c>
    </row>
    <row r="37">
      <c r="A37" t="inlineStr">
        <is>
          <t>Forgone interest on cash</t>
        </is>
      </c>
      <c r="C37" s="13">
        <f>$B$6*Assumptions!$D$6</f>
        <v/>
      </c>
      <c r="D37" s="13">
        <f>$B$6*Assumptions!$D$6</f>
        <v/>
      </c>
      <c r="E37" s="13">
        <f>$B$6*Assumptions!$D$6</f>
        <v/>
      </c>
      <c r="F37" s="13">
        <f>$B$6*Assumptions!$D$6</f>
        <v/>
      </c>
      <c r="G37" s="13">
        <f>$B$6*Assumptions!$D$6</f>
        <v/>
      </c>
      <c r="H37" s="13">
        <f>$B$6*Assumptions!$D$6</f>
        <v/>
      </c>
      <c r="I37" s="13">
        <f>$B$6*Assumptions!$D$6</f>
        <v/>
      </c>
      <c r="J37" s="13">
        <f>$B$6*Assumptions!$D$6</f>
        <v/>
      </c>
      <c r="K37" s="13">
        <f>$B$6*Assumptions!$D$6</f>
        <v/>
      </c>
      <c r="L37" s="13">
        <f>$B$6*Assumptions!$D$6</f>
        <v/>
      </c>
    </row>
    <row r="38">
      <c r="A38" t="inlineStr">
        <is>
          <t>Interest on new debt</t>
        </is>
      </c>
      <c r="C38" s="13">
        <f>$B$7*Assumptions!$D$7</f>
        <v/>
      </c>
      <c r="D38" s="13">
        <f>$B$7*Assumptions!$D$7</f>
        <v/>
      </c>
      <c r="E38" s="13">
        <f>$B$7*Assumptions!$D$7</f>
        <v/>
      </c>
      <c r="F38" s="13">
        <f>$B$7*Assumptions!$D$7</f>
        <v/>
      </c>
      <c r="G38" s="13">
        <f>$B$7*Assumptions!$D$7</f>
        <v/>
      </c>
      <c r="H38" s="13">
        <f>$B$7*Assumptions!$D$7</f>
        <v/>
      </c>
      <c r="I38" s="13">
        <f>$B$7*Assumptions!$D$7</f>
        <v/>
      </c>
      <c r="J38" s="13">
        <f>$B$7*Assumptions!$D$7</f>
        <v/>
      </c>
      <c r="K38" s="13">
        <f>$B$7*Assumptions!$D$7</f>
        <v/>
      </c>
      <c r="L38" s="13">
        <f>$B$7*Assumptions!$D$7</f>
        <v/>
      </c>
    </row>
    <row r="39">
      <c r="A39" t="inlineStr">
        <is>
          <t>Negative carry on reserves</t>
        </is>
      </c>
      <c r="C39" s="13">
        <f>C36*(Assumptions!$D$6-Assumptions!$D$8)</f>
        <v/>
      </c>
      <c r="D39" s="13">
        <f>D36*(Assumptions!$D$6-Assumptions!$D$8)</f>
        <v/>
      </c>
      <c r="E39" s="13">
        <f>E36*(Assumptions!$D$6-Assumptions!$D$8)</f>
        <v/>
      </c>
      <c r="F39" s="13">
        <f>F36*(Assumptions!$D$6-Assumptions!$D$8)</f>
        <v/>
      </c>
      <c r="G39" s="13">
        <f>G36*(Assumptions!$D$6-Assumptions!$D$8)</f>
        <v/>
      </c>
      <c r="H39" s="13">
        <f>H36*(Assumptions!$D$6-Assumptions!$D$8)</f>
        <v/>
      </c>
      <c r="I39" s="13">
        <f>I36*(Assumptions!$D$6-Assumptions!$D$8)</f>
        <v/>
      </c>
      <c r="J39" s="13">
        <f>J36*(Assumptions!$D$6-Assumptions!$D$8)</f>
        <v/>
      </c>
      <c r="K39" s="13">
        <f>K36*(Assumptions!$D$6-Assumptions!$D$8)</f>
        <v/>
      </c>
      <c r="L39" s="13">
        <f>L36*(Assumptions!$D$6-Assumptions!$D$8)</f>
        <v/>
      </c>
    </row>
    <row r="40">
      <c r="A40" t="inlineStr">
        <is>
          <t>Governance cost</t>
        </is>
      </c>
      <c r="C40" s="13">
        <f>Assumptions!$D$21</f>
        <v/>
      </c>
      <c r="D40" s="13">
        <f>Assumptions!$D$21</f>
        <v/>
      </c>
      <c r="E40" s="13">
        <f>Assumptions!$D$21</f>
        <v/>
      </c>
      <c r="F40" s="13">
        <f>Assumptions!$D$21</f>
        <v/>
      </c>
      <c r="G40" s="13">
        <f>Assumptions!$D$21</f>
        <v/>
      </c>
      <c r="H40" s="13">
        <f>Assumptions!$D$21</f>
        <v/>
      </c>
      <c r="I40" s="13">
        <f>Assumptions!$D$21</f>
        <v/>
      </c>
      <c r="J40" s="13">
        <f>Assumptions!$D$21</f>
        <v/>
      </c>
      <c r="K40" s="13">
        <f>Assumptions!$D$21</f>
        <v/>
      </c>
      <c r="L40" s="13">
        <f>Assumptions!$D$21</f>
        <v/>
      </c>
    </row>
    <row r="41">
      <c r="A41" t="inlineStr">
        <is>
          <t>PPA amortisation</t>
        </is>
      </c>
      <c r="C41" s="13">
        <f>Assumptions!$D$22</f>
        <v/>
      </c>
      <c r="D41" s="13">
        <f>Assumptions!$D$22</f>
        <v/>
      </c>
      <c r="E41" s="13">
        <f>Assumptions!$D$22</f>
        <v/>
      </c>
      <c r="F41" s="13">
        <f>Assumptions!$D$22</f>
        <v/>
      </c>
      <c r="G41" s="13">
        <f>Assumptions!$D$22</f>
        <v/>
      </c>
      <c r="H41" s="13">
        <f>Assumptions!$D$22</f>
        <v/>
      </c>
      <c r="I41" s="13">
        <f>Assumptions!$D$22</f>
        <v/>
      </c>
      <c r="J41" s="13">
        <f>Assumptions!$D$22</f>
        <v/>
      </c>
      <c r="K41" s="13">
        <f>Assumptions!$D$22</f>
        <v/>
      </c>
      <c r="L41" s="13">
        <f>Assumptions!$D$22</f>
        <v/>
      </c>
    </row>
    <row r="42">
      <c r="A42" t="inlineStr">
        <is>
          <t>Transaction costs</t>
        </is>
      </c>
      <c r="C42" s="13">
        <f>Assumptions!$D$23</f>
        <v/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0</v>
      </c>
      <c r="I42" s="13" t="n">
        <v>0</v>
      </c>
      <c r="J42" s="13" t="n">
        <v>0</v>
      </c>
      <c r="K42" s="13" t="n">
        <v>0</v>
      </c>
      <c r="L42" s="13" t="n">
        <v>0</v>
      </c>
    </row>
    <row r="43">
      <c r="A43" t="inlineStr">
        <is>
          <t>Pre-tax deal costs</t>
        </is>
      </c>
      <c r="C43" s="13">
        <f>SUM(C37:C42)</f>
        <v/>
      </c>
      <c r="D43" s="13">
        <f>SUM(D37:D42)</f>
        <v/>
      </c>
      <c r="E43" s="13">
        <f>SUM(E37:E42)</f>
        <v/>
      </c>
      <c r="F43" s="13">
        <f>SUM(F37:F42)</f>
        <v/>
      </c>
      <c r="G43" s="13">
        <f>SUM(G37:G42)</f>
        <v/>
      </c>
      <c r="H43" s="13">
        <f>SUM(H37:H42)</f>
        <v/>
      </c>
      <c r="I43" s="13">
        <f>SUM(I37:I42)</f>
        <v/>
      </c>
      <c r="J43" s="13">
        <f>SUM(J37:J42)</f>
        <v/>
      </c>
      <c r="K43" s="13">
        <f>SUM(K37:K42)</f>
        <v/>
      </c>
      <c r="L43" s="13">
        <f>SUM(L37:L42)</f>
        <v/>
      </c>
    </row>
    <row r="44">
      <c r="A44" t="inlineStr">
        <is>
          <t>Deal ΔPAT</t>
        </is>
      </c>
      <c r="C44" s="13">
        <f>-C43*(1-Assumptions!$D$5)+C21+C31+Assumptions!$D$24*(1-Assumptions!$D$5)</f>
        <v/>
      </c>
      <c r="D44" s="13">
        <f>-D43*(1-Assumptions!$D$5)+D21+D31+Assumptions!$D$24*(1-Assumptions!$D$5)</f>
        <v/>
      </c>
      <c r="E44" s="13">
        <f>-E43*(1-Assumptions!$D$5)+E21+E31+Assumptions!$D$24*(1-Assumptions!$D$5)</f>
        <v/>
      </c>
      <c r="F44" s="13">
        <f>-F43*(1-Assumptions!$D$5)+F21+F31+Assumptions!$D$24*(1-Assumptions!$D$5)</f>
        <v/>
      </c>
      <c r="G44" s="13">
        <f>-G43*(1-Assumptions!$D$5)+G21+G31+Assumptions!$D$24*(1-Assumptions!$D$5)</f>
        <v/>
      </c>
      <c r="H44" s="13">
        <f>-H43*(1-Assumptions!$D$5)+H21+H31+Assumptions!$D$24*(1-Assumptions!$D$5)</f>
        <v/>
      </c>
      <c r="I44" s="13">
        <f>-I43*(1-Assumptions!$D$5)+I21+I31+Assumptions!$D$24*(1-Assumptions!$D$5)</f>
        <v/>
      </c>
      <c r="J44" s="13">
        <f>-J43*(1-Assumptions!$D$5)+J21+J31+Assumptions!$D$24*(1-Assumptions!$D$5)</f>
        <v/>
      </c>
      <c r="K44" s="13">
        <f>-K43*(1-Assumptions!$D$5)+K21+K31+Assumptions!$D$24*(1-Assumptions!$D$5)</f>
        <v/>
      </c>
      <c r="L44" s="13">
        <f>-L43*(1-Assumptions!$D$5)+L21+L31+Assumptions!$D$24*(1-Assumptions!$D$5)</f>
        <v/>
      </c>
    </row>
    <row r="45">
      <c r="A45" t="inlineStr">
        <is>
          <t>Pro-forma PAT</t>
        </is>
      </c>
      <c r="C45" s="13">
        <f>Case_Inputs!$C$11+Case_Inputs!$C$19*(1-Assumptions!$D$5)+C44</f>
        <v/>
      </c>
      <c r="D45" s="13">
        <f>Case_Inputs!$C$11+Case_Inputs!$C$19*(1-Assumptions!$D$5)+D44</f>
        <v/>
      </c>
      <c r="E45" s="13">
        <f>Case_Inputs!$C$11+Case_Inputs!$C$19*(1-Assumptions!$D$5)+E44</f>
        <v/>
      </c>
      <c r="F45" s="13">
        <f>Case_Inputs!$C$11+Case_Inputs!$C$19*(1-Assumptions!$D$5)+F44</f>
        <v/>
      </c>
      <c r="G45" s="13">
        <f>Case_Inputs!$C$11+Case_Inputs!$C$19*(1-Assumptions!$D$5)+G44</f>
        <v/>
      </c>
      <c r="H45" s="13">
        <f>Case_Inputs!$C$11+Case_Inputs!$C$19*(1-Assumptions!$D$5)+H44</f>
        <v/>
      </c>
      <c r="I45" s="13">
        <f>Case_Inputs!$C$11+Case_Inputs!$C$19*(1-Assumptions!$D$5)+I44</f>
        <v/>
      </c>
      <c r="J45" s="13">
        <f>Case_Inputs!$C$11+Case_Inputs!$C$19*(1-Assumptions!$D$5)+J44</f>
        <v/>
      </c>
      <c r="K45" s="13">
        <f>Case_Inputs!$C$11+Case_Inputs!$C$19*(1-Assumptions!$D$5)+K44</f>
        <v/>
      </c>
      <c r="L45" s="13">
        <f>Case_Inputs!$C$11+Case_Inputs!$C$19*(1-Assumptions!$D$5)+L44</f>
        <v/>
      </c>
    </row>
    <row r="46">
      <c r="A46" t="inlineStr">
        <is>
          <t>Shares (Cr)</t>
        </is>
      </c>
      <c r="C46" s="11">
        <f>Case_Inputs!$C$6+$B$8/Assumptions!$D$41</f>
        <v/>
      </c>
      <c r="D46" s="11">
        <f>Case_Inputs!$C$6+$B$8/Assumptions!$D$41</f>
        <v/>
      </c>
      <c r="E46" s="11">
        <f>Case_Inputs!$C$6+$B$8/Assumptions!$D$41</f>
        <v/>
      </c>
      <c r="F46" s="11">
        <f>Case_Inputs!$C$6+$B$8/Assumptions!$D$41</f>
        <v/>
      </c>
      <c r="G46" s="11">
        <f>Case_Inputs!$C$6+$B$8/Assumptions!$D$41</f>
        <v/>
      </c>
      <c r="H46" s="11">
        <f>Case_Inputs!$C$6+$B$8/Assumptions!$D$41</f>
        <v/>
      </c>
      <c r="I46" s="11">
        <f>Case_Inputs!$C$6+$B$8/Assumptions!$D$41</f>
        <v/>
      </c>
      <c r="J46" s="11">
        <f>Case_Inputs!$C$6+$B$8/Assumptions!$D$41</f>
        <v/>
      </c>
      <c r="K46" s="11">
        <f>Case_Inputs!$C$6+$B$8/Assumptions!$D$41</f>
        <v/>
      </c>
      <c r="L46" s="11">
        <f>Case_Inputs!$C$6+$B$8/Assumptions!$D$41</f>
        <v/>
      </c>
    </row>
    <row r="47">
      <c r="A47" t="inlineStr">
        <is>
          <t>Pro-forma EPS (₹)</t>
        </is>
      </c>
      <c r="C47" s="20">
        <f>C45/C46</f>
        <v/>
      </c>
      <c r="D47" s="20">
        <f>D45/D46</f>
        <v/>
      </c>
      <c r="E47" s="20">
        <f>E45/E46</f>
        <v/>
      </c>
      <c r="F47" s="20">
        <f>F45/F46</f>
        <v/>
      </c>
      <c r="G47" s="20">
        <f>G45/G46</f>
        <v/>
      </c>
      <c r="H47" s="20">
        <f>H45/H46</f>
        <v/>
      </c>
      <c r="I47" s="20">
        <f>I45/I46</f>
        <v/>
      </c>
      <c r="J47" s="20">
        <f>J45/J46</f>
        <v/>
      </c>
      <c r="K47" s="20">
        <f>K45/K46</f>
        <v/>
      </c>
      <c r="L47" s="20">
        <f>L45/L46</f>
        <v/>
      </c>
    </row>
    <row r="48">
      <c r="A48" t="inlineStr">
        <is>
          <t>Standalone EPS with MDR (₹)</t>
        </is>
      </c>
      <c r="C48" s="10">
        <f>Assumptions!$D$42</f>
        <v/>
      </c>
      <c r="D48" s="10">
        <f>Assumptions!$D$42</f>
        <v/>
      </c>
      <c r="E48" s="10">
        <f>Assumptions!$D$42</f>
        <v/>
      </c>
      <c r="F48" s="10">
        <f>Assumptions!$D$42</f>
        <v/>
      </c>
      <c r="G48" s="10">
        <f>Assumptions!$D$42</f>
        <v/>
      </c>
      <c r="H48" s="10">
        <f>Assumptions!$D$42</f>
        <v/>
      </c>
      <c r="I48" s="10">
        <f>Assumptions!$D$42</f>
        <v/>
      </c>
      <c r="J48" s="10">
        <f>Assumptions!$D$42</f>
        <v/>
      </c>
      <c r="K48" s="10">
        <f>Assumptions!$D$42</f>
        <v/>
      </c>
      <c r="L48" s="10">
        <f>Assumptions!$D$42</f>
        <v/>
      </c>
    </row>
    <row r="49">
      <c r="A49" t="inlineStr">
        <is>
          <t>EPS vs ₹7.50</t>
        </is>
      </c>
      <c r="C49" s="14">
        <f>C47/Case_Inputs!$C$12-1</f>
        <v/>
      </c>
      <c r="D49" s="14">
        <f>D47/Case_Inputs!$C$12-1</f>
        <v/>
      </c>
      <c r="E49" s="14">
        <f>E47/Case_Inputs!$C$12-1</f>
        <v/>
      </c>
      <c r="F49" s="14">
        <f>F47/Case_Inputs!$C$12-1</f>
        <v/>
      </c>
      <c r="G49" s="14">
        <f>G47/Case_Inputs!$C$12-1</f>
        <v/>
      </c>
      <c r="H49" s="14">
        <f>H47/Case_Inputs!$C$12-1</f>
        <v/>
      </c>
      <c r="I49" s="14">
        <f>I47/Case_Inputs!$C$12-1</f>
        <v/>
      </c>
      <c r="J49" s="14">
        <f>J47/Case_Inputs!$C$12-1</f>
        <v/>
      </c>
      <c r="K49" s="14">
        <f>K47/Case_Inputs!$C$12-1</f>
        <v/>
      </c>
      <c r="L49" s="14">
        <f>L47/Case_Inputs!$C$12-1</f>
        <v/>
      </c>
    </row>
    <row r="50">
      <c r="A50" t="inlineStr">
        <is>
          <t>PAT breakeven flag</t>
        </is>
      </c>
      <c r="C50">
        <f>IF(C47&gt;=C48,1,0)</f>
        <v/>
      </c>
      <c r="D50">
        <f>IF(D47&gt;=D48,1,0)</f>
        <v/>
      </c>
      <c r="E50">
        <f>IF(E47&gt;=E48,1,0)</f>
        <v/>
      </c>
      <c r="F50">
        <f>IF(F47&gt;=F48,1,0)</f>
        <v/>
      </c>
      <c r="G50">
        <f>IF(G47&gt;=G48,1,0)</f>
        <v/>
      </c>
      <c r="H50">
        <f>IF(H47&gt;=H48,1,0)</f>
        <v/>
      </c>
      <c r="I50">
        <f>IF(I47&gt;=I48,1,0)</f>
        <v/>
      </c>
      <c r="J50">
        <f>IF(J47&gt;=J48,1,0)</f>
        <v/>
      </c>
      <c r="K50">
        <f>IF(K47&gt;=K48,1,0)</f>
        <v/>
      </c>
      <c r="L50">
        <f>IF(L47&gt;=L48,1,0)</f>
        <v/>
      </c>
    </row>
    <row r="51">
      <c r="A51" t="inlineStr">
        <is>
          <t>Deal operating FCF after drag</t>
        </is>
      </c>
      <c r="C51" s="13">
        <f>C24+C31+Assumptions!$D$24*(1-Assumptions!$D$5)-(C38+C40+C39+C42)*(1-Assumptions!$D$5)-$B$5</f>
        <v/>
      </c>
      <c r="D51" s="13">
        <f>D24+D31+Assumptions!$D$24*(1-Assumptions!$D$5)-(D38+D40+D39+D42)*(1-Assumptions!$D$5)-$B$5</f>
        <v/>
      </c>
      <c r="E51" s="13">
        <f>E24+E31+Assumptions!$D$24*(1-Assumptions!$D$5)-(E38+E40+E39+E42)*(1-Assumptions!$D$5)-$B$5</f>
        <v/>
      </c>
      <c r="F51" s="13">
        <f>F24+F31+Assumptions!$D$24*(1-Assumptions!$D$5)-(F38+F40+F39+F42)*(1-Assumptions!$D$5)-$B$5</f>
        <v/>
      </c>
      <c r="G51" s="13">
        <f>G24+G31+Assumptions!$D$24*(1-Assumptions!$D$5)-(G38+G40+G39+G42)*(1-Assumptions!$D$5)-$B$5</f>
        <v/>
      </c>
      <c r="H51" s="13">
        <f>H24+H31+Assumptions!$D$24*(1-Assumptions!$D$5)-(H38+H40+H39+H42)*(1-Assumptions!$D$5)-$B$5</f>
        <v/>
      </c>
      <c r="I51" s="13">
        <f>I24+I31+Assumptions!$D$24*(1-Assumptions!$D$5)-(I38+I40+I39+I42)*(1-Assumptions!$D$5)-$B$5</f>
        <v/>
      </c>
      <c r="J51" s="13">
        <f>J24+J31+Assumptions!$D$24*(1-Assumptions!$D$5)-(J38+J40+J39+J42)*(1-Assumptions!$D$5)-$B$5</f>
        <v/>
      </c>
      <c r="K51" s="13">
        <f>K24+K31+Assumptions!$D$24*(1-Assumptions!$D$5)-(K38+K40+K39+K42)*(1-Assumptions!$D$5)-$B$5</f>
        <v/>
      </c>
      <c r="L51" s="13">
        <f>L24+L31+Assumptions!$D$24*(1-Assumptions!$D$5)-(L38+L40+L39+L42)*(1-Assumptions!$D$5)-$B$5</f>
        <v/>
      </c>
    </row>
    <row r="52">
      <c r="A52" t="inlineStr">
        <is>
          <t>Cumulative operating FCF</t>
        </is>
      </c>
      <c r="C52" s="12">
        <f>C51</f>
        <v/>
      </c>
      <c r="D52" s="12">
        <f>C52+D51</f>
        <v/>
      </c>
      <c r="E52" s="12">
        <f>D52+E51</f>
        <v/>
      </c>
      <c r="F52" s="12">
        <f>E52+F51</f>
        <v/>
      </c>
      <c r="G52" s="12">
        <f>F52+G51</f>
        <v/>
      </c>
      <c r="H52" s="12">
        <f>G52+H51</f>
        <v/>
      </c>
      <c r="I52" s="12">
        <f>H52+I51</f>
        <v/>
      </c>
      <c r="J52" s="12">
        <f>I52+J51</f>
        <v/>
      </c>
      <c r="K52" s="12">
        <f>J52+K51</f>
        <v/>
      </c>
      <c r="L52" s="12">
        <f>K52+L51</f>
        <v/>
      </c>
    </row>
    <row r="53">
      <c r="A53" t="inlineStr">
        <is>
          <t>FCF breakeven flag</t>
        </is>
      </c>
      <c r="C53">
        <f>IF(C52&gt;=$B$6,1,0)</f>
        <v/>
      </c>
      <c r="D53">
        <f>IF(D52&gt;=$B$6,1,0)</f>
        <v/>
      </c>
      <c r="E53">
        <f>IF(E52&gt;=$B$6,1,0)</f>
        <v/>
      </c>
      <c r="F53">
        <f>IF(F52&gt;=$B$6,1,0)</f>
        <v/>
      </c>
      <c r="G53">
        <f>IF(G52&gt;=$B$6,1,0)</f>
        <v/>
      </c>
      <c r="H53">
        <f>IF(H52&gt;=$B$6,1,0)</f>
        <v/>
      </c>
      <c r="I53">
        <f>IF(I52&gt;=$B$6,1,0)</f>
        <v/>
      </c>
      <c r="J53">
        <f>IF(J52&gt;=$B$6,1,0)</f>
        <v/>
      </c>
      <c r="K53">
        <f>IF(K52&gt;=$B$6,1,0)</f>
        <v/>
      </c>
      <c r="L53">
        <f>IF(L52&gt;=$B$6,1,0)</f>
        <v/>
      </c>
    </row>
    <row r="54">
      <c r="A54" t="inlineStr">
        <is>
          <t>Paytm cash balance</t>
        </is>
      </c>
      <c r="B54" s="12">
        <f>Case_Inputs!$C$7-$B$6</f>
        <v/>
      </c>
      <c r="C54" s="12">
        <f>B54+Case_Inputs!$C$11+Case_Inputs!$C$19*(1-Assumptions!$D$5)+C51-C37*(1-Assumptions!$D$5)</f>
        <v/>
      </c>
      <c r="D54" s="12">
        <f>C54+Case_Inputs!$C$11+Case_Inputs!$C$19*(1-Assumptions!$D$5)+D51-D37*(1-Assumptions!$D$5)</f>
        <v/>
      </c>
      <c r="E54" s="12">
        <f>D54+Case_Inputs!$C$11+Case_Inputs!$C$19*(1-Assumptions!$D$5)+E51-E37*(1-Assumptions!$D$5)</f>
        <v/>
      </c>
      <c r="F54" s="12">
        <f>E54+Case_Inputs!$C$11+Case_Inputs!$C$19*(1-Assumptions!$D$5)+F51-F37*(1-Assumptions!$D$5)</f>
        <v/>
      </c>
      <c r="G54" s="12">
        <f>F54+Case_Inputs!$C$11+Case_Inputs!$C$19*(1-Assumptions!$D$5)+G51-G37*(1-Assumptions!$D$5)</f>
        <v/>
      </c>
      <c r="H54" s="12">
        <f>G54+Case_Inputs!$C$11+Case_Inputs!$C$19*(1-Assumptions!$D$5)+H51-H37*(1-Assumptions!$D$5)</f>
        <v/>
      </c>
      <c r="I54" s="12">
        <f>H54+Case_Inputs!$C$11+Case_Inputs!$C$19*(1-Assumptions!$D$5)+I51-I37*(1-Assumptions!$D$5)</f>
        <v/>
      </c>
      <c r="J54" s="12">
        <f>I54+Case_Inputs!$C$11+Case_Inputs!$C$19*(1-Assumptions!$D$5)+J51-J37*(1-Assumptions!$D$5)</f>
        <v/>
      </c>
      <c r="K54" s="12">
        <f>J54+Case_Inputs!$C$11+Case_Inputs!$C$19*(1-Assumptions!$D$5)+K51-K37*(1-Assumptions!$D$5)</f>
        <v/>
      </c>
      <c r="L54" s="12">
        <f>K54+Case_Inputs!$C$11+Case_Inputs!$C$19*(1-Assumptions!$D$5)+L51-L37*(1-Assumptions!$D$5)</f>
        <v/>
      </c>
    </row>
    <row r="56">
      <c r="A56" s="16" t="inlineStr">
        <is>
          <t>Liminal EV (post-churn)</t>
        </is>
      </c>
      <c r="B56" s="19">
        <f>$B$28</f>
        <v/>
      </c>
    </row>
    <row r="57">
      <c r="A57" s="16" t="inlineStr">
        <is>
          <t>Synergy PV + avoided build PV</t>
        </is>
      </c>
      <c r="B57" s="19">
        <f>$B$33+Assumptions!$D$43</f>
        <v/>
      </c>
    </row>
    <row r="58">
      <c r="A58" s="16" t="inlineStr">
        <is>
          <t>PV of capital drag (perpetual)</t>
        </is>
      </c>
      <c r="B58" s="19">
        <f>$B$5/Assumptions!$D$9</f>
        <v/>
      </c>
    </row>
    <row r="59">
      <c r="A59" s="16" t="inlineStr">
        <is>
          <t>Price paid</t>
        </is>
      </c>
      <c r="B59" s="19">
        <f>$B$9</f>
        <v/>
      </c>
    </row>
    <row r="60">
      <c r="A60" s="16" t="inlineStr">
        <is>
          <t>NPV to Paytm shareholders</t>
        </is>
      </c>
      <c r="B60" s="19">
        <f>B56+B57-B58-B59</f>
        <v/>
      </c>
    </row>
    <row r="61">
      <c r="A61" s="16" t="inlineStr">
        <is>
          <t>NPV per post-deal share (₹)</t>
        </is>
      </c>
      <c r="B61" s="21">
        <f>B60/(Case_Inputs!$C$6+$B$8/Assumptions!$D$41)</f>
        <v/>
      </c>
    </row>
    <row r="62">
      <c r="A62" s="16" t="inlineStr">
        <is>
          <t>PAT breakeven year</t>
        </is>
      </c>
      <c r="B62" s="22">
        <f>IFERROR(INDEX(C35:L35,MATCH(1,C50:L50,0)),"Never (10 yrs)")</f>
        <v/>
      </c>
    </row>
    <row r="63">
      <c r="A63" s="16" t="inlineStr">
        <is>
          <t>FCF breakeven year</t>
        </is>
      </c>
      <c r="B63" s="22">
        <f>IFERROR(INDEX(C35:L35,MATCH(1,C53:L53,0)),"Never (10 yrs)")</f>
        <v/>
      </c>
    </row>
    <row r="64">
      <c r="A64" s="16" t="inlineStr">
        <is>
          <t>Gross debt / EBITDA (x)</t>
        </is>
      </c>
      <c r="B64" s="23">
        <f>(Case_Inputs!$C$8+$B$7)/Case_Inputs!$C$10</f>
        <v/>
      </c>
    </row>
    <row r="65">
      <c r="A65" s="16" t="inlineStr">
        <is>
          <t>Interest cover (EBITDA / interest, x)</t>
        </is>
      </c>
      <c r="B65" s="21">
        <f>Case_Inputs!$C$10/((Case_Inputs!$C$8+$B$7)*Assumptions!$D$7)</f>
        <v/>
      </c>
    </row>
    <row r="66">
      <c r="A66" s="16" t="inlineStr">
        <is>
          <t>Maximum justified price (value before price)</t>
        </is>
      </c>
      <c r="B66" s="19">
        <f>B56+B57-B58</f>
        <v/>
      </c>
    </row>
  </sheetData>
  <dataValidations count="1">
    <dataValidation sqref="B3" showDropDown="0" showInputMessage="0" showErrorMessage="0" allowBlank="0" type="list">
      <formula1>"bear,base,bull"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Recommended: 24.9% stake + licence + ROFR + call option</t>
        </is>
      </c>
    </row>
    <row r="2">
      <c r="A2" s="2" t="inlineStr">
        <is>
          <t>₹400 Cr upfront cash (₹250 Cr primary + ₹150 Cr secondary), Tranche 2 up to ₹600 Cr on FY29 ARR</t>
        </is>
      </c>
    </row>
    <row r="3">
      <c r="A3" s="16" t="inlineStr">
        <is>
          <t>Scenario</t>
        </is>
      </c>
      <c r="B3" s="17" t="inlineStr">
        <is>
          <t>base</t>
        </is>
      </c>
    </row>
    <row r="4">
      <c r="A4" s="16" t="inlineStr">
        <is>
          <t>Churn</t>
        </is>
      </c>
      <c r="B4" s="8">
        <f>Assumptions!$D$17</f>
        <v/>
      </c>
    </row>
    <row r="5">
      <c r="A5" s="16" t="inlineStr">
        <is>
          <t>Annual capital drag</t>
        </is>
      </c>
      <c r="B5" s="9">
        <f>Assumptions!$D$20</f>
        <v/>
      </c>
    </row>
    <row r="6">
      <c r="A6" s="16" t="inlineStr">
        <is>
          <t>Stake</t>
        </is>
      </c>
      <c r="B6" s="8">
        <f>Assumptions!$D$29</f>
        <v/>
      </c>
    </row>
    <row r="7">
      <c r="A7" s="16" t="inlineStr">
        <is>
          <t>Upfront cash</t>
        </is>
      </c>
      <c r="B7" s="9">
        <f>Assumptions!$D$30</f>
        <v/>
      </c>
    </row>
    <row r="10">
      <c r="A10" s="4" t="inlineStr">
        <is>
          <t>Liminal (standalone)</t>
        </is>
      </c>
      <c r="B10" s="4" t="inlineStr">
        <is>
          <t>FY26</t>
        </is>
      </c>
      <c r="C10" s="4" t="inlineStr">
        <is>
          <t>FY27</t>
        </is>
      </c>
      <c r="D10" s="4" t="inlineStr">
        <is>
          <t>FY28</t>
        </is>
      </c>
      <c r="E10" s="4" t="inlineStr">
        <is>
          <t>FY29</t>
        </is>
      </c>
      <c r="F10" s="4" t="inlineStr">
        <is>
          <t>FY30</t>
        </is>
      </c>
      <c r="G10" s="4" t="inlineStr">
        <is>
          <t>FY31</t>
        </is>
      </c>
      <c r="H10" s="4" t="inlineStr">
        <is>
          <t>FY32</t>
        </is>
      </c>
      <c r="I10" s="4" t="inlineStr">
        <is>
          <t>FY33</t>
        </is>
      </c>
      <c r="J10" s="4" t="inlineStr">
        <is>
          <t>FY34</t>
        </is>
      </c>
      <c r="K10" s="4" t="inlineStr">
        <is>
          <t>FY35</t>
        </is>
      </c>
      <c r="L10" s="4" t="inlineStr">
        <is>
          <t>FY36</t>
        </is>
      </c>
    </row>
    <row r="11">
      <c r="A11" t="inlineStr">
        <is>
          <t>Growth</t>
        </is>
      </c>
      <c r="C11" s="14">
        <f>INDEX(Scenario_Paths!C$5:C$7,MATCH($B$3,Scenario_Paths!$B$5:$B$7,0))</f>
        <v/>
      </c>
      <c r="D11" s="14">
        <f>INDEX(Scenario_Paths!D$5:D$7,MATCH($B$3,Scenario_Paths!$B$5:$B$7,0))</f>
        <v/>
      </c>
      <c r="E11" s="14">
        <f>INDEX(Scenario_Paths!E$5:E$7,MATCH($B$3,Scenario_Paths!$B$5:$B$7,0))</f>
        <v/>
      </c>
      <c r="F11" s="14">
        <f>INDEX(Scenario_Paths!F$5:F$7,MATCH($B$3,Scenario_Paths!$B$5:$B$7,0))</f>
        <v/>
      </c>
      <c r="G11" s="14">
        <f>INDEX(Scenario_Paths!G$5:G$7,MATCH($B$3,Scenario_Paths!$B$5:$B$7,0))</f>
        <v/>
      </c>
      <c r="H11" s="14">
        <f>INDEX(Scenario_Paths!H$5:H$7,MATCH($B$3,Scenario_Paths!$B$5:$B$7,0))</f>
        <v/>
      </c>
      <c r="I11" s="14">
        <f>INDEX(Scenario_Paths!I$5:I$7,MATCH($B$3,Scenario_Paths!$B$5:$B$7,0))</f>
        <v/>
      </c>
      <c r="J11" s="14">
        <f>INDEX(Scenario_Paths!J$5:J$7,MATCH($B$3,Scenario_Paths!$B$5:$B$7,0))</f>
        <v/>
      </c>
      <c r="K11" s="14">
        <f>INDEX(Scenario_Paths!K$5:K$7,MATCH($B$3,Scenario_Paths!$B$5:$B$7,0))</f>
        <v/>
      </c>
      <c r="L11" s="14">
        <f>INDEX(Scenario_Paths!L$5:L$7,MATCH($B$3,Scenario_Paths!$B$5:$B$7,0))</f>
        <v/>
      </c>
    </row>
    <row r="12">
      <c r="A12" t="inlineStr">
        <is>
          <t>Margin</t>
        </is>
      </c>
      <c r="C12" s="14">
        <f>INDEX(Scenario_Paths!C$10:C$12,MATCH($B$3,Scenario_Paths!$B$10:$B$12,0))</f>
        <v/>
      </c>
      <c r="D12" s="14">
        <f>INDEX(Scenario_Paths!D$10:D$12,MATCH($B$3,Scenario_Paths!$B$10:$B$12,0))</f>
        <v/>
      </c>
      <c r="E12" s="14">
        <f>INDEX(Scenario_Paths!E$10:E$12,MATCH($B$3,Scenario_Paths!$B$10:$B$12,0))</f>
        <v/>
      </c>
      <c r="F12" s="14">
        <f>INDEX(Scenario_Paths!F$10:F$12,MATCH($B$3,Scenario_Paths!$B$10:$B$12,0))</f>
        <v/>
      </c>
      <c r="G12" s="14">
        <f>INDEX(Scenario_Paths!G$10:G$12,MATCH($B$3,Scenario_Paths!$B$10:$B$12,0))</f>
        <v/>
      </c>
      <c r="H12" s="14">
        <f>INDEX(Scenario_Paths!H$10:H$12,MATCH($B$3,Scenario_Paths!$B$10:$B$12,0))</f>
        <v/>
      </c>
      <c r="I12" s="14">
        <f>INDEX(Scenario_Paths!I$10:I$12,MATCH($B$3,Scenario_Paths!$B$10:$B$12,0))</f>
        <v/>
      </c>
      <c r="J12" s="14">
        <f>INDEX(Scenario_Paths!J$10:J$12,MATCH($B$3,Scenario_Paths!$B$10:$B$12,0))</f>
        <v/>
      </c>
      <c r="K12" s="14">
        <f>INDEX(Scenario_Paths!K$10:K$12,MATCH($B$3,Scenario_Paths!$B$10:$B$12,0))</f>
        <v/>
      </c>
      <c r="L12" s="14">
        <f>INDEX(Scenario_Paths!L$10:L$12,MATCH($B$3,Scenario_Paths!$B$10:$B$12,0))</f>
        <v/>
      </c>
    </row>
    <row r="13">
      <c r="A13" t="inlineStr">
        <is>
          <t>Revenue</t>
        </is>
      </c>
      <c r="B13" s="13">
        <f>Case_Inputs!$C$16*(1-$B$4)</f>
        <v/>
      </c>
      <c r="C13" s="13">
        <f>B13*(1+C11)</f>
        <v/>
      </c>
      <c r="D13" s="13">
        <f>C13*(1+D11)</f>
        <v/>
      </c>
      <c r="E13" s="13">
        <f>D13*(1+E11)</f>
        <v/>
      </c>
      <c r="F13" s="13">
        <f>E13*(1+F11)</f>
        <v/>
      </c>
      <c r="G13" s="13">
        <f>F13*(1+G11)</f>
        <v/>
      </c>
      <c r="H13" s="13">
        <f>G13*(1+H11)</f>
        <v/>
      </c>
      <c r="I13" s="13">
        <f>H13*(1+I11)</f>
        <v/>
      </c>
      <c r="J13" s="13">
        <f>I13*(1+J11)</f>
        <v/>
      </c>
      <c r="K13" s="13">
        <f>J13*(1+K11)</f>
        <v/>
      </c>
      <c r="L13" s="13">
        <f>K13*(1+L11)</f>
        <v/>
      </c>
    </row>
    <row r="14">
      <c r="A14" t="inlineStr">
        <is>
          <t>Sticky cost of churned ARR (col B = churned ARR base)</t>
        </is>
      </c>
      <c r="B14" s="13">
        <f>Case_Inputs!$C$16*$B$4*(1+C11)</f>
        <v/>
      </c>
      <c r="C14" s="13">
        <f>$B$14*Assumptions!$D$15</f>
        <v/>
      </c>
      <c r="D14" s="13">
        <f>$B$14*Assumptions!$D$15*0.5</f>
        <v/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0</v>
      </c>
      <c r="L14" s="13" t="n">
        <v>0</v>
      </c>
    </row>
    <row r="15">
      <c r="A15" t="inlineStr">
        <is>
          <t>EBITDA</t>
        </is>
      </c>
      <c r="C15" s="13">
        <f>C13*C12-C14</f>
        <v/>
      </c>
      <c r="D15" s="13">
        <f>D13*D12-D14</f>
        <v/>
      </c>
      <c r="E15" s="13">
        <f>E13*E12-E14</f>
        <v/>
      </c>
      <c r="F15" s="13">
        <f>F13*F12-F14</f>
        <v/>
      </c>
      <c r="G15" s="13">
        <f>G13*G12-G14</f>
        <v/>
      </c>
      <c r="H15" s="13">
        <f>H13*H12-H14</f>
        <v/>
      </c>
      <c r="I15" s="13">
        <f>I13*I12-I14</f>
        <v/>
      </c>
      <c r="J15" s="13">
        <f>J13*J12-J14</f>
        <v/>
      </c>
      <c r="K15" s="13">
        <f>K13*K12-K14</f>
        <v/>
      </c>
      <c r="L15" s="13">
        <f>L13*L12-L14</f>
        <v/>
      </c>
    </row>
    <row r="16">
      <c r="A16" t="inlineStr">
        <is>
          <t>D&amp;A</t>
        </is>
      </c>
      <c r="C16" s="13">
        <f>Assumptions!$D$12*C13</f>
        <v/>
      </c>
      <c r="D16" s="13">
        <f>Assumptions!$D$12*D13</f>
        <v/>
      </c>
      <c r="E16" s="13">
        <f>Assumptions!$D$12*E13</f>
        <v/>
      </c>
      <c r="F16" s="13">
        <f>Assumptions!$D$12*F13</f>
        <v/>
      </c>
      <c r="G16" s="13">
        <f>Assumptions!$D$12*G13</f>
        <v/>
      </c>
      <c r="H16" s="13">
        <f>Assumptions!$D$12*H13</f>
        <v/>
      </c>
      <c r="I16" s="13">
        <f>Assumptions!$D$12*I13</f>
        <v/>
      </c>
      <c r="J16" s="13">
        <f>Assumptions!$D$12*J13</f>
        <v/>
      </c>
      <c r="K16" s="13">
        <f>Assumptions!$D$12*K13</f>
        <v/>
      </c>
      <c r="L16" s="13">
        <f>Assumptions!$D$12*L13</f>
        <v/>
      </c>
    </row>
    <row r="17">
      <c r="A17" t="inlineStr">
        <is>
          <t>EBIT</t>
        </is>
      </c>
      <c r="C17" s="13">
        <f>C15-C16</f>
        <v/>
      </c>
      <c r="D17" s="13">
        <f>D15-D16</f>
        <v/>
      </c>
      <c r="E17" s="13">
        <f>E15-E16</f>
        <v/>
      </c>
      <c r="F17" s="13">
        <f>F15-F16</f>
        <v/>
      </c>
      <c r="G17" s="13">
        <f>G15-G16</f>
        <v/>
      </c>
      <c r="H17" s="13">
        <f>H15-H16</f>
        <v/>
      </c>
      <c r="I17" s="13">
        <f>I15-I16</f>
        <v/>
      </c>
      <c r="J17" s="13">
        <f>J15-J16</f>
        <v/>
      </c>
      <c r="K17" s="13">
        <f>K15-K16</f>
        <v/>
      </c>
      <c r="L17" s="13">
        <f>L15-L16</f>
        <v/>
      </c>
    </row>
    <row r="18">
      <c r="A18" t="inlineStr">
        <is>
          <t>Tax</t>
        </is>
      </c>
      <c r="C18" s="13">
        <f>MAX(C17,0)*Assumptions!$D$5</f>
        <v/>
      </c>
      <c r="D18" s="13">
        <f>MAX(D17,0)*Assumptions!$D$5</f>
        <v/>
      </c>
      <c r="E18" s="13">
        <f>MAX(E17,0)*Assumptions!$D$5</f>
        <v/>
      </c>
      <c r="F18" s="13">
        <f>MAX(F17,0)*Assumptions!$D$5</f>
        <v/>
      </c>
      <c r="G18" s="13">
        <f>MAX(G17,0)*Assumptions!$D$5</f>
        <v/>
      </c>
      <c r="H18" s="13">
        <f>MAX(H17,0)*Assumptions!$D$5</f>
        <v/>
      </c>
      <c r="I18" s="13">
        <f>MAX(I17,0)*Assumptions!$D$5</f>
        <v/>
      </c>
      <c r="J18" s="13">
        <f>MAX(J17,0)*Assumptions!$D$5</f>
        <v/>
      </c>
      <c r="K18" s="13">
        <f>MAX(K17,0)*Assumptions!$D$5</f>
        <v/>
      </c>
      <c r="L18" s="13">
        <f>MAX(L17,0)*Assumptions!$D$5</f>
        <v/>
      </c>
    </row>
    <row r="19">
      <c r="A19" t="inlineStr">
        <is>
          <t>PAT</t>
        </is>
      </c>
      <c r="C19" s="13">
        <f>C17-C18</f>
        <v/>
      </c>
      <c r="D19" s="13">
        <f>D17-D18</f>
        <v/>
      </c>
      <c r="E19" s="13">
        <f>E17-E18</f>
        <v/>
      </c>
      <c r="F19" s="13">
        <f>F17-F18</f>
        <v/>
      </c>
      <c r="G19" s="13">
        <f>G17-G18</f>
        <v/>
      </c>
      <c r="H19" s="13">
        <f>H17-H18</f>
        <v/>
      </c>
      <c r="I19" s="13">
        <f>I17-I18</f>
        <v/>
      </c>
      <c r="J19" s="13">
        <f>J17-J18</f>
        <v/>
      </c>
      <c r="K19" s="13">
        <f>K17-K18</f>
        <v/>
      </c>
      <c r="L19" s="13">
        <f>L17-L18</f>
        <v/>
      </c>
    </row>
    <row r="20">
      <c r="A20" t="inlineStr">
        <is>
          <t>Capex</t>
        </is>
      </c>
      <c r="C20" s="13">
        <f>Assumptions!$D$13*C13</f>
        <v/>
      </c>
      <c r="D20" s="13">
        <f>Assumptions!$D$13*D13</f>
        <v/>
      </c>
      <c r="E20" s="13">
        <f>Assumptions!$D$13*E13</f>
        <v/>
      </c>
      <c r="F20" s="13">
        <f>Assumptions!$D$13*F13</f>
        <v/>
      </c>
      <c r="G20" s="13">
        <f>Assumptions!$D$13*G13</f>
        <v/>
      </c>
      <c r="H20" s="13">
        <f>Assumptions!$D$13*H13</f>
        <v/>
      </c>
      <c r="I20" s="13">
        <f>Assumptions!$D$13*I13</f>
        <v/>
      </c>
      <c r="J20" s="13">
        <f>Assumptions!$D$13*J13</f>
        <v/>
      </c>
      <c r="K20" s="13">
        <f>Assumptions!$D$13*K13</f>
        <v/>
      </c>
      <c r="L20" s="13">
        <f>Assumptions!$D$13*L13</f>
        <v/>
      </c>
    </row>
    <row r="21">
      <c r="A21" t="inlineStr">
        <is>
          <t>Change in NWC</t>
        </is>
      </c>
      <c r="C21" s="13">
        <f>Assumptions!$D$14*(C13-B13)</f>
        <v/>
      </c>
      <c r="D21" s="13">
        <f>Assumptions!$D$14*(D13-C13)</f>
        <v/>
      </c>
      <c r="E21" s="13">
        <f>Assumptions!$D$14*(E13-D13)</f>
        <v/>
      </c>
      <c r="F21" s="13">
        <f>Assumptions!$D$14*(F13-E13)</f>
        <v/>
      </c>
      <c r="G21" s="13">
        <f>Assumptions!$D$14*(G13-F13)</f>
        <v/>
      </c>
      <c r="H21" s="13">
        <f>Assumptions!$D$14*(H13-G13)</f>
        <v/>
      </c>
      <c r="I21" s="13">
        <f>Assumptions!$D$14*(I13-H13)</f>
        <v/>
      </c>
      <c r="J21" s="13">
        <f>Assumptions!$D$14*(J13-I13)</f>
        <v/>
      </c>
      <c r="K21" s="13">
        <f>Assumptions!$D$14*(K13-J13)</f>
        <v/>
      </c>
      <c r="L21" s="13">
        <f>Assumptions!$D$14*(L13-K13)</f>
        <v/>
      </c>
    </row>
    <row r="22">
      <c r="A22" t="inlineStr">
        <is>
          <t>FCF</t>
        </is>
      </c>
      <c r="C22" s="13">
        <f>C15-C18-C20-C21</f>
        <v/>
      </c>
      <c r="D22" s="13">
        <f>D15-D18-D20-D21</f>
        <v/>
      </c>
      <c r="E22" s="13">
        <f>E15-E18-E20-E21</f>
        <v/>
      </c>
      <c r="F22" s="13">
        <f>F15-F18-F20-F21</f>
        <v/>
      </c>
      <c r="G22" s="13">
        <f>G15-G18-G20-G21</f>
        <v/>
      </c>
      <c r="H22" s="13">
        <f>H15-H18-H20-H21</f>
        <v/>
      </c>
      <c r="I22" s="13">
        <f>I15-I18-I20-I21</f>
        <v/>
      </c>
      <c r="J22" s="13">
        <f>J15-J18-J20-J21</f>
        <v/>
      </c>
      <c r="K22" s="13">
        <f>K15-K18-K20-K21</f>
        <v/>
      </c>
      <c r="L22" s="13">
        <f>L15-L18-L20-L21</f>
        <v/>
      </c>
    </row>
    <row r="23">
      <c r="A23" t="inlineStr">
        <is>
          <t>Discount factor</t>
        </is>
      </c>
      <c r="C23" s="18">
        <f>1/(1+Assumptions!$D$10)^1</f>
        <v/>
      </c>
      <c r="D23" s="18">
        <f>1/(1+Assumptions!$D$10)^2</f>
        <v/>
      </c>
      <c r="E23" s="18">
        <f>1/(1+Assumptions!$D$10)^3</f>
        <v/>
      </c>
      <c r="F23" s="18">
        <f>1/(1+Assumptions!$D$10)^4</f>
        <v/>
      </c>
      <c r="G23" s="18">
        <f>1/(1+Assumptions!$D$10)^5</f>
        <v/>
      </c>
      <c r="H23" s="18">
        <f>1/(1+Assumptions!$D$10)^6</f>
        <v/>
      </c>
      <c r="I23" s="18">
        <f>1/(1+Assumptions!$D$10)^7</f>
        <v/>
      </c>
      <c r="J23" s="18">
        <f>1/(1+Assumptions!$D$10)^8</f>
        <v/>
      </c>
      <c r="K23" s="18">
        <f>1/(1+Assumptions!$D$10)^9</f>
        <v/>
      </c>
      <c r="L23" s="18">
        <f>1/(1+Assumptions!$D$10)^10</f>
        <v/>
      </c>
    </row>
    <row r="24">
      <c r="A24" t="inlineStr">
        <is>
          <t>PV of FCF</t>
        </is>
      </c>
      <c r="C24" s="13">
        <f>C22*C23</f>
        <v/>
      </c>
      <c r="D24" s="13">
        <f>D22*D23</f>
        <v/>
      </c>
      <c r="E24" s="13">
        <f>E22*E23</f>
        <v/>
      </c>
      <c r="F24" s="13">
        <f>F22*F23</f>
        <v/>
      </c>
      <c r="G24" s="13">
        <f>G22*G23</f>
        <v/>
      </c>
      <c r="H24" s="13">
        <f>H22*H23</f>
        <v/>
      </c>
      <c r="I24" s="13">
        <f>I22*I23</f>
        <v/>
      </c>
      <c r="J24" s="13">
        <f>J22*J23</f>
        <v/>
      </c>
      <c r="K24" s="13">
        <f>K22*K23</f>
        <v/>
      </c>
      <c r="L24" s="13">
        <f>L22*L23</f>
        <v/>
      </c>
    </row>
    <row r="25">
      <c r="A25" t="inlineStr">
        <is>
          <t>Terminal value (PV)</t>
        </is>
      </c>
      <c r="B25" s="12">
        <f>L22*(1+Assumptions!$D$11)/(Assumptions!$D$10-Assumptions!$D$11)*L23</f>
        <v/>
      </c>
    </row>
    <row r="26">
      <c r="A26" s="16" t="inlineStr">
        <is>
          <t>Liminal enterprise value</t>
        </is>
      </c>
      <c r="B26" s="19">
        <f>SUM(C24:L24)+B25</f>
        <v/>
      </c>
    </row>
    <row r="28">
      <c r="A28" t="inlineStr">
        <is>
          <t>Revenue synergy</t>
        </is>
      </c>
      <c r="C28" s="12">
        <f>INDEX(Scenario_Paths!C$15:C$17,MATCH($B$3,Scenario_Paths!$B$15:$B$17,0))</f>
        <v/>
      </c>
      <c r="D28" s="12">
        <f>INDEX(Scenario_Paths!D$15:D$17,MATCH($B$3,Scenario_Paths!$B$15:$B$17,0))</f>
        <v/>
      </c>
      <c r="E28" s="12">
        <f>INDEX(Scenario_Paths!E$15:E$17,MATCH($B$3,Scenario_Paths!$B$15:$B$17,0))</f>
        <v/>
      </c>
      <c r="F28" s="12">
        <f>INDEX(Scenario_Paths!F$15:F$17,MATCH($B$3,Scenario_Paths!$B$15:$B$17,0))</f>
        <v/>
      </c>
      <c r="G28" s="12">
        <f>INDEX(Scenario_Paths!G$15:G$17,MATCH($B$3,Scenario_Paths!$B$15:$B$17,0))</f>
        <v/>
      </c>
      <c r="H28" s="12">
        <f>INDEX(Scenario_Paths!H$15:H$17,MATCH($B$3,Scenario_Paths!$B$15:$B$17,0))</f>
        <v/>
      </c>
      <c r="I28" s="12">
        <f>INDEX(Scenario_Paths!I$15:I$17,MATCH($B$3,Scenario_Paths!$B$15:$B$17,0))</f>
        <v/>
      </c>
      <c r="J28" s="12">
        <f>INDEX(Scenario_Paths!J$15:J$17,MATCH($B$3,Scenario_Paths!$B$15:$B$17,0))</f>
        <v/>
      </c>
      <c r="K28" s="12">
        <f>INDEX(Scenario_Paths!K$15:K$17,MATCH($B$3,Scenario_Paths!$B$15:$B$17,0))</f>
        <v/>
      </c>
      <c r="L28" s="12">
        <f>INDEX(Scenario_Paths!L$15:L$17,MATCH($B$3,Scenario_Paths!$B$15:$B$17,0))</f>
        <v/>
      </c>
    </row>
    <row r="29">
      <c r="A29" t="inlineStr">
        <is>
          <t>Synergy after tax</t>
        </is>
      </c>
      <c r="C29" s="13">
        <f>C28*Assumptions!$D$25*(1-Assumptions!$D$5)*Assumptions!$D$27</f>
        <v/>
      </c>
      <c r="D29" s="13">
        <f>D28*Assumptions!$D$25*(1-Assumptions!$D$5)*Assumptions!$D$27</f>
        <v/>
      </c>
      <c r="E29" s="13">
        <f>E28*Assumptions!$D$25*(1-Assumptions!$D$5)*Assumptions!$D$27</f>
        <v/>
      </c>
      <c r="F29" s="13">
        <f>F28*Assumptions!$D$25*(1-Assumptions!$D$5)*Assumptions!$D$27</f>
        <v/>
      </c>
      <c r="G29" s="13">
        <f>G28*Assumptions!$D$25*(1-Assumptions!$D$5)*Assumptions!$D$27</f>
        <v/>
      </c>
      <c r="H29" s="13">
        <f>H28*Assumptions!$D$25*(1-Assumptions!$D$5)*Assumptions!$D$27</f>
        <v/>
      </c>
      <c r="I29" s="13">
        <f>I28*Assumptions!$D$25*(1-Assumptions!$D$5)*Assumptions!$D$27</f>
        <v/>
      </c>
      <c r="J29" s="13">
        <f>J28*Assumptions!$D$25*(1-Assumptions!$D$5)*Assumptions!$D$27</f>
        <v/>
      </c>
      <c r="K29" s="13">
        <f>K28*Assumptions!$D$25*(1-Assumptions!$D$5)*Assumptions!$D$27</f>
        <v/>
      </c>
      <c r="L29" s="13">
        <f>L28*Assumptions!$D$25*(1-Assumptions!$D$5)*Assumptions!$D$27</f>
        <v/>
      </c>
    </row>
    <row r="30">
      <c r="A30" t="inlineStr">
        <is>
          <t>Paytm discount factor</t>
        </is>
      </c>
      <c r="C30" s="18">
        <f>1/(1+Assumptions!$D$9)^1</f>
        <v/>
      </c>
      <c r="D30" s="18">
        <f>1/(1+Assumptions!$D$9)^2</f>
        <v/>
      </c>
      <c r="E30" s="18">
        <f>1/(1+Assumptions!$D$9)^3</f>
        <v/>
      </c>
      <c r="F30" s="18">
        <f>1/(1+Assumptions!$D$9)^4</f>
        <v/>
      </c>
      <c r="G30" s="18">
        <f>1/(1+Assumptions!$D$9)^5</f>
        <v/>
      </c>
      <c r="H30" s="18">
        <f>1/(1+Assumptions!$D$9)^6</f>
        <v/>
      </c>
      <c r="I30" s="18">
        <f>1/(1+Assumptions!$D$9)^7</f>
        <v/>
      </c>
      <c r="J30" s="18">
        <f>1/(1+Assumptions!$D$9)^8</f>
        <v/>
      </c>
      <c r="K30" s="18">
        <f>1/(1+Assumptions!$D$9)^9</f>
        <v/>
      </c>
      <c r="L30" s="18">
        <f>1/(1+Assumptions!$D$9)^10</f>
        <v/>
      </c>
    </row>
    <row r="31">
      <c r="A31" s="16" t="inlineStr">
        <is>
          <t>Synergy PV (incl. terminal)</t>
        </is>
      </c>
      <c r="B31" s="12">
        <f>SUMPRODUCT(C29:L29,C30:L30)+L29*(1+Assumptions!$D$26)/(Assumptions!$D$9-Assumptions!$D$26)*L30</f>
        <v/>
      </c>
    </row>
    <row r="33">
      <c r="A33" s="16" t="inlineStr">
        <is>
          <t>Tranche 2 payable (FY30)</t>
        </is>
      </c>
      <c r="B33" s="12">
        <f>Assumptions!$D$32*MIN(MAX((E13-Assumptions!$D$33)/(Assumptions!$D$34-Assumptions!$D$33),0),1)</f>
        <v/>
      </c>
    </row>
    <row r="35">
      <c r="A35" s="4" t="inlineStr">
        <is>
          <t>Paytm deal build</t>
        </is>
      </c>
      <c r="B35" s="4" t="inlineStr"/>
      <c r="C35" s="4" t="n">
        <v>2027</v>
      </c>
      <c r="D35" s="4" t="n">
        <v>2028</v>
      </c>
      <c r="E35" s="4" t="n">
        <v>2029</v>
      </c>
      <c r="F35" s="4" t="n">
        <v>2030</v>
      </c>
      <c r="G35" s="4" t="n">
        <v>2031</v>
      </c>
      <c r="H35" s="4" t="n">
        <v>2032</v>
      </c>
      <c r="I35" s="4" t="n">
        <v>2033</v>
      </c>
      <c r="J35" s="4" t="n">
        <v>2034</v>
      </c>
      <c r="K35" s="4" t="n">
        <v>2035</v>
      </c>
      <c r="L35" s="4" t="n">
        <v>2036</v>
      </c>
    </row>
    <row r="36">
      <c r="A36" t="inlineStr">
        <is>
          <t>Cumulative cash paid</t>
        </is>
      </c>
      <c r="C36" s="12">
        <f>$B$7+IF(0&gt;=3,$B$33,0)</f>
        <v/>
      </c>
      <c r="D36" s="12">
        <f>$B$7+IF(1&gt;=3,$B$33,0)</f>
        <v/>
      </c>
      <c r="E36" s="12">
        <f>$B$7+IF(2&gt;=3,$B$33,0)</f>
        <v/>
      </c>
      <c r="F36" s="12">
        <f>$B$7+IF(3&gt;=3,$B$33,0)</f>
        <v/>
      </c>
      <c r="G36" s="12">
        <f>$B$7+IF(4&gt;=3,$B$33,0)</f>
        <v/>
      </c>
      <c r="H36" s="12">
        <f>$B$7+IF(5&gt;=3,$B$33,0)</f>
        <v/>
      </c>
      <c r="I36" s="12">
        <f>$B$7+IF(6&gt;=3,$B$33,0)</f>
        <v/>
      </c>
      <c r="J36" s="12">
        <f>$B$7+IF(7&gt;=3,$B$33,0)</f>
        <v/>
      </c>
      <c r="K36" s="12">
        <f>$B$7+IF(8&gt;=3,$B$33,0)</f>
        <v/>
      </c>
      <c r="L36" s="12">
        <f>$B$7+IF(9&gt;=3,$B$33,0)</f>
        <v/>
      </c>
    </row>
    <row r="37">
      <c r="A37" t="inlineStr">
        <is>
          <t>Forgone interest</t>
        </is>
      </c>
      <c r="C37" s="13">
        <f>-C36*Assumptions!$D$6*(1-Assumptions!$D$5)</f>
        <v/>
      </c>
      <c r="D37" s="13">
        <f>-D36*Assumptions!$D$6*(1-Assumptions!$D$5)</f>
        <v/>
      </c>
      <c r="E37" s="13">
        <f>-E36*Assumptions!$D$6*(1-Assumptions!$D$5)</f>
        <v/>
      </c>
      <c r="F37" s="13">
        <f>-F36*Assumptions!$D$6*(1-Assumptions!$D$5)</f>
        <v/>
      </c>
      <c r="G37" s="13">
        <f>-G36*Assumptions!$D$6*(1-Assumptions!$D$5)</f>
        <v/>
      </c>
      <c r="H37" s="13">
        <f>-H36*Assumptions!$D$6*(1-Assumptions!$D$5)</f>
        <v/>
      </c>
      <c r="I37" s="13">
        <f>-I36*Assumptions!$D$6*(1-Assumptions!$D$5)</f>
        <v/>
      </c>
      <c r="J37" s="13">
        <f>-J36*Assumptions!$D$6*(1-Assumptions!$D$5)</f>
        <v/>
      </c>
      <c r="K37" s="13">
        <f>-K36*Assumptions!$D$6*(1-Assumptions!$D$5)</f>
        <v/>
      </c>
      <c r="L37" s="13">
        <f>-L36*Assumptions!$D$6*(1-Assumptions!$D$5)</f>
        <v/>
      </c>
    </row>
    <row r="38">
      <c r="A38" t="inlineStr">
        <is>
          <t>Licence fee</t>
        </is>
      </c>
      <c r="C38" s="13">
        <f>-Assumptions!$D$28*(1-Assumptions!$D$5)</f>
        <v/>
      </c>
      <c r="D38" s="13">
        <f>-Assumptions!$D$28*(1-Assumptions!$D$5)</f>
        <v/>
      </c>
      <c r="E38" s="13">
        <f>-Assumptions!$D$28*(1-Assumptions!$D$5)</f>
        <v/>
      </c>
      <c r="F38" s="13">
        <f>-Assumptions!$D$28*(1-Assumptions!$D$5)</f>
        <v/>
      </c>
      <c r="G38" s="13">
        <f>-Assumptions!$D$28*(1-Assumptions!$D$5)</f>
        <v/>
      </c>
      <c r="H38" s="13">
        <f>-Assumptions!$D$28*(1-Assumptions!$D$5)</f>
        <v/>
      </c>
      <c r="I38" s="13">
        <f>-Assumptions!$D$28*(1-Assumptions!$D$5)</f>
        <v/>
      </c>
      <c r="J38" s="13">
        <f>-Assumptions!$D$28*(1-Assumptions!$D$5)</f>
        <v/>
      </c>
      <c r="K38" s="13">
        <f>-Assumptions!$D$28*(1-Assumptions!$D$5)</f>
        <v/>
      </c>
      <c r="L38" s="13">
        <f>-Assumptions!$D$28*(1-Assumptions!$D$5)</f>
        <v/>
      </c>
    </row>
    <row r="39">
      <c r="A39" t="inlineStr">
        <is>
          <t>Avoided build</t>
        </is>
      </c>
      <c r="C39" s="13">
        <f>Assumptions!$D$24*(1-Assumptions!$D$5)</f>
        <v/>
      </c>
      <c r="D39" s="13">
        <f>Assumptions!$D$24*(1-Assumptions!$D$5)</f>
        <v/>
      </c>
      <c r="E39" s="13">
        <f>Assumptions!$D$24*(1-Assumptions!$D$5)</f>
        <v/>
      </c>
      <c r="F39" s="13">
        <f>Assumptions!$D$24*(1-Assumptions!$D$5)</f>
        <v/>
      </c>
      <c r="G39" s="13">
        <f>Assumptions!$D$24*(1-Assumptions!$D$5)</f>
        <v/>
      </c>
      <c r="H39" s="13">
        <f>Assumptions!$D$24*(1-Assumptions!$D$5)</f>
        <v/>
      </c>
      <c r="I39" s="13">
        <f>Assumptions!$D$24*(1-Assumptions!$D$5)</f>
        <v/>
      </c>
      <c r="J39" s="13">
        <f>Assumptions!$D$24*(1-Assumptions!$D$5)</f>
        <v/>
      </c>
      <c r="K39" s="13">
        <f>Assumptions!$D$24*(1-Assumptions!$D$5)</f>
        <v/>
      </c>
      <c r="L39" s="13">
        <f>Assumptions!$D$24*(1-Assumptions!$D$5)</f>
        <v/>
      </c>
    </row>
    <row r="40">
      <c r="A40" t="inlineStr">
        <is>
          <t>Synergy retained (after tax)</t>
        </is>
      </c>
      <c r="C40" s="13">
        <f>C29</f>
        <v/>
      </c>
      <c r="D40" s="13">
        <f>D29</f>
        <v/>
      </c>
      <c r="E40" s="13">
        <f>E29</f>
        <v/>
      </c>
      <c r="F40" s="13">
        <f>F29</f>
        <v/>
      </c>
      <c r="G40" s="13">
        <f>G29</f>
        <v/>
      </c>
      <c r="H40" s="13">
        <f>H29</f>
        <v/>
      </c>
      <c r="I40" s="13">
        <f>I29</f>
        <v/>
      </c>
      <c r="J40" s="13">
        <f>J29</f>
        <v/>
      </c>
      <c r="K40" s="13">
        <f>K29</f>
        <v/>
      </c>
      <c r="L40" s="13">
        <f>L29</f>
        <v/>
      </c>
    </row>
    <row r="41">
      <c r="A41" t="inlineStr">
        <is>
          <t>Equity-method income</t>
        </is>
      </c>
      <c r="C41" s="13">
        <f>$B$6*(C19+Assumptions!$D$31*Assumptions!$D$6*(1-Assumptions!$D$5))</f>
        <v/>
      </c>
      <c r="D41" s="13">
        <f>$B$6*(D19+Assumptions!$D$31*Assumptions!$D$6*(1-Assumptions!$D$5))</f>
        <v/>
      </c>
      <c r="E41" s="13">
        <f>$B$6*(E19+Assumptions!$D$31*Assumptions!$D$6*(1-Assumptions!$D$5))</f>
        <v/>
      </c>
      <c r="F41" s="13">
        <f>$B$6*(F19+Assumptions!$D$31*Assumptions!$D$6*(1-Assumptions!$D$5))</f>
        <v/>
      </c>
      <c r="G41" s="13">
        <f>$B$6*(G19+Assumptions!$D$31*Assumptions!$D$6*(1-Assumptions!$D$5))</f>
        <v/>
      </c>
      <c r="H41" s="13">
        <f>$B$6*(H19+Assumptions!$D$31*Assumptions!$D$6*(1-Assumptions!$D$5))</f>
        <v/>
      </c>
      <c r="I41" s="13">
        <f>$B$6*(I19+Assumptions!$D$31*Assumptions!$D$6*(1-Assumptions!$D$5))</f>
        <v/>
      </c>
      <c r="J41" s="13">
        <f>$B$6*(J19+Assumptions!$D$31*Assumptions!$D$6*(1-Assumptions!$D$5))</f>
        <v/>
      </c>
      <c r="K41" s="13">
        <f>$B$6*(K19+Assumptions!$D$31*Assumptions!$D$6*(1-Assumptions!$D$5))</f>
        <v/>
      </c>
      <c r="L41" s="13">
        <f>$B$6*(L19+Assumptions!$D$31*Assumptions!$D$6*(1-Assumptions!$D$5))</f>
        <v/>
      </c>
    </row>
    <row r="42">
      <c r="A42" t="inlineStr">
        <is>
          <t>Deal ΔPAT</t>
        </is>
      </c>
      <c r="C42" s="13">
        <f>SUM(C37:C41)</f>
        <v/>
      </c>
      <c r="D42" s="13">
        <f>SUM(D37:D41)</f>
        <v/>
      </c>
      <c r="E42" s="13">
        <f>SUM(E37:E41)</f>
        <v/>
      </c>
      <c r="F42" s="13">
        <f>SUM(F37:F41)</f>
        <v/>
      </c>
      <c r="G42" s="13">
        <f>SUM(G37:G41)</f>
        <v/>
      </c>
      <c r="H42" s="13">
        <f>SUM(H37:H41)</f>
        <v/>
      </c>
      <c r="I42" s="13">
        <f>SUM(I37:I41)</f>
        <v/>
      </c>
      <c r="J42" s="13">
        <f>SUM(J37:J41)</f>
        <v/>
      </c>
      <c r="K42" s="13">
        <f>SUM(K37:K41)</f>
        <v/>
      </c>
      <c r="L42" s="13">
        <f>SUM(L37:L41)</f>
        <v/>
      </c>
    </row>
    <row r="43">
      <c r="A43" t="inlineStr">
        <is>
          <t>Pro-forma EPS (₹)</t>
        </is>
      </c>
      <c r="C43" s="20">
        <f>(Case_Inputs!$C$11+Case_Inputs!$C$19*(1-Assumptions!$D$5)+C42)/Case_Inputs!$C$6</f>
        <v/>
      </c>
      <c r="D43" s="20">
        <f>(Case_Inputs!$C$11+Case_Inputs!$C$19*(1-Assumptions!$D$5)+D42)/Case_Inputs!$C$6</f>
        <v/>
      </c>
      <c r="E43" s="20">
        <f>(Case_Inputs!$C$11+Case_Inputs!$C$19*(1-Assumptions!$D$5)+E42)/Case_Inputs!$C$6</f>
        <v/>
      </c>
      <c r="F43" s="20">
        <f>(Case_Inputs!$C$11+Case_Inputs!$C$19*(1-Assumptions!$D$5)+F42)/Case_Inputs!$C$6</f>
        <v/>
      </c>
      <c r="G43" s="20">
        <f>(Case_Inputs!$C$11+Case_Inputs!$C$19*(1-Assumptions!$D$5)+G42)/Case_Inputs!$C$6</f>
        <v/>
      </c>
      <c r="H43" s="20">
        <f>(Case_Inputs!$C$11+Case_Inputs!$C$19*(1-Assumptions!$D$5)+H42)/Case_Inputs!$C$6</f>
        <v/>
      </c>
      <c r="I43" s="20">
        <f>(Case_Inputs!$C$11+Case_Inputs!$C$19*(1-Assumptions!$D$5)+I42)/Case_Inputs!$C$6</f>
        <v/>
      </c>
      <c r="J43" s="20">
        <f>(Case_Inputs!$C$11+Case_Inputs!$C$19*(1-Assumptions!$D$5)+J42)/Case_Inputs!$C$6</f>
        <v/>
      </c>
      <c r="K43" s="20">
        <f>(Case_Inputs!$C$11+Case_Inputs!$C$19*(1-Assumptions!$D$5)+K42)/Case_Inputs!$C$6</f>
        <v/>
      </c>
      <c r="L43" s="20">
        <f>(Case_Inputs!$C$11+Case_Inputs!$C$19*(1-Assumptions!$D$5)+L42)/Case_Inputs!$C$6</f>
        <v/>
      </c>
    </row>
    <row r="44">
      <c r="A44" t="inlineStr">
        <is>
          <t>EPS vs ₹7.50</t>
        </is>
      </c>
      <c r="C44" s="14">
        <f>C43/Case_Inputs!$C$12-1</f>
        <v/>
      </c>
      <c r="D44" s="14">
        <f>D43/Case_Inputs!$C$12-1</f>
        <v/>
      </c>
      <c r="E44" s="14">
        <f>E43/Case_Inputs!$C$12-1</f>
        <v/>
      </c>
      <c r="F44" s="14">
        <f>F43/Case_Inputs!$C$12-1</f>
        <v/>
      </c>
      <c r="G44" s="14">
        <f>G43/Case_Inputs!$C$12-1</f>
        <v/>
      </c>
      <c r="H44" s="14">
        <f>H43/Case_Inputs!$C$12-1</f>
        <v/>
      </c>
      <c r="I44" s="14">
        <f>I43/Case_Inputs!$C$12-1</f>
        <v/>
      </c>
      <c r="J44" s="14">
        <f>J43/Case_Inputs!$C$12-1</f>
        <v/>
      </c>
      <c r="K44" s="14">
        <f>K43/Case_Inputs!$C$12-1</f>
        <v/>
      </c>
      <c r="L44" s="14">
        <f>L43/Case_Inputs!$C$12-1</f>
        <v/>
      </c>
    </row>
    <row r="45">
      <c r="A45" t="inlineStr">
        <is>
          <t>PAT breakeven flag</t>
        </is>
      </c>
      <c r="C45">
        <f>IF(C42&gt;=0,1,0)</f>
        <v/>
      </c>
      <c r="D45">
        <f>IF(D42&gt;=0,1,0)</f>
        <v/>
      </c>
      <c r="E45">
        <f>IF(E42&gt;=0,1,0)</f>
        <v/>
      </c>
      <c r="F45">
        <f>IF(F42&gt;=0,1,0)</f>
        <v/>
      </c>
      <c r="G45">
        <f>IF(G42&gt;=0,1,0)</f>
        <v/>
      </c>
      <c r="H45">
        <f>IF(H42&gt;=0,1,0)</f>
        <v/>
      </c>
      <c r="I45">
        <f>IF(I42&gt;=0,1,0)</f>
        <v/>
      </c>
      <c r="J45">
        <f>IF(J42&gt;=0,1,0)</f>
        <v/>
      </c>
      <c r="K45">
        <f>IF(K42&gt;=0,1,0)</f>
        <v/>
      </c>
      <c r="L45">
        <f>IF(L42&gt;=0,1,0)</f>
        <v/>
      </c>
    </row>
    <row r="46">
      <c r="A46" t="inlineStr">
        <is>
          <t>Look-through FCF</t>
        </is>
      </c>
      <c r="C46" s="13">
        <f>$B$6*C22+C29+(Assumptions!$D$24-Assumptions!$D$28)*(1-Assumptions!$D$5)-$B$5</f>
        <v/>
      </c>
      <c r="D46" s="13">
        <f>$B$6*D22+D29+(Assumptions!$D$24-Assumptions!$D$28)*(1-Assumptions!$D$5)-$B$5</f>
        <v/>
      </c>
      <c r="E46" s="13">
        <f>$B$6*E22+E29+(Assumptions!$D$24-Assumptions!$D$28)*(1-Assumptions!$D$5)-$B$5</f>
        <v/>
      </c>
      <c r="F46" s="13">
        <f>$B$6*F22+F29+(Assumptions!$D$24-Assumptions!$D$28)*(1-Assumptions!$D$5)-$B$5</f>
        <v/>
      </c>
      <c r="G46" s="13">
        <f>$B$6*G22+G29+(Assumptions!$D$24-Assumptions!$D$28)*(1-Assumptions!$D$5)-$B$5</f>
        <v/>
      </c>
      <c r="H46" s="13">
        <f>$B$6*H22+H29+(Assumptions!$D$24-Assumptions!$D$28)*(1-Assumptions!$D$5)-$B$5</f>
        <v/>
      </c>
      <c r="I46" s="13">
        <f>$B$6*I22+I29+(Assumptions!$D$24-Assumptions!$D$28)*(1-Assumptions!$D$5)-$B$5</f>
        <v/>
      </c>
      <c r="J46" s="13">
        <f>$B$6*J22+J29+(Assumptions!$D$24-Assumptions!$D$28)*(1-Assumptions!$D$5)-$B$5</f>
        <v/>
      </c>
      <c r="K46" s="13">
        <f>$B$6*K22+K29+(Assumptions!$D$24-Assumptions!$D$28)*(1-Assumptions!$D$5)-$B$5</f>
        <v/>
      </c>
      <c r="L46" s="13">
        <f>$B$6*L22+L29+(Assumptions!$D$24-Assumptions!$D$28)*(1-Assumptions!$D$5)-$B$5</f>
        <v/>
      </c>
    </row>
    <row r="47">
      <c r="A47" t="inlineStr">
        <is>
          <t>Cumulative look-through FCF</t>
        </is>
      </c>
      <c r="C47" s="12">
        <f>C46</f>
        <v/>
      </c>
      <c r="D47" s="12">
        <f>C47+D46</f>
        <v/>
      </c>
      <c r="E47" s="12">
        <f>D47+E46</f>
        <v/>
      </c>
      <c r="F47" s="12">
        <f>E47+F46</f>
        <v/>
      </c>
      <c r="G47" s="12">
        <f>F47+G46</f>
        <v/>
      </c>
      <c r="H47" s="12">
        <f>G47+H46</f>
        <v/>
      </c>
      <c r="I47" s="12">
        <f>H47+I46</f>
        <v/>
      </c>
      <c r="J47" s="12">
        <f>I47+J46</f>
        <v/>
      </c>
      <c r="K47" s="12">
        <f>J47+K46</f>
        <v/>
      </c>
      <c r="L47" s="12">
        <f>K47+L46</f>
        <v/>
      </c>
    </row>
    <row r="48">
      <c r="A48" t="inlineStr">
        <is>
          <t>FCF breakeven flag</t>
        </is>
      </c>
      <c r="C48">
        <f>IF(C47&gt;=C36,1,0)</f>
        <v/>
      </c>
      <c r="D48">
        <f>IF(D47&gt;=D36,1,0)</f>
        <v/>
      </c>
      <c r="E48">
        <f>IF(E47&gt;=E36,1,0)</f>
        <v/>
      </c>
      <c r="F48">
        <f>IF(F47&gt;=F36,1,0)</f>
        <v/>
      </c>
      <c r="G48">
        <f>IF(G47&gt;=G36,1,0)</f>
        <v/>
      </c>
      <c r="H48">
        <f>IF(H47&gt;=H36,1,0)</f>
        <v/>
      </c>
      <c r="I48">
        <f>IF(I47&gt;=I36,1,0)</f>
        <v/>
      </c>
      <c r="J48">
        <f>IF(J47&gt;=J36,1,0)</f>
        <v/>
      </c>
      <c r="K48">
        <f>IF(K47&gt;=K36,1,0)</f>
        <v/>
      </c>
      <c r="L48">
        <f>IF(L47&gt;=L36,1,0)</f>
        <v/>
      </c>
    </row>
    <row r="50">
      <c r="A50" s="16" t="inlineStr">
        <is>
          <t>Stake x (Liminal EV + primary cash)</t>
        </is>
      </c>
      <c r="B50" s="19">
        <f>$B$6*($B$26+Assumptions!$D$31)</f>
        <v/>
      </c>
    </row>
    <row r="51">
      <c r="A51" s="16" t="inlineStr">
        <is>
          <t>Synergy PV retained + avoided build PV</t>
        </is>
      </c>
      <c r="B51" s="19">
        <f>$B$31+Assumptions!$D$43</f>
        <v/>
      </c>
    </row>
    <row r="52">
      <c r="A52" s="16" t="inlineStr">
        <is>
          <t>PV of licence fees</t>
        </is>
      </c>
      <c r="B52" s="19">
        <f>Assumptions!$D$28*(1-Assumptions!$D$5)/Assumptions!$D$9</f>
        <v/>
      </c>
    </row>
    <row r="53">
      <c r="A53" s="16" t="inlineStr">
        <is>
          <t>Upfront cash</t>
        </is>
      </c>
      <c r="B53" s="19">
        <f>$B$7</f>
        <v/>
      </c>
    </row>
    <row r="54">
      <c r="A54" s="16" t="inlineStr">
        <is>
          <t>PV of Tranche 2</t>
        </is>
      </c>
      <c r="B54" s="19">
        <f>$B$33/(1+Assumptions!$D$9)^3</f>
        <v/>
      </c>
    </row>
    <row r="55">
      <c r="A55" s="16" t="inlineStr">
        <is>
          <t>PV of capital drag</t>
        </is>
      </c>
      <c r="B55" s="19">
        <f>$B$5/Assumptions!$D$9</f>
        <v/>
      </c>
    </row>
    <row r="56">
      <c r="A56" s="16" t="inlineStr">
        <is>
          <t>NPV to Paytm shareholders</t>
        </is>
      </c>
      <c r="B56" s="19">
        <f>B50+B51-B52-B53-B54-B55</f>
        <v/>
      </c>
    </row>
    <row r="57">
      <c r="A57" s="16" t="inlineStr">
        <is>
          <t>PAT breakeven year</t>
        </is>
      </c>
      <c r="B57" s="22">
        <f>IFERROR(INDEX(C35:L35,MATCH(1,C45:L45,0)),"Never (10 yrs)")</f>
        <v/>
      </c>
    </row>
    <row r="58">
      <c r="A58" s="16" t="inlineStr">
        <is>
          <t>FCF breakeven year (look-through)</t>
        </is>
      </c>
      <c r="B58" s="22">
        <f>IFERROR(INDEX(C35:L35,MATCH(1,C48:L48,0)),"Never (10 yrs)")</f>
        <v/>
      </c>
    </row>
    <row r="59">
      <c r="A59" s="16" t="inlineStr">
        <is>
          <t>Implied post-money valuation</t>
        </is>
      </c>
      <c r="B59" s="19">
        <f>$B$7/$B$6</f>
        <v/>
      </c>
    </row>
    <row r="60">
      <c r="A60" s="16" t="inlineStr">
        <is>
          <t>Implied post-money / ARR (x)</t>
        </is>
      </c>
      <c r="B60" s="21">
        <f>B59/Case_Inputs!$C$16</f>
        <v/>
      </c>
    </row>
    <row r="61">
      <c r="A61" s="16" t="inlineStr">
        <is>
          <t>Headline valuation if Tranche 2 paid in full</t>
        </is>
      </c>
      <c r="B61" s="19">
        <f>($B$7+Assumptions!$D$32)/$B$6</f>
        <v/>
      </c>
    </row>
    <row r="62">
      <c r="A62" s="16" t="inlineStr">
        <is>
          <t>Upfront cash as % of Paytm cash</t>
        </is>
      </c>
      <c r="B62" s="24">
        <f>$B$7/Case_Inputs!$C$7</f>
        <v/>
      </c>
    </row>
  </sheetData>
  <dataValidations count="1">
    <dataValidation sqref="B3" showDropDown="0" showInputMessage="0" showErrorMessage="0" allowBlank="0" type="list">
      <formula1>"bear,base,bull"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50:50 JV 'SettleCo' for tokenized settlement</t>
        </is>
      </c>
    </row>
    <row r="2">
      <c r="A2" s="2" t="inlineStr">
        <is>
          <t>Paytm contributes ₹400 Cr cash; joint control attracts half the capital drag</t>
        </is>
      </c>
    </row>
    <row r="3">
      <c r="A3" s="16" t="inlineStr">
        <is>
          <t>Scenario</t>
        </is>
      </c>
      <c r="B3" s="17" t="inlineStr">
        <is>
          <t>base</t>
        </is>
      </c>
    </row>
    <row r="4">
      <c r="A4" s="16" t="inlineStr">
        <is>
          <t>Annual capital drag</t>
        </is>
      </c>
      <c r="B4" s="9">
        <f>Assumptions!$D$19</f>
        <v/>
      </c>
    </row>
    <row r="6">
      <c r="A6" s="4" t="inlineStr">
        <is>
          <t>JV build</t>
        </is>
      </c>
      <c r="B6" s="4" t="inlineStr"/>
      <c r="C6" s="4" t="n">
        <v>2027</v>
      </c>
      <c r="D6" s="4" t="n">
        <v>2028</v>
      </c>
      <c r="E6" s="4" t="n">
        <v>2029</v>
      </c>
      <c r="F6" s="4" t="n">
        <v>2030</v>
      </c>
      <c r="G6" s="4" t="n">
        <v>2031</v>
      </c>
      <c r="H6" s="4" t="n">
        <v>2032</v>
      </c>
      <c r="I6" s="4" t="n">
        <v>2033</v>
      </c>
      <c r="J6" s="4" t="n">
        <v>2034</v>
      </c>
      <c r="K6" s="4" t="n">
        <v>2035</v>
      </c>
      <c r="L6" s="4" t="n">
        <v>2036</v>
      </c>
    </row>
    <row r="7">
      <c r="A7" t="inlineStr">
        <is>
          <t>Revenue synergy</t>
        </is>
      </c>
      <c r="C7" s="12">
        <f>INDEX(Scenario_Paths!C$15:C$17,MATCH($B$3,Scenario_Paths!$B$15:$B$17,0))</f>
        <v/>
      </c>
      <c r="D7" s="12">
        <f>INDEX(Scenario_Paths!D$15:D$17,MATCH($B$3,Scenario_Paths!$B$15:$B$17,0))</f>
        <v/>
      </c>
      <c r="E7" s="12">
        <f>INDEX(Scenario_Paths!E$15:E$17,MATCH($B$3,Scenario_Paths!$B$15:$B$17,0))</f>
        <v/>
      </c>
      <c r="F7" s="12">
        <f>INDEX(Scenario_Paths!F$15:F$17,MATCH($B$3,Scenario_Paths!$B$15:$B$17,0))</f>
        <v/>
      </c>
      <c r="G7" s="12">
        <f>INDEX(Scenario_Paths!G$15:G$17,MATCH($B$3,Scenario_Paths!$B$15:$B$17,0))</f>
        <v/>
      </c>
      <c r="H7" s="12">
        <f>INDEX(Scenario_Paths!H$15:H$17,MATCH($B$3,Scenario_Paths!$B$15:$B$17,0))</f>
        <v/>
      </c>
      <c r="I7" s="12">
        <f>INDEX(Scenario_Paths!I$15:I$17,MATCH($B$3,Scenario_Paths!$B$15:$B$17,0))</f>
        <v/>
      </c>
      <c r="J7" s="12">
        <f>INDEX(Scenario_Paths!J$15:J$17,MATCH($B$3,Scenario_Paths!$B$15:$B$17,0))</f>
        <v/>
      </c>
      <c r="K7" s="12">
        <f>INDEX(Scenario_Paths!K$15:K$17,MATCH($B$3,Scenario_Paths!$B$15:$B$17,0))</f>
        <v/>
      </c>
      <c r="L7" s="12">
        <f>INDEX(Scenario_Paths!L$15:L$17,MATCH($B$3,Scenario_Paths!$B$15:$B$17,0))</f>
        <v/>
      </c>
    </row>
    <row r="8">
      <c r="A8" t="inlineStr">
        <is>
          <t>JV PAT</t>
        </is>
      </c>
      <c r="C8" s="13">
        <f>(C7*Assumptions!$D$25-IF(0&lt;2,Assumptions!$D$36,0))*(1-Assumptions!$D$5)</f>
        <v/>
      </c>
      <c r="D8" s="13">
        <f>(D7*Assumptions!$D$25-IF(1&lt;2,Assumptions!$D$36,0))*(1-Assumptions!$D$5)</f>
        <v/>
      </c>
      <c r="E8" s="13">
        <f>(E7*Assumptions!$D$25-IF(2&lt;2,Assumptions!$D$36,0))*(1-Assumptions!$D$5)</f>
        <v/>
      </c>
      <c r="F8" s="13">
        <f>(F7*Assumptions!$D$25-IF(3&lt;2,Assumptions!$D$36,0))*(1-Assumptions!$D$5)</f>
        <v/>
      </c>
      <c r="G8" s="13">
        <f>(G7*Assumptions!$D$25-IF(4&lt;2,Assumptions!$D$36,0))*(1-Assumptions!$D$5)</f>
        <v/>
      </c>
      <c r="H8" s="13">
        <f>(H7*Assumptions!$D$25-IF(5&lt;2,Assumptions!$D$36,0))*(1-Assumptions!$D$5)</f>
        <v/>
      </c>
      <c r="I8" s="13">
        <f>(I7*Assumptions!$D$25-IF(6&lt;2,Assumptions!$D$36,0))*(1-Assumptions!$D$5)</f>
        <v/>
      </c>
      <c r="J8" s="13">
        <f>(J7*Assumptions!$D$25-IF(7&lt;2,Assumptions!$D$36,0))*(1-Assumptions!$D$5)</f>
        <v/>
      </c>
      <c r="K8" s="13">
        <f>(K7*Assumptions!$D$25-IF(8&lt;2,Assumptions!$D$36,0))*(1-Assumptions!$D$5)</f>
        <v/>
      </c>
      <c r="L8" s="13">
        <f>(L7*Assumptions!$D$25-IF(9&lt;2,Assumptions!$D$36,0))*(1-Assumptions!$D$5)</f>
        <v/>
      </c>
    </row>
    <row r="9">
      <c r="A9" t="inlineStr">
        <is>
          <t>Paytm 50% share</t>
        </is>
      </c>
      <c r="C9" s="13">
        <f>0.5*C8</f>
        <v/>
      </c>
      <c r="D9" s="13">
        <f>0.5*D8</f>
        <v/>
      </c>
      <c r="E9" s="13">
        <f>0.5*E8</f>
        <v/>
      </c>
      <c r="F9" s="13">
        <f>0.5*F8</f>
        <v/>
      </c>
      <c r="G9" s="13">
        <f>0.5*G8</f>
        <v/>
      </c>
      <c r="H9" s="13">
        <f>0.5*H8</f>
        <v/>
      </c>
      <c r="I9" s="13">
        <f>0.5*I8</f>
        <v/>
      </c>
      <c r="J9" s="13">
        <f>0.5*J8</f>
        <v/>
      </c>
      <c r="K9" s="13">
        <f>0.5*K8</f>
        <v/>
      </c>
      <c r="L9" s="13">
        <f>0.5*L8</f>
        <v/>
      </c>
    </row>
    <row r="10">
      <c r="A10" t="inlineStr">
        <is>
          <t>Paytm discount factor</t>
        </is>
      </c>
      <c r="C10" s="18">
        <f>1/(1+Assumptions!$D$9)^1</f>
        <v/>
      </c>
      <c r="D10" s="18">
        <f>1/(1+Assumptions!$D$9)^2</f>
        <v/>
      </c>
      <c r="E10" s="18">
        <f>1/(1+Assumptions!$D$9)^3</f>
        <v/>
      </c>
      <c r="F10" s="18">
        <f>1/(1+Assumptions!$D$9)^4</f>
        <v/>
      </c>
      <c r="G10" s="18">
        <f>1/(1+Assumptions!$D$9)^5</f>
        <v/>
      </c>
      <c r="H10" s="18">
        <f>1/(1+Assumptions!$D$9)^6</f>
        <v/>
      </c>
      <c r="I10" s="18">
        <f>1/(1+Assumptions!$D$9)^7</f>
        <v/>
      </c>
      <c r="J10" s="18">
        <f>1/(1+Assumptions!$D$9)^8</f>
        <v/>
      </c>
      <c r="K10" s="18">
        <f>1/(1+Assumptions!$D$9)^9</f>
        <v/>
      </c>
      <c r="L10" s="18">
        <f>1/(1+Assumptions!$D$9)^10</f>
        <v/>
      </c>
    </row>
    <row r="11">
      <c r="A11" t="inlineStr">
        <is>
          <t>Pro-forma EPS (₹)</t>
        </is>
      </c>
      <c r="C11" s="20">
        <f>(Case_Inputs!$C$11+Case_Inputs!$C$19*(1-Assumptions!$D$5)-Assumptions!$D$35*Assumptions!$D$6*(1-Assumptions!$D$5)+C9+Assumptions!$D$24*(1-Assumptions!$D$5))/Case_Inputs!$C$6</f>
        <v/>
      </c>
      <c r="D11" s="20">
        <f>(Case_Inputs!$C$11+Case_Inputs!$C$19*(1-Assumptions!$D$5)-Assumptions!$D$35*Assumptions!$D$6*(1-Assumptions!$D$5)+D9+Assumptions!$D$24*(1-Assumptions!$D$5))/Case_Inputs!$C$6</f>
        <v/>
      </c>
      <c r="E11" s="20">
        <f>(Case_Inputs!$C$11+Case_Inputs!$C$19*(1-Assumptions!$D$5)-Assumptions!$D$35*Assumptions!$D$6*(1-Assumptions!$D$5)+E9+Assumptions!$D$24*(1-Assumptions!$D$5))/Case_Inputs!$C$6</f>
        <v/>
      </c>
      <c r="F11" s="20">
        <f>(Case_Inputs!$C$11+Case_Inputs!$C$19*(1-Assumptions!$D$5)-Assumptions!$D$35*Assumptions!$D$6*(1-Assumptions!$D$5)+F9+Assumptions!$D$24*(1-Assumptions!$D$5))/Case_Inputs!$C$6</f>
        <v/>
      </c>
      <c r="G11" s="20">
        <f>(Case_Inputs!$C$11+Case_Inputs!$C$19*(1-Assumptions!$D$5)-Assumptions!$D$35*Assumptions!$D$6*(1-Assumptions!$D$5)+G9+Assumptions!$D$24*(1-Assumptions!$D$5))/Case_Inputs!$C$6</f>
        <v/>
      </c>
      <c r="H11" s="20">
        <f>(Case_Inputs!$C$11+Case_Inputs!$C$19*(1-Assumptions!$D$5)-Assumptions!$D$35*Assumptions!$D$6*(1-Assumptions!$D$5)+H9+Assumptions!$D$24*(1-Assumptions!$D$5))/Case_Inputs!$C$6</f>
        <v/>
      </c>
      <c r="I11" s="20">
        <f>(Case_Inputs!$C$11+Case_Inputs!$C$19*(1-Assumptions!$D$5)-Assumptions!$D$35*Assumptions!$D$6*(1-Assumptions!$D$5)+I9+Assumptions!$D$24*(1-Assumptions!$D$5))/Case_Inputs!$C$6</f>
        <v/>
      </c>
      <c r="J11" s="20">
        <f>(Case_Inputs!$C$11+Case_Inputs!$C$19*(1-Assumptions!$D$5)-Assumptions!$D$35*Assumptions!$D$6*(1-Assumptions!$D$5)+J9+Assumptions!$D$24*(1-Assumptions!$D$5))/Case_Inputs!$C$6</f>
        <v/>
      </c>
      <c r="K11" s="20">
        <f>(Case_Inputs!$C$11+Case_Inputs!$C$19*(1-Assumptions!$D$5)-Assumptions!$D$35*Assumptions!$D$6*(1-Assumptions!$D$5)+K9+Assumptions!$D$24*(1-Assumptions!$D$5))/Case_Inputs!$C$6</f>
        <v/>
      </c>
      <c r="L11" s="20">
        <f>(Case_Inputs!$C$11+Case_Inputs!$C$19*(1-Assumptions!$D$5)-Assumptions!$D$35*Assumptions!$D$6*(1-Assumptions!$D$5)+L9+Assumptions!$D$24*(1-Assumptions!$D$5))/Case_Inputs!$C$6</f>
        <v/>
      </c>
    </row>
    <row r="12">
      <c r="A12" t="inlineStr">
        <is>
          <t>PAT breakeven flag</t>
        </is>
      </c>
      <c r="C12">
        <f>IF(C11&gt;=Assumptions!$D$42,1,0)</f>
        <v/>
      </c>
      <c r="D12">
        <f>IF(D11&gt;=Assumptions!$D$42,1,0)</f>
        <v/>
      </c>
      <c r="E12">
        <f>IF(E11&gt;=Assumptions!$D$42,1,0)</f>
        <v/>
      </c>
      <c r="F12">
        <f>IF(F11&gt;=Assumptions!$D$42,1,0)</f>
        <v/>
      </c>
      <c r="G12">
        <f>IF(G11&gt;=Assumptions!$D$42,1,0)</f>
        <v/>
      </c>
      <c r="H12">
        <f>IF(H11&gt;=Assumptions!$D$42,1,0)</f>
        <v/>
      </c>
      <c r="I12">
        <f>IF(I11&gt;=Assumptions!$D$42,1,0)</f>
        <v/>
      </c>
      <c r="J12">
        <f>IF(J11&gt;=Assumptions!$D$42,1,0)</f>
        <v/>
      </c>
      <c r="K12">
        <f>IF(K11&gt;=Assumptions!$D$42,1,0)</f>
        <v/>
      </c>
      <c r="L12">
        <f>IF(L11&gt;=Assumptions!$D$42,1,0)</f>
        <v/>
      </c>
    </row>
    <row r="15">
      <c r="A15" s="16" t="inlineStr">
        <is>
          <t>PV of Paytm JV share (incl. terminal)</t>
        </is>
      </c>
      <c r="B15" s="19">
        <f>SUMPRODUCT(C9:L9,C10:L10)+L9*(1+Assumptions!$D$26)/(Assumptions!$D$9-Assumptions!$D$26)*L10</f>
        <v/>
      </c>
    </row>
    <row r="16">
      <c r="A16" s="16" t="inlineStr">
        <is>
          <t>Avoided build PV</t>
        </is>
      </c>
      <c r="B16" s="19">
        <f>Assumptions!$D$43</f>
        <v/>
      </c>
    </row>
    <row r="17">
      <c r="A17" s="16" t="inlineStr">
        <is>
          <t>Cash contributed</t>
        </is>
      </c>
      <c r="B17" s="19">
        <f>Assumptions!$D$35</f>
        <v/>
      </c>
    </row>
    <row r="18">
      <c r="A18" s="16" t="inlineStr">
        <is>
          <t>PV of capital drag</t>
        </is>
      </c>
      <c r="B18" s="19">
        <f>$B$4/Assumptions!$D$9</f>
        <v/>
      </c>
    </row>
    <row r="19">
      <c r="A19" s="16" t="inlineStr">
        <is>
          <t>NPV to Paytm shareholders</t>
        </is>
      </c>
      <c r="B19" s="19">
        <f>B15+B16-B17-B18</f>
        <v/>
      </c>
    </row>
    <row r="20">
      <c r="A20" s="16" t="inlineStr">
        <is>
          <t>PAT breakeven year</t>
        </is>
      </c>
      <c r="B20" s="22">
        <f>IFERROR(INDEX(C6:L6,MATCH(1,C12:L12,0)),"Never (10 yrs)")</f>
        <v/>
      </c>
    </row>
  </sheetData>
  <dataValidations count="1">
    <dataValidation sqref="B3" showDropDown="0" showInputMessage="0" showErrorMessage="0" allowBlank="0" type="list">
      <formula1>"bear,base,bull"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50" customWidth="1" min="2" max="2"/>
  </cols>
  <sheetData>
    <row r="1">
      <c r="A1" s="1" t="inlineStr">
        <is>
          <t>Walk away</t>
        </is>
      </c>
    </row>
    <row r="2">
      <c r="A2" s="2" t="inlineStr">
        <is>
          <t>EPS benefits from the MDR regardless; strategic cost is the forgone synergy and the consortium owning Liminal</t>
        </is>
      </c>
    </row>
    <row r="4">
      <c r="A4" t="inlineStr">
        <is>
          <t>EPS with MDR (₹)</t>
        </is>
      </c>
      <c r="B4" s="11">
        <f>Assumptions!$D$42</f>
        <v/>
      </c>
    </row>
    <row r="5">
      <c r="A5" t="inlineStr">
        <is>
          <t>NPV</t>
        </is>
      </c>
      <c r="B5" t="n">
        <v>0</v>
      </c>
    </row>
    <row r="6">
      <c r="A6" t="inlineStr">
        <is>
          <t>Forgone synergy PV, base (values from model run)</t>
        </is>
      </c>
      <c r="B6" s="12" t="n">
        <v>406</v>
      </c>
    </row>
    <row r="7">
      <c r="A7" t="inlineStr">
        <is>
          <t>Block on consortium</t>
        </is>
      </c>
      <c r="B7" t="inlineStr">
        <is>
          <t>None: licence can be terminated on change of control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Four paths compared</t>
        </is>
      </c>
    </row>
    <row r="2">
      <c r="A2" s="2" t="inlineStr">
        <is>
          <t>Live rows follow each sheet's selectors; scenario table and matrix below</t>
        </is>
      </c>
    </row>
    <row r="4">
      <c r="A4" s="4" t="inlineStr">
        <is>
          <t>Live (per sheet selectors)</t>
        </is>
      </c>
      <c r="B4" s="4" t="inlineStr">
        <is>
          <t>Full acquisition</t>
        </is>
      </c>
      <c r="C4" s="4" t="inlineStr">
        <is>
          <t>24.9% minority</t>
        </is>
      </c>
      <c r="D4" s="4" t="inlineStr">
        <is>
          <t>JV</t>
        </is>
      </c>
      <c r="E4" s="4" t="inlineStr">
        <is>
          <t>Walk away</t>
        </is>
      </c>
    </row>
    <row r="5">
      <c r="A5" t="inlineStr">
        <is>
          <t>NPV</t>
        </is>
      </c>
      <c r="B5" s="12">
        <f>Full_Acq!$B$60</f>
        <v/>
      </c>
      <c r="C5" s="12">
        <f>Minority!$B$56</f>
        <v/>
      </c>
      <c r="D5" s="12">
        <f>JV!$B$19</f>
        <v/>
      </c>
      <c r="E5" s="12">
        <f>0</f>
        <v/>
      </c>
    </row>
    <row r="6">
      <c r="A6" t="inlineStr">
        <is>
          <t>FY27 EPS (₹)</t>
        </is>
      </c>
      <c r="B6" s="10">
        <f>Full_Acq!$C$47</f>
        <v/>
      </c>
      <c r="C6" s="10">
        <f>Minority!$C$43</f>
        <v/>
      </c>
      <c r="D6" s="10">
        <f>JV!$C$11</f>
        <v/>
      </c>
      <c r="E6" s="10">
        <f>Assumptions!$D$42</f>
        <v/>
      </c>
    </row>
    <row r="7">
      <c r="A7" t="inlineStr">
        <is>
          <t>PAT breakeven</t>
        </is>
      </c>
      <c r="B7" s="12">
        <f>Full_Acq!$B$62</f>
        <v/>
      </c>
      <c r="C7" s="12">
        <f>Minority!$B$57</f>
        <v/>
      </c>
      <c r="D7" s="12">
        <f>JV!$B$20</f>
        <v/>
      </c>
      <c r="E7" s="12">
        <f>"n/a"</f>
        <v/>
      </c>
    </row>
    <row r="8">
      <c r="A8" t="inlineStr">
        <is>
          <t>FCF breakeven</t>
        </is>
      </c>
      <c r="B8" s="12">
        <f>Full_Acq!$B$63</f>
        <v/>
      </c>
      <c r="C8" s="12">
        <f>Minority!$B$58</f>
        <v/>
      </c>
      <c r="D8" s="12">
        <f>"n/a"</f>
        <v/>
      </c>
      <c r="E8" s="12">
        <f>"n/a"</f>
        <v/>
      </c>
    </row>
    <row r="10">
      <c r="A10" s="16" t="inlineStr">
        <is>
          <t>NPV by scenario (values from model run)</t>
        </is>
      </c>
    </row>
    <row r="11">
      <c r="A11" s="4" t="inlineStr">
        <is>
          <t>Scenario</t>
        </is>
      </c>
      <c r="B11" s="4" t="inlineStr">
        <is>
          <t>Full acquisition</t>
        </is>
      </c>
      <c r="C11" s="4" t="inlineStr">
        <is>
          <t>24.9% minority</t>
        </is>
      </c>
      <c r="D11" s="4" t="inlineStr">
        <is>
          <t>JV</t>
        </is>
      </c>
      <c r="E11" s="4" t="inlineStr">
        <is>
          <t>Walk away</t>
        </is>
      </c>
    </row>
    <row r="12">
      <c r="A12" t="inlineStr">
        <is>
          <t>bear</t>
        </is>
      </c>
      <c r="B12" s="12" t="n">
        <v>-8374</v>
      </c>
      <c r="C12" s="12" t="n">
        <v>-113</v>
      </c>
      <c r="D12" s="12" t="n">
        <v>-2613</v>
      </c>
      <c r="E12" t="n">
        <v>0</v>
      </c>
    </row>
    <row r="13">
      <c r="A13" t="inlineStr">
        <is>
          <t>base</t>
        </is>
      </c>
      <c r="B13" s="12" t="n">
        <v>-7638</v>
      </c>
      <c r="C13" s="12" t="n">
        <v>211</v>
      </c>
      <c r="D13" s="12" t="n">
        <v>-2544</v>
      </c>
      <c r="E13" t="n">
        <v>0</v>
      </c>
    </row>
    <row r="14">
      <c r="A14" t="inlineStr">
        <is>
          <t>bull</t>
        </is>
      </c>
      <c r="B14" s="12" t="n">
        <v>-6892</v>
      </c>
      <c r="C14" s="12" t="n">
        <v>204</v>
      </c>
      <c r="D14" s="12" t="n">
        <v>-2483</v>
      </c>
      <c r="E14" t="n">
        <v>0</v>
      </c>
    </row>
    <row r="15">
      <c r="A15" s="16" t="inlineStr">
        <is>
          <t>Probability-weighted (live)</t>
        </is>
      </c>
      <c r="B15" s="19">
        <f>B12*Assumptions!$D$37+B13*Assumptions!$D$38+B14*Assumptions!$D$39</f>
        <v/>
      </c>
      <c r="C15" s="19">
        <f>C12*Assumptions!$D$37+C13*Assumptions!$D$38+C14*Assumptions!$D$39</f>
        <v/>
      </c>
      <c r="D15" s="19">
        <f>D12*Assumptions!$D$37+D13*Assumptions!$D$38+D14*Assumptions!$D$39</f>
        <v/>
      </c>
      <c r="E15" s="19">
        <f>E12*Assumptions!$D$37+E13*Assumptions!$D$38+E14*Assumptions!$D$39</f>
        <v/>
      </c>
    </row>
    <row r="17">
      <c r="A17" s="16" t="inlineStr">
        <is>
          <t>Decision matrix (A28 weights, scores 1 to 5)</t>
        </is>
      </c>
    </row>
    <row r="18">
      <c r="A18" s="4" t="inlineStr">
        <is>
          <t>Criterion</t>
        </is>
      </c>
      <c r="B18" s="4" t="inlineStr">
        <is>
          <t>Weight</t>
        </is>
      </c>
      <c r="C18" s="4" t="inlineStr">
        <is>
          <t>Full</t>
        </is>
      </c>
      <c r="D18" s="4" t="inlineStr">
        <is>
          <t>Minority</t>
        </is>
      </c>
      <c r="E18" s="4" t="inlineStr">
        <is>
          <t>JV</t>
        </is>
      </c>
      <c r="F18" s="4" t="inlineStr">
        <is>
          <t>Walk</t>
        </is>
      </c>
    </row>
    <row r="19">
      <c r="A19" t="inlineStr">
        <is>
          <t>Shareholder value (NPV)</t>
        </is>
      </c>
      <c r="B19" s="25" t="n">
        <v>0.25</v>
      </c>
      <c r="C19" s="17" t="n">
        <v>1</v>
      </c>
      <c r="D19" s="17" t="n">
        <v>4</v>
      </c>
      <c r="E19" s="17" t="n">
        <v>2</v>
      </c>
      <c r="F19" s="17" t="n">
        <v>4</v>
      </c>
    </row>
    <row r="20">
      <c r="A20" t="inlineStr">
        <is>
          <t>EPS and FCF impact</t>
        </is>
      </c>
      <c r="B20" s="25" t="n">
        <v>0.15</v>
      </c>
      <c r="C20" s="17" t="n">
        <v>1</v>
      </c>
      <c r="D20" s="17" t="n">
        <v>4</v>
      </c>
      <c r="E20" s="17" t="n">
        <v>3</v>
      </c>
      <c r="F20" s="17" t="n">
        <v>5</v>
      </c>
    </row>
    <row r="21">
      <c r="A21" t="inlineStr">
        <is>
          <t>Balance sheet and rating</t>
        </is>
      </c>
      <c r="B21" s="25" t="n">
        <v>0.1</v>
      </c>
      <c r="C21" s="17" t="n">
        <v>2</v>
      </c>
      <c r="D21" s="17" t="n">
        <v>5</v>
      </c>
      <c r="E21" s="17" t="n">
        <v>4</v>
      </c>
      <c r="F21" s="17" t="n">
        <v>5</v>
      </c>
    </row>
    <row r="22">
      <c r="A22" t="inlineStr">
        <is>
          <t>Client churn risk</t>
        </is>
      </c>
      <c r="B22" s="25" t="n">
        <v>0.15</v>
      </c>
      <c r="C22" s="17" t="n">
        <v>1</v>
      </c>
      <c r="D22" s="17" t="n">
        <v>4</v>
      </c>
      <c r="E22" s="17" t="n">
        <v>4</v>
      </c>
      <c r="F22" s="17" t="n">
        <v>5</v>
      </c>
    </row>
    <row r="23">
      <c r="A23" t="inlineStr">
        <is>
          <t>Regulatory and capital drag exposure</t>
        </is>
      </c>
      <c r="B23" s="25" t="n">
        <v>0.1</v>
      </c>
      <c r="C23" s="17" t="n">
        <v>1</v>
      </c>
      <c r="D23" s="17" t="n">
        <v>4</v>
      </c>
      <c r="E23" s="17" t="n">
        <v>2</v>
      </c>
      <c r="F23" s="17" t="n">
        <v>5</v>
      </c>
    </row>
    <row r="24">
      <c r="A24" t="inlineStr">
        <is>
          <t>Strategic access to custody and tokenization</t>
        </is>
      </c>
      <c r="B24" s="25" t="n">
        <v>0.15</v>
      </c>
      <c r="C24" s="17" t="n">
        <v>5</v>
      </c>
      <c r="D24" s="17" t="n">
        <v>4</v>
      </c>
      <c r="E24" s="17" t="n">
        <v>3</v>
      </c>
      <c r="F24" s="17" t="n">
        <v>1</v>
      </c>
    </row>
    <row r="25">
      <c r="A25" t="inlineStr">
        <is>
          <t>Block on the consortium</t>
        </is>
      </c>
      <c r="B25" s="25" t="n">
        <v>0.1</v>
      </c>
      <c r="C25" s="17" t="n">
        <v>5</v>
      </c>
      <c r="D25" s="17" t="n">
        <v>4</v>
      </c>
      <c r="E25" s="17" t="n">
        <v>1</v>
      </c>
      <c r="F25" s="17" t="n">
        <v>1</v>
      </c>
    </row>
    <row r="26">
      <c r="A26" s="16" t="inlineStr">
        <is>
          <t>Weighted score</t>
        </is>
      </c>
      <c r="C26" s="23">
        <f>SUMPRODUCT($B$19:$B$25,C19:C25)</f>
        <v/>
      </c>
      <c r="D26" s="23">
        <f>SUMPRODUCT($B$19:$B$25,D19:D25)</f>
        <v/>
      </c>
      <c r="E26" s="23">
        <f>SUMPRODUCT($B$19:$B$25,E19:E25)</f>
        <v/>
      </c>
      <c r="F26" s="23">
        <f>SUMPRODUCT($B$19:$B$25,F19:F25)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Full acquisition stress tests (values from model run)</t>
        </is>
      </c>
    </row>
    <row r="2">
      <c r="A2" s="2" t="inlineStr">
        <is>
          <t>NPV by churn and annual drag; maximum justified price; breakeven churn</t>
        </is>
      </c>
    </row>
    <row r="4">
      <c r="A4" s="16" t="inlineStr">
        <is>
          <t>NPV grid, base</t>
        </is>
      </c>
    </row>
    <row r="5">
      <c r="A5" s="4" t="inlineStr">
        <is>
          <t>Annual drag \ churn</t>
        </is>
      </c>
      <c r="B5" s="4" t="inlineStr">
        <is>
          <t>0.0%</t>
        </is>
      </c>
      <c r="C5" s="4" t="inlineStr">
        <is>
          <t>15.0%</t>
        </is>
      </c>
      <c r="D5" s="4" t="inlineStr">
        <is>
          <t>30.0%</t>
        </is>
      </c>
      <c r="E5" s="4" t="inlineStr">
        <is>
          <t>37.5%</t>
        </is>
      </c>
      <c r="F5" s="4" t="inlineStr">
        <is>
          <t>45.0%</t>
        </is>
      </c>
      <c r="G5" s="4" t="inlineStr">
        <is>
          <t>60.0%</t>
        </is>
      </c>
    </row>
    <row r="6">
      <c r="A6" t="n">
        <v>0</v>
      </c>
      <c r="B6" s="12" t="n">
        <v>-2203</v>
      </c>
      <c r="C6" s="12" t="n">
        <v>-2440</v>
      </c>
      <c r="D6" s="12" t="n">
        <v>-2679</v>
      </c>
      <c r="E6" s="12" t="n">
        <v>-2799</v>
      </c>
      <c r="F6" s="12" t="n">
        <v>-2921</v>
      </c>
      <c r="G6" s="12" t="n">
        <v>-3164</v>
      </c>
    </row>
    <row r="7">
      <c r="A7" t="n">
        <v>250</v>
      </c>
      <c r="B7" s="12" t="n">
        <v>-3816</v>
      </c>
      <c r="C7" s="12" t="n">
        <v>-4053</v>
      </c>
      <c r="D7" s="12" t="n">
        <v>-4292</v>
      </c>
      <c r="E7" s="12" t="n">
        <v>-4412</v>
      </c>
      <c r="F7" s="12" t="n">
        <v>-4534</v>
      </c>
      <c r="G7" s="12" t="n">
        <v>-4777</v>
      </c>
    </row>
    <row r="8">
      <c r="A8" t="n">
        <v>500</v>
      </c>
      <c r="B8" s="12" t="n">
        <v>-5429</v>
      </c>
      <c r="C8" s="12" t="n">
        <v>-5666</v>
      </c>
      <c r="D8" s="12" t="n">
        <v>-5905</v>
      </c>
      <c r="E8" s="12" t="n">
        <v>-6025</v>
      </c>
      <c r="F8" s="12" t="n">
        <v>-6147</v>
      </c>
      <c r="G8" s="12" t="n">
        <v>-6390</v>
      </c>
    </row>
    <row r="9">
      <c r="A9" t="n">
        <v>750</v>
      </c>
      <c r="B9" s="12" t="n">
        <v>-7042</v>
      </c>
      <c r="C9" s="12" t="n">
        <v>-7279</v>
      </c>
      <c r="D9" s="12" t="n">
        <v>-7518</v>
      </c>
      <c r="E9" s="12" t="n">
        <v>-7638</v>
      </c>
      <c r="F9" s="12" t="n">
        <v>-7760</v>
      </c>
      <c r="G9" s="12" t="n">
        <v>-8002</v>
      </c>
    </row>
    <row r="12">
      <c r="A12" s="16" t="inlineStr">
        <is>
          <t>NPV grid, bull</t>
        </is>
      </c>
    </row>
    <row r="13">
      <c r="A13" s="4" t="inlineStr">
        <is>
          <t>Annual drag \ churn</t>
        </is>
      </c>
      <c r="B13" s="4" t="inlineStr">
        <is>
          <t>0.0%</t>
        </is>
      </c>
      <c r="C13" s="4" t="inlineStr">
        <is>
          <t>15.0%</t>
        </is>
      </c>
      <c r="D13" s="4" t="inlineStr">
        <is>
          <t>30.0%</t>
        </is>
      </c>
      <c r="E13" s="4" t="inlineStr">
        <is>
          <t>37.5%</t>
        </is>
      </c>
      <c r="F13" s="4" t="inlineStr">
        <is>
          <t>45.0%</t>
        </is>
      </c>
      <c r="G13" s="4" t="inlineStr">
        <is>
          <t>60.0%</t>
        </is>
      </c>
    </row>
    <row r="14">
      <c r="A14" t="n">
        <v>0</v>
      </c>
      <c r="B14" s="12" t="n">
        <v>-1073</v>
      </c>
      <c r="C14" s="12" t="n">
        <v>-1463</v>
      </c>
      <c r="D14" s="12" t="n">
        <v>-1857</v>
      </c>
      <c r="E14" s="12" t="n">
        <v>-2054</v>
      </c>
      <c r="F14" s="12" t="n">
        <v>-2251</v>
      </c>
      <c r="G14" s="12" t="n">
        <v>-2650</v>
      </c>
    </row>
    <row r="15">
      <c r="A15" t="n">
        <v>250</v>
      </c>
      <c r="B15" s="12" t="n">
        <v>-2686</v>
      </c>
      <c r="C15" s="12" t="n">
        <v>-3076</v>
      </c>
      <c r="D15" s="12" t="n">
        <v>-3469</v>
      </c>
      <c r="E15" s="12" t="n">
        <v>-3666</v>
      </c>
      <c r="F15" s="12" t="n">
        <v>-3864</v>
      </c>
      <c r="G15" s="12" t="n">
        <v>-4263</v>
      </c>
    </row>
    <row r="16">
      <c r="A16" t="n">
        <v>500</v>
      </c>
      <c r="B16" s="12" t="n">
        <v>-4299</v>
      </c>
      <c r="C16" s="12" t="n">
        <v>-4688</v>
      </c>
      <c r="D16" s="12" t="n">
        <v>-5082</v>
      </c>
      <c r="E16" s="12" t="n">
        <v>-5279</v>
      </c>
      <c r="F16" s="12" t="n">
        <v>-5477</v>
      </c>
      <c r="G16" s="12" t="n">
        <v>-5875</v>
      </c>
    </row>
    <row r="17">
      <c r="A17" t="n">
        <v>750</v>
      </c>
      <c r="B17" s="12" t="n">
        <v>-5912</v>
      </c>
      <c r="C17" s="12" t="n">
        <v>-6301</v>
      </c>
      <c r="D17" s="12" t="n">
        <v>-6695</v>
      </c>
      <c r="E17" s="12" t="n">
        <v>-6892</v>
      </c>
      <c r="F17" s="12" t="n">
        <v>-7090</v>
      </c>
      <c r="G17" s="12" t="n">
        <v>-7488</v>
      </c>
    </row>
    <row r="20">
      <c r="A20" s="16" t="inlineStr">
        <is>
          <t>NPV grid, bear</t>
        </is>
      </c>
    </row>
    <row r="21">
      <c r="A21" s="4" t="inlineStr">
        <is>
          <t>Annual drag \ churn</t>
        </is>
      </c>
      <c r="B21" s="4" t="inlineStr">
        <is>
          <t>0.0%</t>
        </is>
      </c>
      <c r="C21" s="4" t="inlineStr">
        <is>
          <t>15.0%</t>
        </is>
      </c>
      <c r="D21" s="4" t="inlineStr">
        <is>
          <t>30.0%</t>
        </is>
      </c>
      <c r="E21" s="4" t="inlineStr">
        <is>
          <t>37.5%</t>
        </is>
      </c>
      <c r="F21" s="4" t="inlineStr">
        <is>
          <t>45.0%</t>
        </is>
      </c>
      <c r="G21" s="4" t="inlineStr">
        <is>
          <t>60.0%</t>
        </is>
      </c>
    </row>
    <row r="22">
      <c r="A22" t="n">
        <v>0</v>
      </c>
      <c r="B22" s="12" t="n">
        <v>-3303</v>
      </c>
      <c r="C22" s="12" t="n">
        <v>-3395</v>
      </c>
      <c r="D22" s="12" t="n">
        <v>-3488</v>
      </c>
      <c r="E22" s="12" t="n">
        <v>-3535</v>
      </c>
      <c r="F22" s="12" t="n">
        <v>-3583</v>
      </c>
      <c r="G22" s="12" t="n">
        <v>-3677</v>
      </c>
    </row>
    <row r="23">
      <c r="A23" t="n">
        <v>250</v>
      </c>
      <c r="B23" s="12" t="n">
        <v>-4916</v>
      </c>
      <c r="C23" s="12" t="n">
        <v>-5007</v>
      </c>
      <c r="D23" s="12" t="n">
        <v>-5101</v>
      </c>
      <c r="E23" s="12" t="n">
        <v>-5148</v>
      </c>
      <c r="F23" s="12" t="n">
        <v>-5195</v>
      </c>
      <c r="G23" s="12" t="n">
        <v>-5290</v>
      </c>
    </row>
    <row r="24">
      <c r="A24" t="n">
        <v>500</v>
      </c>
      <c r="B24" s="12" t="n">
        <v>-6529</v>
      </c>
      <c r="C24" s="12" t="n">
        <v>-6620</v>
      </c>
      <c r="D24" s="12" t="n">
        <v>-6714</v>
      </c>
      <c r="E24" s="12" t="n">
        <v>-6761</v>
      </c>
      <c r="F24" s="12" t="n">
        <v>-6808</v>
      </c>
      <c r="G24" s="12" t="n">
        <v>-6902</v>
      </c>
    </row>
    <row r="25">
      <c r="A25" t="n">
        <v>750</v>
      </c>
      <c r="B25" s="12" t="n">
        <v>-8142</v>
      </c>
      <c r="C25" s="12" t="n">
        <v>-8233</v>
      </c>
      <c r="D25" s="12" t="n">
        <v>-8327</v>
      </c>
      <c r="E25" s="12" t="n">
        <v>-8374</v>
      </c>
      <c r="F25" s="12" t="n">
        <v>-8421</v>
      </c>
      <c r="G25" s="12" t="n">
        <v>-8515</v>
      </c>
    </row>
    <row r="28">
      <c r="A28" s="16" t="inlineStr">
        <is>
          <t>Maximum justified control price (churn | annual drag)</t>
        </is>
      </c>
    </row>
    <row r="29">
      <c r="A29" s="4" t="inlineStr">
        <is>
          <t>Scenario</t>
        </is>
      </c>
      <c r="B29" s="4" t="inlineStr">
        <is>
          <t>0|0</t>
        </is>
      </c>
      <c r="C29" s="4" t="inlineStr">
        <is>
          <t>0|750</t>
        </is>
      </c>
      <c r="D29" s="4" t="inlineStr">
        <is>
          <t>0.3|0</t>
        </is>
      </c>
      <c r="E29" s="4" t="inlineStr">
        <is>
          <t>0.3|750</t>
        </is>
      </c>
      <c r="F29" s="4" t="inlineStr">
        <is>
          <t>0.375|0</t>
        </is>
      </c>
      <c r="G29" s="4" t="inlineStr">
        <is>
          <t>0.375|750</t>
        </is>
      </c>
      <c r="H29" s="4" t="inlineStr">
        <is>
          <t>0.45|0</t>
        </is>
      </c>
      <c r="I29" s="4" t="inlineStr">
        <is>
          <t>0.45|750</t>
        </is>
      </c>
    </row>
    <row r="30">
      <c r="A30" t="inlineStr">
        <is>
          <t>bear</t>
        </is>
      </c>
      <c r="B30" s="12" t="n">
        <v>697</v>
      </c>
      <c r="C30" s="12" t="n">
        <v>-4142</v>
      </c>
      <c r="D30" s="12" t="n">
        <v>512</v>
      </c>
      <c r="E30" s="12" t="n">
        <v>-4327</v>
      </c>
      <c r="F30" s="12" t="n">
        <v>465</v>
      </c>
      <c r="G30" s="12" t="n">
        <v>-4374</v>
      </c>
      <c r="H30" s="12" t="n">
        <v>417</v>
      </c>
      <c r="I30" s="12" t="n">
        <v>-4421</v>
      </c>
    </row>
    <row r="31">
      <c r="A31" t="inlineStr">
        <is>
          <t>base</t>
        </is>
      </c>
      <c r="B31" s="12" t="n">
        <v>1797</v>
      </c>
      <c r="C31" s="12" t="n">
        <v>-3042</v>
      </c>
      <c r="D31" s="12" t="n">
        <v>1321</v>
      </c>
      <c r="E31" s="12" t="n">
        <v>-3518</v>
      </c>
      <c r="F31" s="12" t="n">
        <v>1201</v>
      </c>
      <c r="G31" s="12" t="n">
        <v>-3638</v>
      </c>
      <c r="H31" s="12" t="n">
        <v>1079</v>
      </c>
      <c r="I31" s="12" t="n">
        <v>-3760</v>
      </c>
    </row>
    <row r="32">
      <c r="A32" t="inlineStr">
        <is>
          <t>bull</t>
        </is>
      </c>
      <c r="B32" s="12" t="n">
        <v>2927</v>
      </c>
      <c r="C32" s="12" t="n">
        <v>-1912</v>
      </c>
      <c r="D32" s="12" t="n">
        <v>2143</v>
      </c>
      <c r="E32" s="12" t="n">
        <v>-2695</v>
      </c>
      <c r="F32" s="12" t="n">
        <v>1946</v>
      </c>
      <c r="G32" s="12" t="n">
        <v>-2892</v>
      </c>
      <c r="H32" s="12" t="n">
        <v>1749</v>
      </c>
      <c r="I32" s="12" t="n">
        <v>-3090</v>
      </c>
    </row>
    <row r="35">
      <c r="A35" s="16" t="inlineStr">
        <is>
          <t>Breakeven churn (NPV = 0), zero drag</t>
        </is>
      </c>
    </row>
    <row r="36">
      <c r="A36" s="4" t="inlineStr">
        <is>
          <t>Scenario | price</t>
        </is>
      </c>
      <c r="B36" s="4" t="inlineStr">
        <is>
          <t>Breakeven churn</t>
        </is>
      </c>
    </row>
    <row r="37">
      <c r="A37" t="inlineStr">
        <is>
          <t>base|4000</t>
        </is>
      </c>
      <c r="B37" s="14" t="inlineStr">
        <is>
          <t>No positive NPV at any churn</t>
        </is>
      </c>
    </row>
    <row r="38">
      <c r="A38" t="inlineStr">
        <is>
          <t>base|3000</t>
        </is>
      </c>
      <c r="B38" s="14" t="inlineStr">
        <is>
          <t>No positive NPV at any churn</t>
        </is>
      </c>
    </row>
    <row r="39">
      <c r="A39" t="inlineStr">
        <is>
          <t>base|2000</t>
        </is>
      </c>
      <c r="B39" s="14" t="inlineStr">
        <is>
          <t>No positive NPV at any churn</t>
        </is>
      </c>
    </row>
    <row r="40">
      <c r="A40" t="inlineStr">
        <is>
          <t>base|1500</t>
        </is>
      </c>
      <c r="B40" s="14" t="n">
        <v>0.1874</v>
      </c>
    </row>
    <row r="41">
      <c r="A41" t="inlineStr">
        <is>
          <t>bull|4000</t>
        </is>
      </c>
      <c r="B41" s="14" t="inlineStr">
        <is>
          <t>No positive NPV at any churn</t>
        </is>
      </c>
    </row>
    <row r="42">
      <c r="A42" t="inlineStr">
        <is>
          <t>bull|3000</t>
        </is>
      </c>
      <c r="B42" s="14" t="inlineStr">
        <is>
          <t>No positive NPV at any churn</t>
        </is>
      </c>
    </row>
    <row r="43">
      <c r="A43" t="inlineStr">
        <is>
          <t>bull|2000</t>
        </is>
      </c>
      <c r="B43" s="14" t="n">
        <v>0.3544</v>
      </c>
    </row>
    <row r="44">
      <c r="A44" t="inlineStr">
        <is>
          <t>bull|1500</t>
        </is>
      </c>
      <c r="B44" s="14" t="n">
        <v>0.5435</v>
      </c>
    </row>
    <row r="45">
      <c r="A45" t="inlineStr">
        <is>
          <t>minority bear</t>
        </is>
      </c>
      <c r="B45" s="14" t="inlineStr">
        <is>
          <t>No positive NPV at any churn</t>
        </is>
      </c>
    </row>
    <row r="46">
      <c r="A46" t="inlineStr">
        <is>
          <t>minority base</t>
        </is>
      </c>
      <c r="B46" s="14" t="n">
        <v>0.5758</v>
      </c>
    </row>
    <row r="47">
      <c r="A47" t="inlineStr">
        <is>
          <t>minority bull</t>
        </is>
      </c>
      <c r="B47" s="14" t="n">
        <v>0.8623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Funding mixes for the ₹4,000 Cr full acquisition vs the recommended structure</t>
        </is>
      </c>
    </row>
    <row r="2">
      <c r="A2" s="2" t="inlineStr">
        <is>
          <t>Credit metrics live; EPS values from model run (base, 37.5% churn, ₹750 Cr drag)</t>
        </is>
      </c>
    </row>
    <row r="4">
      <c r="A4" s="4" t="inlineStr">
        <is>
          <t>Mix</t>
        </is>
      </c>
      <c r="B4" s="4" t="inlineStr">
        <is>
          <t>Cash (₹ Cr)</t>
        </is>
      </c>
      <c r="C4" s="4" t="inlineStr">
        <is>
          <t>New debt</t>
        </is>
      </c>
      <c r="D4" s="4" t="inlineStr">
        <is>
          <t>New equity</t>
        </is>
      </c>
      <c r="E4" s="4" t="inlineStr">
        <is>
          <t>New shares (Cr)</t>
        </is>
      </c>
      <c r="F4" s="4" t="inlineStr">
        <is>
          <t>Dilution</t>
        </is>
      </c>
      <c r="G4" s="4" t="inlineStr">
        <is>
          <t>Gross debt/EBITDA</t>
        </is>
      </c>
      <c r="H4" s="4" t="inlineStr">
        <is>
          <t>Interest cover</t>
        </is>
      </c>
      <c r="I4" s="4" t="inlineStr">
        <is>
          <t>Cash after close</t>
        </is>
      </c>
      <c r="J4" s="4" t="inlineStr">
        <is>
          <t>FY27 EPS</t>
        </is>
      </c>
      <c r="K4" s="4" t="inlineStr">
        <is>
          <t>FY29 EPS</t>
        </is>
      </c>
      <c r="L4" s="4" t="inlineStr">
        <is>
          <t>FY27 EPS vs ₹7.50</t>
        </is>
      </c>
      <c r="M4" s="4" t="inlineStr">
        <is>
          <t>NPV</t>
        </is>
      </c>
    </row>
    <row r="5">
      <c r="A5" t="inlineStr">
        <is>
          <t>M1 cash 2100 + equity 1900 (case)</t>
        </is>
      </c>
      <c r="B5" s="9" t="n">
        <v>2100</v>
      </c>
      <c r="C5" s="9" t="n">
        <v>0</v>
      </c>
      <c r="D5" s="9" t="n">
        <v>1900</v>
      </c>
      <c r="E5" s="11">
        <f>D5/Assumptions!$D$41</f>
        <v/>
      </c>
      <c r="F5" s="15">
        <f>E5/Case_Inputs!$C$6</f>
        <v/>
      </c>
      <c r="G5" s="10">
        <f>(Case_Inputs!$C$8+C5)/Case_Inputs!$C$10</f>
        <v/>
      </c>
      <c r="H5" s="13">
        <f>Case_Inputs!$C$10/((Case_Inputs!$C$8+C5)*Assumptions!$D$7)</f>
        <v/>
      </c>
      <c r="I5" s="12">
        <f>Case_Inputs!$C$7-B5</f>
        <v/>
      </c>
      <c r="J5" s="10" t="n">
        <v>4.702</v>
      </c>
      <c r="K5" s="10" t="n">
        <v>6.957</v>
      </c>
      <c r="L5" s="14">
        <f>J5/Case_Inputs!$C$12-1</f>
        <v/>
      </c>
      <c r="M5" s="12" t="n">
        <v>-7638</v>
      </c>
    </row>
    <row r="6">
      <c r="A6" t="inlineStr">
        <is>
          <t>M2 debt 2100 + equity 1900</t>
        </is>
      </c>
      <c r="B6" s="9" t="n">
        <v>0</v>
      </c>
      <c r="C6" s="9" t="n">
        <v>2100</v>
      </c>
      <c r="D6" s="9" t="n">
        <v>1900</v>
      </c>
      <c r="E6" s="11">
        <f>D6/Assumptions!$D$41</f>
        <v/>
      </c>
      <c r="F6" s="15">
        <f>E6/Case_Inputs!$C$6</f>
        <v/>
      </c>
      <c r="G6" s="10">
        <f>(Case_Inputs!$C$8+C6)/Case_Inputs!$C$10</f>
        <v/>
      </c>
      <c r="H6" s="13">
        <f>Case_Inputs!$C$10/((Case_Inputs!$C$8+C6)*Assumptions!$D$7)</f>
        <v/>
      </c>
      <c r="I6" s="12">
        <f>Case_Inputs!$C$7-B6</f>
        <v/>
      </c>
      <c r="J6" s="10" t="n">
        <v>4.037</v>
      </c>
      <c r="K6" s="10" t="n">
        <v>6.293</v>
      </c>
      <c r="L6" s="14">
        <f>J6/Case_Inputs!$C$12-1</f>
        <v/>
      </c>
      <c r="M6" s="12" t="n">
        <v>-7638</v>
      </c>
    </row>
    <row r="7">
      <c r="A7" t="inlineStr">
        <is>
          <t>M3 cash 1050 + debt 1050 + equity 1900</t>
        </is>
      </c>
      <c r="B7" s="9" t="n">
        <v>1050</v>
      </c>
      <c r="C7" s="9" t="n">
        <v>1050</v>
      </c>
      <c r="D7" s="9" t="n">
        <v>1900</v>
      </c>
      <c r="E7" s="11">
        <f>D7/Assumptions!$D$41</f>
        <v/>
      </c>
      <c r="F7" s="15">
        <f>E7/Case_Inputs!$C$6</f>
        <v/>
      </c>
      <c r="G7" s="10">
        <f>(Case_Inputs!$C$8+C7)/Case_Inputs!$C$10</f>
        <v/>
      </c>
      <c r="H7" s="13">
        <f>Case_Inputs!$C$10/((Case_Inputs!$C$8+C7)*Assumptions!$D$7)</f>
        <v/>
      </c>
      <c r="I7" s="12">
        <f>Case_Inputs!$C$7-B7</f>
        <v/>
      </c>
      <c r="J7" s="10" t="n">
        <v>4.37</v>
      </c>
      <c r="K7" s="10" t="n">
        <v>6.625</v>
      </c>
      <c r="L7" s="14">
        <f>J7/Case_Inputs!$C$12-1</f>
        <v/>
      </c>
      <c r="M7" s="12" t="n">
        <v>-7638</v>
      </c>
    </row>
    <row r="8">
      <c r="A8" t="inlineStr">
        <is>
          <t>M4 all equity 4000</t>
        </is>
      </c>
      <c r="B8" s="9" t="n">
        <v>0</v>
      </c>
      <c r="C8" s="9" t="n">
        <v>0</v>
      </c>
      <c r="D8" s="9" t="n">
        <v>4000</v>
      </c>
      <c r="E8" s="11">
        <f>D8/Assumptions!$D$41</f>
        <v/>
      </c>
      <c r="F8" s="15">
        <f>E8/Case_Inputs!$C$6</f>
        <v/>
      </c>
      <c r="G8" s="10">
        <f>(Case_Inputs!$C$8+C8)/Case_Inputs!$C$10</f>
        <v/>
      </c>
      <c r="H8" s="13">
        <f>Case_Inputs!$C$10/((Case_Inputs!$C$8+C8)*Assumptions!$D$7)</f>
        <v/>
      </c>
      <c r="I8" s="12">
        <f>Case_Inputs!$C$7-B8</f>
        <v/>
      </c>
      <c r="J8" s="10" t="n">
        <v>6.047</v>
      </c>
      <c r="K8" s="10" t="n">
        <v>8.263</v>
      </c>
      <c r="L8" s="14">
        <f>J8/Case_Inputs!$C$12-1</f>
        <v/>
      </c>
      <c r="M8" s="12" t="n">
        <v>-7638</v>
      </c>
    </row>
    <row r="9">
      <c r="A9" t="inlineStr">
        <is>
          <t>M5 all cash 4000</t>
        </is>
      </c>
      <c r="B9" s="9" t="n">
        <v>4000</v>
      </c>
      <c r="C9" s="9" t="n">
        <v>0</v>
      </c>
      <c r="D9" s="9" t="n">
        <v>0</v>
      </c>
      <c r="E9" s="11">
        <f>D9/Assumptions!$D$41</f>
        <v/>
      </c>
      <c r="F9" s="15">
        <f>E9/Case_Inputs!$C$6</f>
        <v/>
      </c>
      <c r="G9" s="10">
        <f>(Case_Inputs!$C$8+C9)/Case_Inputs!$C$10</f>
        <v/>
      </c>
      <c r="H9" s="13">
        <f>Case_Inputs!$C$10/((Case_Inputs!$C$8+C9)*Assumptions!$D$7)</f>
        <v/>
      </c>
      <c r="I9" s="12">
        <f>Case_Inputs!$C$7-B9</f>
        <v/>
      </c>
      <c r="J9" s="10" t="n">
        <v>3.444</v>
      </c>
      <c r="K9" s="10" t="n">
        <v>5.736</v>
      </c>
      <c r="L9" s="14">
        <f>J9/Case_Inputs!$C$12-1</f>
        <v/>
      </c>
      <c r="M9" s="12" t="n">
        <v>-7638</v>
      </c>
    </row>
    <row r="10">
      <c r="A10" s="16" t="inlineStr">
        <is>
          <t>Recommended: 24.9% stake, all cash</t>
        </is>
      </c>
      <c r="B10" s="12">
        <f>Assumptions!$D$30</f>
        <v/>
      </c>
      <c r="C10" s="12" t="n">
        <v>0</v>
      </c>
      <c r="D10" s="12" t="n">
        <v>0</v>
      </c>
      <c r="E10" t="n">
        <v>0</v>
      </c>
      <c r="F10" s="15" t="n">
        <v>0</v>
      </c>
      <c r="G10" s="10">
        <f>Case_Inputs!$C$8/Case_Inputs!$C$10</f>
        <v/>
      </c>
      <c r="H10" s="13">
        <f>Case_Inputs!$C$10/(Case_Inputs!$C$8*Assumptions!$D$7)</f>
        <v/>
      </c>
      <c r="I10" s="12">
        <f>Case_Inputs!$C$7-B10</f>
        <v/>
      </c>
      <c r="J10" s="10">
        <f>Minority!$C$43</f>
        <v/>
      </c>
      <c r="K10" s="10">
        <f>Minority!$E$43</f>
        <v/>
      </c>
      <c r="L10" s="14">
        <f>J10/Case_Inputs!$C$12-1</f>
        <v/>
      </c>
      <c r="M10" s="12">
        <f>Minority!$B$56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9" customWidth="1" min="7" max="7"/>
    <col width="40" customWidth="1" min="8" max="8"/>
  </cols>
  <sheetData>
    <row r="1">
      <c r="A1" s="1" t="inlineStr">
        <is>
          <t>Liminal valuation football field (100% equity) and the stake price rule</t>
        </is>
      </c>
    </row>
    <row r="2">
      <c r="A2" s="2" t="inlineStr">
        <is>
          <t>DCF range from DCF_Sensitivity (g 6%, discount 19% to 15%)</t>
        </is>
      </c>
    </row>
    <row r="4">
      <c r="A4" s="4" t="inlineStr">
        <is>
          <t>Method</t>
        </is>
      </c>
      <c r="B4" s="4" t="inlineStr">
        <is>
          <t>Low multiple (x ARR)</t>
        </is>
      </c>
      <c r="C4" s="4" t="inlineStr">
        <is>
          <t>High multiple (x ARR)</t>
        </is>
      </c>
      <c r="D4" s="4" t="inlineStr">
        <is>
          <t>Low ₹ Cr</t>
        </is>
      </c>
      <c r="E4" s="4" t="inlineStr">
        <is>
          <t>High ₹ Cr</t>
        </is>
      </c>
      <c r="F4" s="4" t="inlineStr">
        <is>
          <t>Midpoint</t>
        </is>
      </c>
      <c r="G4" s="4" t="inlineStr">
        <is>
          <t>Weight</t>
        </is>
      </c>
      <c r="H4" s="4" t="inlineStr">
        <is>
          <t>Note</t>
        </is>
      </c>
    </row>
    <row r="5">
      <c r="A5" t="inlineStr">
        <is>
          <t>DCF (base, no churn)</t>
        </is>
      </c>
      <c r="D5" s="12">
        <f>DCF_Sensitivity!D9</f>
        <v/>
      </c>
      <c r="E5" s="12">
        <f>DCF_Sensitivity!D5</f>
        <v/>
      </c>
      <c r="F5" s="12">
        <f>(D5+E5)/2</f>
        <v/>
      </c>
      <c r="G5" s="25" t="n">
        <v>0.5</v>
      </c>
    </row>
    <row r="6">
      <c r="A6" t="inlineStr">
        <is>
          <t>Trading comps (EV/LTM revenue)</t>
        </is>
      </c>
      <c r="B6" s="26" t="n">
        <v>5.96</v>
      </c>
      <c r="C6" s="26" t="n">
        <v>8.35</v>
      </c>
      <c r="D6" s="12">
        <f>B6*Case_Inputs!$C$16</f>
        <v/>
      </c>
      <c r="E6" s="12">
        <f>C6*Case_Inputs!$C$16</f>
        <v/>
      </c>
      <c r="F6" s="12">
        <f>(D6+E6)/2</f>
        <v/>
      </c>
      <c r="G6" s="25" t="n">
        <v>0.3</v>
      </c>
      <c r="H6" t="inlineStr">
        <is>
          <t>25th to 75th pct EV/LTM revenue, custody and high-growth fintech subset (Pine Labs, BitGo on gross profit, Adyen, Coinbase, PB Fintech), 23 Sep 2026</t>
        </is>
      </c>
    </row>
    <row r="7">
      <c r="A7" t="inlineStr">
        <is>
          <t>Precedent transactions (EV/revenue)</t>
        </is>
      </c>
      <c r="B7" s="26" t="n">
        <v>7.8</v>
      </c>
      <c r="C7" s="26" t="n">
        <v>12.8</v>
      </c>
      <c r="D7" s="12">
        <f>B7*Case_Inputs!$C$16</f>
        <v/>
      </c>
      <c r="E7" s="12">
        <f>C7*Case_Inputs!$C$16</f>
        <v/>
      </c>
      <c r="F7" s="12">
        <f>(D7+E7)/2</f>
        <v/>
      </c>
      <c r="G7" s="25" t="n">
        <v>0.2</v>
      </c>
      <c r="H7" t="inlineStr">
        <is>
          <t>IQR of precedent EV/revenue with revenue basis (Bitstamp 2.1x, Deribit 9.7x, Hidden Road 12.5x, BVNK 12.5 to 15x)</t>
        </is>
      </c>
    </row>
    <row r="9">
      <c r="A9" s="16" t="inlineStr">
        <is>
          <t>Weighted fair value (100%)</t>
        </is>
      </c>
      <c r="B9" s="27">
        <f>SUMPRODUCT(F5:F7,G5:G7)</f>
        <v/>
      </c>
    </row>
    <row r="10">
      <c r="A10" s="16" t="inlineStr">
        <is>
          <t>Weighted fair value / ARR (x)</t>
        </is>
      </c>
      <c r="B10" s="28">
        <f>B9/Case_Inputs!$C$16</f>
        <v/>
      </c>
    </row>
    <row r="11">
      <c r="A11" s="16" t="inlineStr">
        <is>
          <t>Stake price rule: 24.9% x fair value, rounded down to ₹50 Cr</t>
        </is>
      </c>
      <c r="B11" s="27">
        <f>FLOOR(Assumptions!$D$29*B9,50)</f>
        <v/>
      </c>
    </row>
    <row r="12">
      <c r="A12" s="16" t="inlineStr">
        <is>
          <t>Upfront price used (A24b)</t>
        </is>
      </c>
      <c r="B12" s="27">
        <f>Assumptions!$D$30</f>
        <v/>
      </c>
    </row>
    <row r="13">
      <c r="A13" s="16" t="inlineStr">
        <is>
          <t>Implied post-money</t>
        </is>
      </c>
      <c r="B13" s="27">
        <f>Assumptions!$D$30/Assumptions!$D$29</f>
        <v/>
      </c>
    </row>
    <row r="14">
      <c r="A14" s="16" t="inlineStr">
        <is>
          <t>Headline if Tranche 2 paid in full</t>
        </is>
      </c>
      <c r="B14" s="27">
        <f>(Assumptions!$D$30+Assumptions!$D$32)/Assumptions!$D$29</f>
        <v/>
      </c>
    </row>
    <row r="15">
      <c r="A15" s="16" t="inlineStr">
        <is>
          <t>Proposed deal price (case)</t>
        </is>
      </c>
      <c r="B15" s="27">
        <f>Case_Inputs!$C$13</f>
        <v/>
      </c>
    </row>
    <row r="16">
      <c r="A16" s="16" t="inlineStr">
        <is>
          <t>Proposed price / weighted fair value</t>
        </is>
      </c>
      <c r="B16" s="20">
        <f>B15/B9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2" customWidth="1" min="2" max="2"/>
  </cols>
  <sheetData>
    <row r="1">
      <c r="A1" s="1" t="inlineStr">
        <is>
          <t>Model integrity checks (all must be TRUE with selectors at default)</t>
        </is>
      </c>
    </row>
    <row r="2">
      <c r="A2" s="2" t="inlineStr">
        <is>
          <t>Python reference values from model_outputs.json</t>
        </is>
      </c>
    </row>
    <row r="4">
      <c r="A4" s="4" t="inlineStr">
        <is>
          <t>Check</t>
        </is>
      </c>
      <c r="B4" s="4" t="inlineStr">
        <is>
          <t>Result</t>
        </is>
      </c>
    </row>
    <row r="5">
      <c r="A5" t="inlineStr">
        <is>
          <t>Baseline EPS = PAT / shares = 7.50</t>
        </is>
      </c>
      <c r="B5" s="16">
        <f>ABS(Case_Inputs!$C$11/Case_Inputs!$C$6-7.5)&lt;0.001</f>
        <v/>
      </c>
    </row>
    <row r="6">
      <c r="A6" t="inlineStr">
        <is>
          <t>MDR-adjusted EPS = 8.845</t>
        </is>
      </c>
      <c r="B6" s="16">
        <f>ABS(Assumptions!$D$42-8.845)&lt;0.001</f>
        <v/>
      </c>
    </row>
    <row r="7">
      <c r="A7" t="inlineStr">
        <is>
          <t>Deal cash + equity = deal value</t>
        </is>
      </c>
      <c r="B7" s="16">
        <f>Case_Inputs!$C$14+Case_Inputs!$C$15=Case_Inputs!$C$13</f>
        <v/>
      </c>
    </row>
    <row r="8">
      <c r="A8" t="inlineStr">
        <is>
          <t>Liminal EV base, no churn ties to Python</t>
        </is>
      </c>
      <c r="B8" s="16">
        <f>ABS(Liminal_DCF!$B$43-1391)&lt;=1</f>
        <v/>
      </c>
    </row>
    <row r="9">
      <c r="A9" t="inlineStr">
        <is>
          <t>Liminal EV bull, no churn ties to Python</t>
        </is>
      </c>
      <c r="B9" s="16">
        <f>ABS(Liminal_DCF!$B$65-2398)&lt;=1</f>
        <v/>
      </c>
    </row>
    <row r="10">
      <c r="A10" t="inlineStr">
        <is>
          <t>Liminal EV bear, no churn ties to Python</t>
        </is>
      </c>
      <c r="B10" s="16">
        <f>ABS(Liminal_DCF!$B$21-428)&lt;=1</f>
        <v/>
      </c>
    </row>
    <row r="11">
      <c r="A11" t="inlineStr">
        <is>
          <t>Full acquisition NPV (base) ties</t>
        </is>
      </c>
      <c r="B11" s="16">
        <f>ABS(Full_Acq!$B$60-(-7638))&lt;=1</f>
        <v/>
      </c>
    </row>
    <row r="12">
      <c r="A12" t="inlineStr">
        <is>
          <t>Full acquisition FY27 EPS ties</t>
        </is>
      </c>
      <c r="B12" s="16">
        <f>ABS(Full_Acq!$C$47-4.702)&lt;=0.005</f>
        <v/>
      </c>
    </row>
    <row r="13">
      <c r="A13" t="inlineStr">
        <is>
          <t>Minority NPV (base) ties</t>
        </is>
      </c>
      <c r="B13" s="16">
        <f>ABS(Minority!$B$56-(211))&lt;=1</f>
        <v/>
      </c>
    </row>
    <row r="14">
      <c r="A14" t="inlineStr">
        <is>
          <t>Minority FY27 EPS ties</t>
        </is>
      </c>
      <c r="B14" s="16">
        <f>ABS(Minority!$C$43-8.79)&lt;=0.005</f>
        <v/>
      </c>
    </row>
    <row r="15">
      <c r="A15" t="inlineStr">
        <is>
          <t>Minority Tranche 2 (base) ties</t>
        </is>
      </c>
      <c r="B15" s="16">
        <f>ABS(Minority!$B$33-0)&lt;=1</f>
        <v/>
      </c>
    </row>
    <row r="16">
      <c r="A16" t="inlineStr">
        <is>
          <t>JV NPV (base) ties</t>
        </is>
      </c>
      <c r="B16" s="16">
        <f>ABS(JV!$B$19-(-2544))&lt;=1</f>
        <v/>
      </c>
    </row>
    <row r="17">
      <c r="A17" t="inlineStr">
        <is>
          <t>JV FY27 EPS ties</t>
        </is>
      </c>
      <c r="B17" s="16">
        <f>ABS(JV!$C$11-8.798)&lt;=0.005</f>
        <v/>
      </c>
    </row>
    <row r="18">
      <c r="A18" t="inlineStr">
        <is>
          <t>Decision matrix: minority ranks first</t>
        </is>
      </c>
      <c r="B18" s="16">
        <f>Paths_Summary!D26=MAX(Paths_Summary!C26:F26)</f>
        <v/>
      </c>
    </row>
    <row r="19">
      <c r="A19" t="inlineStr">
        <is>
          <t>Stake price rule equals upfront price used</t>
        </is>
      </c>
      <c r="B19" s="16">
        <f>Football_Field!B11=Football_Field!B12</f>
        <v/>
      </c>
    </row>
    <row r="20">
      <c r="A20" t="inlineStr">
        <is>
          <t>Probability weights sum to 1</t>
        </is>
      </c>
      <c r="B20" s="16">
        <f>ABS(Assumptions!$D$37+Assumptions!$D$38+Assumptions!$D$39-1)&lt;0.0001</f>
        <v/>
      </c>
    </row>
    <row r="22">
      <c r="A22" s="16" t="inlineStr">
        <is>
          <t>All checks pass</t>
        </is>
      </c>
      <c r="B22" s="16">
        <f>AND(B5:B20)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2026-09-23T18:41:23Z</dcterms:created>
  <dcterms:modified xmlns:dcterms="http://purl.org/dc/terms/" xmlns:xsi="http://www.w3.org/2001/XMLSchema-instance" xsi:type="dcterms:W3CDTF">2026-09-23T18:41:23Z</dcterms:modified>
</cp:coreProperties>
</file>