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T1" sheetId="3" state="visible" r:id="rId3"/>
    <sheet name="T2" sheetId="4" state="visible" r:id="rId4"/>
    <sheet name="T3" sheetId="5" state="visible" r:id="rId5"/>
    <sheet name="T4" sheetId="6" state="visible" r:id="rId6"/>
    <sheet name="T5" sheetId="7" state="visible" r:id="rId7"/>
    <sheet name="T6" sheetId="8" state="visible" r:id="rId8"/>
    <sheet name="T7" sheetId="9" state="visible" r:id="rId9"/>
    <sheet name="T8" sheetId="10" state="visible" r:id="rId10"/>
    <sheet name="T9" sheetId="11" state="visible" r:id="rId11"/>
    <sheet name="T10" sheetId="12" state="visible" r:id="rId12"/>
    <sheet name="T11" sheetId="13" state="visible" r:id="rId13"/>
    <sheet name="T12" sheetId="14" state="visible" r:id="rId14"/>
    <sheet name="T13" sheetId="15" state="visible" r:id="rId15"/>
    <sheet name="T14" sheetId="16" state="visible" r:id="rId16"/>
    <sheet name="T15" sheetId="17" state="visible" r:id="rId17"/>
    <sheet name="T16" sheetId="18" state="visible" r:id="rId18"/>
    <sheet name="Checks"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 t="inlineStr">
        <is>
          <t>BeyondTech x DCG GTM model</t>
        </is>
      </c>
    </row>
    <row r="2">
      <c r="A2" t="inlineStr"/>
    </row>
    <row r="3">
      <c r="A3" t="inlineStr">
        <is>
          <t>Single source of truth: beyondtech_gtm_model.py. This workbook is a read-only rendering of model_outputs.json, generated by build_excel.py.</t>
        </is>
      </c>
    </row>
    <row r="4">
      <c r="A4" t="inlineStr">
        <is>
          <t>Model run timestamp: 2026-10-10T13:22:41</t>
        </is>
      </c>
    </row>
    <row r="5">
      <c r="A5" t="inlineStr">
        <is>
          <t>Output hash: 3a53e3745f</t>
        </is>
      </c>
    </row>
    <row r="6">
      <c r="A6" t="inlineStr"/>
    </row>
    <row r="7">
      <c r="A7" t="inlineStr">
        <is>
          <t>Sheet guide:</t>
        </is>
      </c>
    </row>
    <row r="8">
      <c r="A8" t="inlineStr">
        <is>
          <t>Inputs - the full A01-A34 assumptions register (bear/base/bull).</t>
        </is>
      </c>
    </row>
    <row r="9">
      <c r="A9" t="inlineStr">
        <is>
          <t>T1 - DTU addressable funnel (TAM/SAM/SOM by scenario).</t>
        </is>
      </c>
    </row>
    <row r="10">
      <c r="A10" t="inlineStr">
        <is>
          <t>T2 - DTU baseline penetration and the 50+ reachability check.</t>
        </is>
      </c>
    </row>
    <row r="11">
      <c r="A11" t="inlineStr">
        <is>
          <t>T3 - DTU channel plan, base scenario, pre-funding (reach, enrolments, cash, CAC).</t>
        </is>
      </c>
    </row>
    <row r="12">
      <c r="A12" t="inlineStr">
        <is>
          <t>T4 - DTU budget and organic/paid split, base scenario, after funding to target.</t>
        </is>
      </c>
    </row>
    <row r="13">
      <c r="A13" t="inlineStr">
        <is>
          <t>T5 - Month-by-month spend and enrolment calendar, Oct 2026 to Sep 2027.</t>
        </is>
      </c>
    </row>
    <row r="14">
      <c r="A14" t="inlineStr">
        <is>
          <t>T6 - DTU scenarios: bear, base, bull (enrolments, revenue, spend, CAC, contribution).</t>
        </is>
      </c>
    </row>
    <row r="15">
      <c r="A15" t="inlineStr">
        <is>
          <t>T7 - Sensitivity tornado on DTU contribution.</t>
        </is>
      </c>
    </row>
    <row r="16">
      <c r="A16" t="inlineStr">
        <is>
          <t>T8 - College scorecard: raw values, 1-5 band scores, Fit score, screen result, rank.</t>
        </is>
      </c>
    </row>
    <row r="17">
      <c r="A17" t="inlineStr">
        <is>
          <t>T9 - Stability test: share of 2,000 weight draws each college stays in the final 4.</t>
        </is>
      </c>
    </row>
    <row r="18">
      <c r="A18" t="inlineStr">
        <is>
          <t>T10 - Per-campus launch P&amp;L for the final 4 picks, seasons 1 and 2, three scenarios.</t>
        </is>
      </c>
    </row>
    <row r="19">
      <c r="A19" t="inlineStr">
        <is>
          <t>T11 - Founder hours: today vs after the plan, and whether it fits a founder's week.</t>
        </is>
      </c>
    </row>
    <row r="20">
      <c r="A20" t="inlineStr">
        <is>
          <t>T12 - 12-month roll-up: DTU plus the four campuses.</t>
        </is>
      </c>
    </row>
    <row r="21">
      <c r="A21" t="inlineStr">
        <is>
          <t>T13 - KPI targets by month: baseline, 3-month, 6-month, 12-month.</t>
        </is>
      </c>
    </row>
    <row r="22">
      <c r="A22" t="inlineStr">
        <is>
          <t>T14 - Kill and scale thresholds (bear scenario, first pick).</t>
        </is>
      </c>
    </row>
    <row r="23">
      <c r="A23" t="inlineStr">
        <is>
          <t>T15 - Price sensitivity (base scenario, first pick).</t>
        </is>
      </c>
    </row>
    <row r="24">
      <c r="A24" t="inlineStr">
        <is>
          <t>T16 - Assumptions register, generated from A with notes.</t>
        </is>
      </c>
    </row>
    <row r="25">
      <c r="A25" t="inlineStr">
        <is>
          <t>Checks - re-derives T4's budget split, T6's base contribution and T8's calibration check from formulas against the raw rows on their sheets, and flags any mismatch against the values already computed by the Python model.</t>
        </is>
      </c>
    </row>
    <row r="26">
      <c r="A26" t="inlineStr"/>
    </row>
    <row r="27">
      <c r="A27" t="inlineStr">
        <is>
          <t>Final 4 picks (locked at Gate G3): BITS Pilani (Pilani campus), NIT Tiruchirappalli, PEC Chandigarh, COEP Technological University, Pune</t>
        </is>
      </c>
    </row>
    <row r="28">
      <c r="A28" t="inlineStr">
        <is>
          <t>Reserve bench: BITS Pilani, Goa campus, NIT Warangal, IIT Roorkee, IIT Delhi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1" customWidth="1" min="1" max="1"/>
    <col width="10" customWidth="1" min="2" max="2"/>
    <col width="60" customWidth="1" min="3" max="3"/>
    <col width="10" customWidth="1" min="4" max="4"/>
    <col width="33" customWidth="1" min="5" max="5"/>
  </cols>
  <sheetData>
    <row r="1">
      <c r="A1" s="1" t="inlineStr">
        <is>
          <t>Assumptions register A01-A34</t>
        </is>
      </c>
    </row>
    <row r="2"/>
    <row r="3">
      <c r="A3" s="2" t="inlineStr">
        <is>
          <t>ID</t>
        </is>
      </c>
      <c r="B3" s="2" t="inlineStr">
        <is>
          <t>Bear</t>
        </is>
      </c>
      <c r="C3" s="2" t="inlineStr">
        <is>
          <t>Base</t>
        </is>
      </c>
      <c r="D3" s="2" t="inlineStr">
        <is>
          <t>Bull</t>
        </is>
      </c>
      <c r="E3" s="2" t="inlineStr">
        <is>
          <t>Note</t>
        </is>
      </c>
    </row>
    <row r="4">
      <c r="A4" t="inlineStr">
        <is>
          <t>A01_fee_inr</t>
        </is>
      </c>
      <c r="B4" t="n">
        <v>8000</v>
      </c>
      <c r="C4" t="n">
        <v>12000</v>
      </c>
      <c r="D4" t="n">
        <v>18000</v>
      </c>
      <c r="E4" t="inlineStr"/>
    </row>
    <row r="5">
      <c r="A5" t="inlineStr">
        <is>
          <t>A02_dtu_batch_note</t>
        </is>
      </c>
      <c r="B5" t="inlineStr"/>
      <c r="C5" t="inlineStr">
        <is>
          <t>superseded by R['dtu_ug_sanctioned_intake'] (RB01, official); kept for the register only</t>
        </is>
      </c>
      <c r="D5" t="inlineStr"/>
      <c r="E5" t="inlineStr">
        <is>
          <t>not a bear/base/bull assumption</t>
        </is>
      </c>
    </row>
    <row r="6">
      <c r="A6" t="inlineStr">
        <is>
          <t>A03_nontech_open_share</t>
        </is>
      </c>
      <c r="B6" t="n">
        <v>0.2</v>
      </c>
      <c r="C6" t="n">
        <v>0.3</v>
      </c>
      <c r="D6" t="n">
        <v>0.4</v>
      </c>
      <c r="E6" t="inlineStr"/>
    </row>
    <row r="7">
      <c r="A7" t="inlineStr">
        <is>
          <t>A04_dtu_enrolments_12mo</t>
        </is>
      </c>
      <c r="B7" t="n">
        <v>80</v>
      </c>
      <c r="C7" t="n">
        <v>110</v>
      </c>
      <c r="D7" t="n">
        <v>140</v>
      </c>
      <c r="E7" t="inlineStr"/>
    </row>
    <row r="8">
      <c r="A8" t="inlineStr">
        <is>
          <t>A05_referral_share</t>
        </is>
      </c>
      <c r="B8" t="n">
        <v>0.9</v>
      </c>
      <c r="C8" t="n">
        <v>0.8</v>
      </c>
      <c r="D8" t="n">
        <v>0.7</v>
      </c>
      <c r="E8" t="inlineStr"/>
    </row>
    <row r="9">
      <c r="A9" t="inlineStr">
        <is>
          <t>A06_event_registrants</t>
        </is>
      </c>
      <c r="B9" t="n">
        <v>80</v>
      </c>
      <c r="C9" t="n">
        <v>150</v>
      </c>
      <c r="D9" t="n">
        <v>250</v>
      </c>
      <c r="E9" t="inlineStr"/>
    </row>
    <row r="10">
      <c r="A10" t="inlineStr">
        <is>
          <t>A07_registrant_to_lead</t>
        </is>
      </c>
      <c r="B10" t="n">
        <v>0.35</v>
      </c>
      <c r="C10" t="n">
        <v>0.5</v>
      </c>
      <c r="D10" t="n">
        <v>0.65</v>
      </c>
      <c r="E10" t="inlineStr"/>
    </row>
    <row r="11">
      <c r="A11" t="inlineStr">
        <is>
          <t>A08_lead_to_application</t>
        </is>
      </c>
      <c r="B11" t="n">
        <v>0.08</v>
      </c>
      <c r="C11" t="n">
        <v>0.12</v>
      </c>
      <c r="D11" t="n">
        <v>0.18</v>
      </c>
      <c r="E11" t="inlineStr"/>
    </row>
    <row r="12">
      <c r="A12" t="inlineStr">
        <is>
          <t>A09_application_to_enrolment</t>
        </is>
      </c>
      <c r="B12" t="n">
        <v>0.3</v>
      </c>
      <c r="C12" t="n">
        <v>0.45</v>
      </c>
      <c r="D12" t="n">
        <v>0.6</v>
      </c>
      <c r="E12" t="inlineStr"/>
    </row>
    <row r="13">
      <c r="A13" t="inlineStr">
        <is>
          <t>A10_mockdrive_participants</t>
        </is>
      </c>
      <c r="B13" t="n">
        <v>100</v>
      </c>
      <c r="C13" t="n">
        <v>200</v>
      </c>
      <c r="D13" t="n">
        <v>350</v>
      </c>
      <c r="E13" t="inlineStr"/>
    </row>
    <row r="14">
      <c r="A14" t="inlineStr">
        <is>
          <t>A11_meta_cpl_inr</t>
        </is>
      </c>
      <c r="B14" t="n">
        <v>600</v>
      </c>
      <c r="C14" t="n">
        <v>350</v>
      </c>
      <c r="D14" t="n">
        <v>200</v>
      </c>
      <c r="E14" t="inlineStr"/>
    </row>
    <row r="15">
      <c r="A15" t="inlineStr">
        <is>
          <t>A12_linkedin_cpl_inr</t>
        </is>
      </c>
      <c r="B15" t="n">
        <v>1500</v>
      </c>
      <c r="C15" t="n">
        <v>900</v>
      </c>
      <c r="D15" t="n">
        <v>500</v>
      </c>
      <c r="E15" t="inlineStr"/>
    </row>
    <row r="16">
      <c r="A16" t="inlineStr">
        <is>
          <t>A13_paid_lead_to_application</t>
        </is>
      </c>
      <c r="B16" t="n">
        <v>0.03</v>
      </c>
      <c r="C16" t="n">
        <v>0.06</v>
      </c>
      <c r="D16" t="n">
        <v>0.1</v>
      </c>
      <c r="E16" t="inlineStr"/>
    </row>
    <row r="17">
      <c r="A17" t="inlineStr">
        <is>
          <t>A14_ambassador_enrolments_per_season</t>
        </is>
      </c>
      <c r="B17" t="n">
        <v>2</v>
      </c>
      <c r="C17" t="n">
        <v>4</v>
      </c>
      <c r="D17" t="n">
        <v>7</v>
      </c>
      <c r="E17" t="inlineStr"/>
    </row>
    <row r="18">
      <c r="A18" t="inlineStr">
        <is>
          <t>A15_ambassador_payout_per_enrolment_inr</t>
        </is>
      </c>
      <c r="B18" t="n">
        <v>1500</v>
      </c>
      <c r="C18" t="n">
        <v>1000</v>
      </c>
      <c r="D18" t="n">
        <v>750</v>
      </c>
      <c r="E18" t="inlineStr"/>
    </row>
    <row r="19">
      <c r="A19" t="inlineStr">
        <is>
          <t>A16_referral_reward_per_enrolment_inr</t>
        </is>
      </c>
      <c r="B19" t="n">
        <v>1500</v>
      </c>
      <c r="C19" t="n">
        <v>1000</v>
      </c>
      <c r="D19" t="n">
        <v>500</v>
      </c>
      <c r="E19" t="inlineStr"/>
    </row>
    <row r="20">
      <c r="A20" t="inlineStr">
        <is>
          <t>A17_founding_cohort_size</t>
        </is>
      </c>
      <c r="B20" t="n">
        <v>12</v>
      </c>
      <c r="C20" t="n">
        <v>20</v>
      </c>
      <c r="D20" t="n">
        <v>30</v>
      </c>
      <c r="E20" t="inlineStr"/>
    </row>
    <row r="21">
      <c r="A21" t="inlineStr">
        <is>
          <t>A18_founding_cohort_discount</t>
        </is>
      </c>
      <c r="B21" t="n">
        <v>0.5</v>
      </c>
      <c r="C21" t="n">
        <v>0.4</v>
      </c>
      <c r="D21" t="n">
        <v>0.3</v>
      </c>
      <c r="E21" t="inlineStr"/>
    </row>
    <row r="22">
      <c r="A22" t="inlineStr">
        <is>
          <t>A19_founding_cohort_selection_rate</t>
        </is>
      </c>
      <c r="B22" t="n">
        <v>0.25</v>
      </c>
      <c r="C22" t="n">
        <v>0.4</v>
      </c>
      <c r="D22" t="n">
        <v>0.55</v>
      </c>
      <c r="E22" t="inlineStr"/>
    </row>
    <row r="23">
      <c r="A23" t="inlineStr">
        <is>
          <t>A20_season2_multiple</t>
        </is>
      </c>
      <c r="B23" t="n">
        <v>1.5</v>
      </c>
      <c r="C23" t="n">
        <v>3</v>
      </c>
      <c r="D23" t="n">
        <v>5</v>
      </c>
      <c r="E23" t="inlineStr"/>
    </row>
    <row r="24">
      <c r="A24" t="inlineStr">
        <is>
          <t>A21_case_league_cost_inr</t>
        </is>
      </c>
      <c r="B24" t="n">
        <v>60000</v>
      </c>
      <c r="C24" t="n">
        <v>45000</v>
      </c>
      <c r="D24" t="n">
        <v>30000</v>
      </c>
      <c r="E24" t="inlineStr"/>
    </row>
    <row r="25">
      <c r="A25" t="inlineStr">
        <is>
          <t>A22_founder_hours_per_enrolment_today</t>
        </is>
      </c>
      <c r="B25" t="n">
        <v>3</v>
      </c>
      <c r="C25" t="n">
        <v>2</v>
      </c>
      <c r="D25" t="n">
        <v>1.5</v>
      </c>
      <c r="E25" t="inlineStr"/>
    </row>
    <row r="26">
      <c r="A26" t="inlineStr">
        <is>
          <t>A23_founder_hours_per_enrolment_after</t>
        </is>
      </c>
      <c r="B26" t="n">
        <v>1.2</v>
      </c>
      <c r="C26" t="n">
        <v>0.8</v>
      </c>
      <c r="D26" t="n">
        <v>0.5</v>
      </c>
      <c r="E26" t="inlineStr"/>
    </row>
    <row r="27">
      <c r="A27" t="inlineStr">
        <is>
          <t>A24_gross_margin</t>
        </is>
      </c>
      <c r="B27" t="n">
        <v>0.55</v>
      </c>
      <c r="C27" t="n">
        <v>0.65</v>
      </c>
      <c r="D27" t="n">
        <v>0.75</v>
      </c>
      <c r="E27" t="inlineStr"/>
    </row>
    <row r="28">
      <c r="A28" t="inlineStr">
        <is>
          <t>A25_influencer_cost_per_post_inr</t>
        </is>
      </c>
      <c r="B28" t="n">
        <v>4000</v>
      </c>
      <c r="C28" t="n">
        <v>2500</v>
      </c>
      <c r="D28" t="n">
        <v>1500</v>
      </c>
      <c r="E28" t="inlineStr"/>
    </row>
    <row r="29">
      <c r="A29" t="inlineStr">
        <is>
          <t>A26_gated_capture_rate</t>
        </is>
      </c>
      <c r="B29" t="n">
        <v>0.2</v>
      </c>
      <c r="C29" t="n">
        <v>0.35</v>
      </c>
      <c r="D29" t="n">
        <v>0.5</v>
      </c>
      <c r="E29" t="inlineStr"/>
    </row>
    <row r="30">
      <c r="A30" t="inlineStr">
        <is>
          <t>A27_organic_visitors_per_month</t>
        </is>
      </c>
      <c r="B30" t="n">
        <v>300</v>
      </c>
      <c r="C30" t="n">
        <v>600</v>
      </c>
      <c r="D30" t="n">
        <v>1200</v>
      </c>
      <c r="E30" t="inlineStr"/>
    </row>
    <row r="31">
      <c r="A31" t="inlineStr">
        <is>
          <t>A28_second_year_share_after_plan</t>
        </is>
      </c>
      <c r="B31" t="n">
        <v>0.1</v>
      </c>
      <c r="C31" t="n">
        <v>0.2</v>
      </c>
      <c r="D31" t="n">
        <v>0.3</v>
      </c>
      <c r="E31" t="inlineStr"/>
    </row>
    <row r="32">
      <c r="A32" t="inlineStr">
        <is>
          <t>A29_selection_rate_into_offer</t>
        </is>
      </c>
      <c r="B32" t="n">
        <v>0.35</v>
      </c>
      <c r="C32" t="n">
        <v>0.45</v>
      </c>
      <c r="D32" t="n">
        <v>0.6</v>
      </c>
      <c r="E32" t="inlineStr"/>
    </row>
    <row r="33">
      <c r="A33" t="inlineStr">
        <is>
          <t>A30_upsell_revenue_per_student_inr</t>
        </is>
      </c>
      <c r="B33" t="n">
        <v>0</v>
      </c>
      <c r="C33" t="n">
        <v>300</v>
      </c>
      <c r="D33" t="n">
        <v>800</v>
      </c>
      <c r="E33" t="inlineStr"/>
    </row>
    <row r="34">
      <c r="A34" t="inlineStr">
        <is>
          <t>A31_founder_hours_per_week</t>
        </is>
      </c>
      <c r="B34" t="n">
        <v>15</v>
      </c>
      <c r="C34" t="n">
        <v>20</v>
      </c>
      <c r="D34" t="n">
        <v>25</v>
      </c>
      <c r="E34" t="inlineStr"/>
    </row>
    <row r="35">
      <c r="A35" t="inlineStr">
        <is>
          <t>A32_cohorts_per_year</t>
        </is>
      </c>
      <c r="B35" t="n">
        <v>2</v>
      </c>
      <c r="C35" t="n">
        <v>3</v>
      </c>
      <c r="D35" t="n">
        <v>4</v>
      </c>
      <c r="E35" t="inlineStr"/>
    </row>
    <row r="36">
      <c r="A36" t="inlineStr">
        <is>
          <t>A33_inhouse_event_cash_cost_inr</t>
        </is>
      </c>
      <c r="B36" t="n">
        <v>12000</v>
      </c>
      <c r="C36" t="n">
        <v>8000</v>
      </c>
      <c r="D36" t="n">
        <v>5000</v>
      </c>
      <c r="E36" t="inlineStr"/>
    </row>
    <row r="37">
      <c r="A37" t="inlineStr">
        <is>
          <t>A34_paid_reach_share_of_campus</t>
        </is>
      </c>
      <c r="B37" t="n">
        <v>0.03</v>
      </c>
      <c r="C37" t="n">
        <v>0.05</v>
      </c>
      <c r="D37" t="n">
        <v>0.08</v>
      </c>
      <c r="E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7" customWidth="1" min="1" max="1"/>
    <col width="13" customWidth="1" min="2" max="2"/>
    <col width="10" customWidth="1" min="3" max="3"/>
    <col width="10" customWidth="1" min="4" max="4"/>
    <col width="10" customWidth="1" min="5" max="5"/>
    <col width="15" customWidth="1" min="6" max="6"/>
    <col width="20" customWidth="1" min="7" max="7"/>
  </cols>
  <sheetData>
    <row r="1">
      <c r="A1" s="1" t="inlineStr">
        <is>
          <t>T1 DTU addressable funnel</t>
        </is>
      </c>
    </row>
    <row r="2"/>
    <row r="3">
      <c r="A3" s="2" t="inlineStr">
        <is>
          <t>Scenario</t>
        </is>
      </c>
      <c r="B3" s="2" t="inlineStr">
        <is>
          <t>year_cohort</t>
        </is>
      </c>
      <c r="C3" s="2" t="inlineStr">
        <is>
          <t>tam</t>
        </is>
      </c>
      <c r="D3" s="2" t="inlineStr">
        <is>
          <t>sam</t>
        </is>
      </c>
      <c r="E3" s="2" t="inlineStr">
        <is>
          <t>som</t>
        </is>
      </c>
      <c r="F3" s="2" t="inlineStr">
        <is>
          <t>nontech_share</t>
        </is>
      </c>
      <c r="G3" s="2" t="inlineStr">
        <is>
          <t>check_branches_sum</t>
        </is>
      </c>
    </row>
    <row r="4">
      <c r="A4" t="inlineStr">
        <is>
          <t>bear</t>
        </is>
      </c>
      <c r="B4" t="n">
        <v>2608</v>
      </c>
      <c r="C4" t="n">
        <v>7823</v>
      </c>
      <c r="D4" t="n">
        <v>1304</v>
      </c>
      <c r="E4" t="n">
        <v>120</v>
      </c>
      <c r="F4" t="n">
        <v>0.2</v>
      </c>
      <c r="G4" t="b">
        <v>1</v>
      </c>
    </row>
    <row r="5">
      <c r="A5" t="inlineStr">
        <is>
          <t>base</t>
        </is>
      </c>
      <c r="B5" t="n">
        <v>2608</v>
      </c>
      <c r="C5" t="n">
        <v>7823</v>
      </c>
      <c r="D5" t="n">
        <v>1956</v>
      </c>
      <c r="E5" t="n">
        <v>220</v>
      </c>
      <c r="F5" t="n">
        <v>0.3</v>
      </c>
      <c r="G5" t="b">
        <v>1</v>
      </c>
    </row>
    <row r="6">
      <c r="A6" t="inlineStr">
        <is>
          <t>bull</t>
        </is>
      </c>
      <c r="B6" t="n">
        <v>2608</v>
      </c>
      <c r="C6" t="n">
        <v>7823</v>
      </c>
      <c r="D6" t="n">
        <v>2608</v>
      </c>
      <c r="E6" t="n">
        <v>392</v>
      </c>
      <c r="F6" t="n">
        <v>0.4</v>
      </c>
      <c r="G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9" customWidth="1" min="1" max="1"/>
    <col width="18" customWidth="1" min="2" max="2"/>
    <col width="10" customWidth="1" min="3" max="3"/>
    <col width="17" customWidth="1" min="4" max="4"/>
    <col width="16" customWidth="1" min="5" max="5"/>
    <col width="24" customWidth="1" min="6" max="6"/>
    <col width="20" customWidth="1" min="7" max="7"/>
    <col width="22" customWidth="1" min="8" max="8"/>
  </cols>
  <sheetData>
    <row r="1">
      <c r="A1" s="1" t="inlineStr">
        <is>
          <t>T2 DTU baseline penetration</t>
        </is>
      </c>
    </row>
    <row r="2"/>
    <row r="3">
      <c r="A3" s="2" t="inlineStr">
        <is>
          <t>Scenario</t>
        </is>
      </c>
      <c r="B3" s="2" t="inlineStr">
        <is>
          <t>enrolments_today</t>
        </is>
      </c>
      <c r="C3" s="2" t="inlineStr">
        <is>
          <t>sam</t>
        </is>
      </c>
      <c r="D3" s="2" t="inlineStr">
        <is>
          <t>penetration_pct</t>
        </is>
      </c>
      <c r="E3" s="2" t="inlineStr">
        <is>
          <t>referral_share</t>
        </is>
      </c>
      <c r="F3" s="2" t="inlineStr">
        <is>
          <t>implied_selection_rate</t>
        </is>
      </c>
      <c r="G3" s="2" t="inlineStr">
        <is>
          <t>implied_selections</t>
        </is>
      </c>
      <c r="H3" s="2" t="inlineStr">
        <is>
          <t>fifty_plus_reachable</t>
        </is>
      </c>
    </row>
    <row r="4">
      <c r="A4" t="inlineStr">
        <is>
          <t>bear</t>
        </is>
      </c>
      <c r="B4" t="n">
        <v>80</v>
      </c>
      <c r="C4" t="n">
        <v>1304</v>
      </c>
      <c r="D4" t="n">
        <v>6.14</v>
      </c>
      <c r="E4" t="n">
        <v>0.9</v>
      </c>
      <c r="F4" t="n">
        <v>0.35</v>
      </c>
      <c r="G4" t="n">
        <v>28</v>
      </c>
      <c r="H4" t="b">
        <v>0</v>
      </c>
    </row>
    <row r="5">
      <c r="A5" t="inlineStr">
        <is>
          <t>base</t>
        </is>
      </c>
      <c r="B5" t="n">
        <v>110</v>
      </c>
      <c r="C5" t="n">
        <v>1956</v>
      </c>
      <c r="D5" t="n">
        <v>5.62</v>
      </c>
      <c r="E5" t="n">
        <v>0.8</v>
      </c>
      <c r="F5" t="n">
        <v>0.45</v>
      </c>
      <c r="G5" t="n">
        <v>50</v>
      </c>
      <c r="H5" t="b">
        <v>1</v>
      </c>
    </row>
    <row r="6">
      <c r="A6" t="inlineStr">
        <is>
          <t>bull</t>
        </is>
      </c>
      <c r="B6" t="n">
        <v>140</v>
      </c>
      <c r="C6" t="n">
        <v>2608</v>
      </c>
      <c r="D6" t="n">
        <v>5.37</v>
      </c>
      <c r="E6" t="n">
        <v>0.7</v>
      </c>
      <c r="F6" t="n">
        <v>0.6</v>
      </c>
      <c r="G6" t="n">
        <v>84</v>
      </c>
      <c r="H6"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0" customWidth="1" min="1" max="1"/>
    <col width="4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T3 DTU channel plan (base scenario, pre-funding)</t>
        </is>
      </c>
    </row>
    <row r="2"/>
    <row r="3">
      <c r="A3" s="2" t="inlineStr">
        <is>
          <t>ch</t>
        </is>
      </c>
      <c r="B3" s="2" t="inlineStr">
        <is>
          <t>name</t>
        </is>
      </c>
      <c r="C3" s="2" t="inlineStr">
        <is>
          <t>reach</t>
        </is>
      </c>
      <c r="D3" s="2" t="inlineStr">
        <is>
          <t>enrol_r</t>
        </is>
      </c>
      <c r="E3" s="2" t="inlineStr">
        <is>
          <t>cash_r</t>
        </is>
      </c>
      <c r="F3" s="2" t="inlineStr">
        <is>
          <t>hours_r</t>
        </is>
      </c>
      <c r="G3" s="2" t="inlineStr">
        <is>
          <t>cac</t>
        </is>
      </c>
      <c r="H3" s="2" t="inlineStr">
        <is>
          <t>organic</t>
        </is>
      </c>
      <c r="I3" s="2" t="inlineStr">
        <is>
          <t>scalable</t>
        </is>
      </c>
    </row>
    <row r="4">
      <c r="A4" t="inlineStr">
        <is>
          <t>C-ORG-1</t>
        </is>
      </c>
      <c r="B4" t="inlineStr">
        <is>
          <t>Society co-hosted case workshops</t>
        </is>
      </c>
      <c r="C4" t="n">
        <v>300</v>
      </c>
      <c r="D4" t="n">
        <v>8.1</v>
      </c>
      <c r="E4" t="n">
        <v>16000</v>
      </c>
      <c r="F4" t="n">
        <v>12</v>
      </c>
      <c r="G4" t="n">
        <v>1975.31</v>
      </c>
      <c r="H4" t="b">
        <v>1</v>
      </c>
      <c r="I4" t="b">
        <v>0</v>
      </c>
    </row>
    <row r="5">
      <c r="A5" t="inlineStr">
        <is>
          <t>C-ORG-2</t>
        </is>
      </c>
      <c r="B5" t="inlineStr">
        <is>
          <t>Department and branch representatives</t>
        </is>
      </c>
      <c r="C5" t="n">
        <v>480</v>
      </c>
      <c r="D5" t="n">
        <v>10.4</v>
      </c>
      <c r="E5" t="n">
        <v>8000</v>
      </c>
      <c r="F5" t="n">
        <v>16</v>
      </c>
      <c r="G5" t="n">
        <v>771.6</v>
      </c>
      <c r="H5" t="b">
        <v>1</v>
      </c>
      <c r="I5" t="b">
        <v>0</v>
      </c>
    </row>
    <row r="6">
      <c r="A6" t="inlineStr">
        <is>
          <t>C-ORG-3</t>
        </is>
      </c>
      <c r="B6" t="inlineStr">
        <is>
          <t>Mock placement drive</t>
        </is>
      </c>
      <c r="C6" t="n">
        <v>400</v>
      </c>
      <c r="D6" t="n">
        <v>10.8</v>
      </c>
      <c r="E6" t="n">
        <v>16000</v>
      </c>
      <c r="F6" t="n">
        <v>16</v>
      </c>
      <c r="G6" t="n">
        <v>1481.48</v>
      </c>
      <c r="H6" t="b">
        <v>1</v>
      </c>
      <c r="I6" t="b">
        <v>0</v>
      </c>
    </row>
    <row r="7">
      <c r="A7" t="inlineStr">
        <is>
          <t>C-ORG-4</t>
        </is>
      </c>
      <c r="B7" t="inlineStr">
        <is>
          <t>Gated resource library and sampler</t>
        </is>
      </c>
      <c r="C7" t="n">
        <v>1200</v>
      </c>
      <c r="D7" t="n">
        <v>15.9</v>
      </c>
      <c r="E7" t="n">
        <v>2000</v>
      </c>
      <c r="F7" t="n">
        <v>13.2</v>
      </c>
      <c r="G7" t="n">
        <v>125.98</v>
      </c>
      <c r="H7" t="b">
        <v>1</v>
      </c>
      <c r="I7" t="b">
        <v>0</v>
      </c>
    </row>
    <row r="8">
      <c r="A8" t="inlineStr">
        <is>
          <t>C-ORG-5</t>
        </is>
      </c>
      <c r="B8" t="inlineStr">
        <is>
          <t>Structured referral with reward</t>
        </is>
      </c>
      <c r="C8" t="n">
        <v>330</v>
      </c>
      <c r="D8" t="n">
        <v>9.6</v>
      </c>
      <c r="E8" t="n">
        <v>19246</v>
      </c>
      <c r="F8" t="n">
        <v>2.9</v>
      </c>
      <c r="G8" t="n">
        <v>2000</v>
      </c>
      <c r="H8" t="b">
        <v>1</v>
      </c>
      <c r="I8" t="b">
        <v>0</v>
      </c>
    </row>
    <row r="9">
      <c r="A9" t="inlineStr">
        <is>
          <t>C-ORG-6</t>
        </is>
      </c>
      <c r="B9" t="inlineStr">
        <is>
          <t>Alumni story series on LinkedIn</t>
        </is>
      </c>
      <c r="C9" t="n">
        <v>5400</v>
      </c>
      <c r="D9" t="n">
        <v>5.8</v>
      </c>
      <c r="E9" t="n">
        <v>5000</v>
      </c>
      <c r="F9" t="n">
        <v>12</v>
      </c>
      <c r="G9" t="n">
        <v>857.34</v>
      </c>
      <c r="H9" t="b">
        <v>1</v>
      </c>
      <c r="I9" t="b">
        <v>0</v>
      </c>
    </row>
    <row r="10">
      <c r="A10" t="inlineStr">
        <is>
          <t>C-ORG-7</t>
        </is>
      </c>
      <c r="B10" t="inlineStr">
        <is>
          <t>Placement cell information session</t>
        </is>
      </c>
      <c r="C10" t="n">
        <v>200</v>
      </c>
      <c r="D10" t="n">
        <v>3.2</v>
      </c>
      <c r="E10" t="n">
        <v>8000</v>
      </c>
      <c r="F10" t="n">
        <v>6</v>
      </c>
      <c r="G10" t="n">
        <v>2469.14</v>
      </c>
      <c r="H10" t="b">
        <v>1</v>
      </c>
      <c r="I10" t="b">
        <v>0</v>
      </c>
    </row>
    <row r="11">
      <c r="A11" t="inlineStr">
        <is>
          <t>C-PD-1</t>
        </is>
      </c>
      <c r="B11" t="inlineStr">
        <is>
          <t>Meta retargeting of warm audiences</t>
        </is>
      </c>
      <c r="C11" t="n">
        <v>1410</v>
      </c>
      <c r="D11" t="n">
        <v>76.09999999999999</v>
      </c>
      <c r="E11" t="n">
        <v>296100</v>
      </c>
      <c r="F11" t="n">
        <v>4</v>
      </c>
      <c r="G11" t="n">
        <v>3888.89</v>
      </c>
      <c r="H11" t="b">
        <v>0</v>
      </c>
      <c r="I11" t="b">
        <v>1</v>
      </c>
    </row>
    <row r="12">
      <c r="A12" t="inlineStr">
        <is>
          <t>C-PD-2</t>
        </is>
      </c>
      <c r="B12" t="inlineStr">
        <is>
          <t>Meta prospecting, campus geofence</t>
        </is>
      </c>
      <c r="C12" t="n">
        <v>522</v>
      </c>
      <c r="D12" t="n">
        <v>14.1</v>
      </c>
      <c r="E12" t="n">
        <v>182543</v>
      </c>
      <c r="F12" t="n">
        <v>3</v>
      </c>
      <c r="G12" t="n">
        <v>12962.96</v>
      </c>
      <c r="H12" t="b">
        <v>0</v>
      </c>
      <c r="I12" t="b">
        <v>1</v>
      </c>
    </row>
    <row r="13">
      <c r="A13" t="inlineStr">
        <is>
          <t>C-PD-3</t>
        </is>
      </c>
      <c r="B13" t="inlineStr">
        <is>
          <t>LinkedIn school-targeted</t>
        </is>
      </c>
      <c r="C13" t="n">
        <v>313</v>
      </c>
      <c r="D13" t="n">
        <v>8.4</v>
      </c>
      <c r="E13" t="n">
        <v>281637</v>
      </c>
      <c r="F13" t="n">
        <v>3</v>
      </c>
      <c r="G13" t="n">
        <v>33333.33</v>
      </c>
      <c r="H13" t="b">
        <v>0</v>
      </c>
      <c r="I13" t="b">
        <v>1</v>
      </c>
    </row>
    <row r="14">
      <c r="A14" t="inlineStr">
        <is>
          <t>C-PD-4</t>
        </is>
      </c>
      <c r="B14" t="inlineStr">
        <is>
          <t>Campus micro-influencers and meme pages</t>
        </is>
      </c>
      <c r="C14" t="n">
        <v>40000</v>
      </c>
      <c r="D14" t="n">
        <v>32.4</v>
      </c>
      <c r="E14" t="n">
        <v>10000</v>
      </c>
      <c r="F14" t="n">
        <v>4</v>
      </c>
      <c r="G14" t="n">
        <v>308.64</v>
      </c>
      <c r="H14" t="b">
        <v>0</v>
      </c>
      <c r="I14"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54" customWidth="1" min="1" max="1"/>
    <col width="41" customWidth="1" min="2" max="2"/>
    <col width="10" customWidth="1" min="3" max="3"/>
    <col width="20" customWidth="1" min="4" max="4"/>
    <col width="20" customWidth="1" min="5" max="5"/>
  </cols>
  <sheetData>
    <row r="1">
      <c r="A1" s="1" t="inlineStr">
        <is>
          <t>T4 DTU budget and organic/paid split (base scenario)</t>
        </is>
      </c>
    </row>
    <row r="2"/>
    <row r="3">
      <c r="A3" t="inlineStr">
        <is>
          <t>Rows (funded channels)</t>
        </is>
      </c>
    </row>
    <row r="4">
      <c r="A4" s="2" t="inlineStr">
        <is>
          <t>ch</t>
        </is>
      </c>
      <c r="B4" s="2" t="inlineStr">
        <is>
          <t>name</t>
        </is>
      </c>
      <c r="C4" s="2" t="inlineStr">
        <is>
          <t>organic</t>
        </is>
      </c>
      <c r="D4" s="2" t="inlineStr">
        <is>
          <t>funded_enrol</t>
        </is>
      </c>
      <c r="E4" s="2" t="inlineStr">
        <is>
          <t>funded_cash</t>
        </is>
      </c>
    </row>
    <row r="5">
      <c r="A5" t="inlineStr">
        <is>
          <t>C-ORG-4</t>
        </is>
      </c>
      <c r="B5" t="inlineStr">
        <is>
          <t>Gated resource library and sampler</t>
        </is>
      </c>
      <c r="C5" t="b">
        <v>1</v>
      </c>
      <c r="D5" t="n">
        <v>15.876</v>
      </c>
      <c r="E5" t="n">
        <v>2000</v>
      </c>
    </row>
    <row r="6">
      <c r="A6" t="inlineStr">
        <is>
          <t>C-PD-4</t>
        </is>
      </c>
      <c r="B6" t="inlineStr">
        <is>
          <t>Campus micro-influencers and meme pages</t>
        </is>
      </c>
      <c r="C6" t="b">
        <v>0</v>
      </c>
      <c r="D6" t="n">
        <v>32.4</v>
      </c>
      <c r="E6" t="n">
        <v>10000</v>
      </c>
    </row>
    <row r="7">
      <c r="A7" t="inlineStr">
        <is>
          <t>C-ORG-2</t>
        </is>
      </c>
      <c r="B7" t="inlineStr">
        <is>
          <t>Department and branch representatives</t>
        </is>
      </c>
      <c r="C7" t="b">
        <v>1</v>
      </c>
      <c r="D7" t="n">
        <v>10.368</v>
      </c>
      <c r="E7" t="n">
        <v>8000.000000000001</v>
      </c>
    </row>
    <row r="8">
      <c r="A8" t="inlineStr">
        <is>
          <t>C-ORG-6</t>
        </is>
      </c>
      <c r="B8" t="inlineStr">
        <is>
          <t>Alumni story series on LinkedIn</t>
        </is>
      </c>
      <c r="C8" t="b">
        <v>1</v>
      </c>
      <c r="D8" t="n">
        <v>5.832</v>
      </c>
      <c r="E8" t="n">
        <v>5000</v>
      </c>
    </row>
    <row r="9">
      <c r="A9" t="inlineStr">
        <is>
          <t>C-ORG-3</t>
        </is>
      </c>
      <c r="B9" t="inlineStr">
        <is>
          <t>Mock placement drive</t>
        </is>
      </c>
      <c r="C9" t="b">
        <v>1</v>
      </c>
      <c r="D9" t="n">
        <v>10.8</v>
      </c>
      <c r="E9" t="n">
        <v>16000</v>
      </c>
    </row>
    <row r="10">
      <c r="A10" t="inlineStr">
        <is>
          <t>C-ORG-1</t>
        </is>
      </c>
      <c r="B10" t="inlineStr">
        <is>
          <t>Society co-hosted case workshops</t>
        </is>
      </c>
      <c r="C10" t="b">
        <v>1</v>
      </c>
      <c r="D10" t="n">
        <v>8.1</v>
      </c>
      <c r="E10" t="n">
        <v>16000</v>
      </c>
    </row>
    <row r="11">
      <c r="A11" t="inlineStr">
        <is>
          <t>C-ORG-5</t>
        </is>
      </c>
      <c r="B11" t="inlineStr">
        <is>
          <t>Structured referral with reward</t>
        </is>
      </c>
      <c r="C11" t="b">
        <v>1</v>
      </c>
      <c r="D11" t="n">
        <v>9.622800000000002</v>
      </c>
      <c r="E11" t="n">
        <v>19245.6</v>
      </c>
    </row>
    <row r="12">
      <c r="A12" t="inlineStr">
        <is>
          <t>C-ORG-7</t>
        </is>
      </c>
      <c r="B12" t="inlineStr">
        <is>
          <t>Placement cell information session</t>
        </is>
      </c>
      <c r="C12" t="b">
        <v>1</v>
      </c>
      <c r="D12" t="n">
        <v>3.24</v>
      </c>
      <c r="E12" t="n">
        <v>7999.999999999999</v>
      </c>
    </row>
    <row r="13">
      <c r="A13" t="inlineStr">
        <is>
          <t>C-PD-1</t>
        </is>
      </c>
      <c r="B13" t="inlineStr">
        <is>
          <t>Meta retargeting of warm audiences</t>
        </is>
      </c>
      <c r="C13" t="b">
        <v>0</v>
      </c>
      <c r="D13" t="n">
        <v>68.76120000000002</v>
      </c>
      <c r="E13" t="n">
        <v>267404.6666666667</v>
      </c>
    </row>
    <row r="14">
      <c r="A14" t="inlineStr">
        <is>
          <t>C-PD-2</t>
        </is>
      </c>
      <c r="B14" t="inlineStr">
        <is>
          <t>Meta prospecting, campus geofence</t>
        </is>
      </c>
      <c r="C14" t="b">
        <v>0</v>
      </c>
      <c r="D14" t="n">
        <v>0</v>
      </c>
      <c r="E14" t="n">
        <v>0</v>
      </c>
    </row>
    <row r="15">
      <c r="A15" t="inlineStr">
        <is>
          <t>C-PD-3</t>
        </is>
      </c>
      <c r="B15" t="inlineStr">
        <is>
          <t>LinkedIn school-targeted</t>
        </is>
      </c>
      <c r="C15" t="b">
        <v>0</v>
      </c>
      <c r="D15" t="n">
        <v>0</v>
      </c>
      <c r="E15" t="n">
        <v>0</v>
      </c>
    </row>
    <row r="16"/>
    <row r="17">
      <c r="A17" t="inlineStr">
        <is>
          <t>Total cash (sum of funded_cash)</t>
        </is>
      </c>
      <c r="B17">
        <f>SUM(E5:E15)</f>
        <v/>
      </c>
    </row>
    <row r="18">
      <c r="A18" t="inlineStr">
        <is>
          <t>Organic cash (sum where organic = TRUE)</t>
        </is>
      </c>
      <c r="B18">
        <f>SUMIF(C5:C15,TRUE,E5:E15)</f>
        <v/>
      </c>
    </row>
    <row r="19">
      <c r="A19" t="inlineStr">
        <is>
          <t>Organic % (derived)</t>
        </is>
      </c>
      <c r="B19">
        <f>100*B18/B17</f>
        <v/>
      </c>
    </row>
    <row r="20">
      <c r="A20" t="inlineStr">
        <is>
          <t>Total funded enrolments</t>
        </is>
      </c>
      <c r="B20">
        <f>SUM(D5:D15)</f>
        <v/>
      </c>
    </row>
    <row r="21">
      <c r="A21" t="inlineStr">
        <is>
          <t>JSON total_cash</t>
        </is>
      </c>
      <c r="B21" t="n">
        <v>351650</v>
      </c>
    </row>
    <row r="22">
      <c r="A22" t="inlineStr">
        <is>
          <t>JSON organic_pct</t>
        </is>
      </c>
      <c r="B22" t="n">
        <v>21.1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60" customWidth="1" min="1" max="1"/>
    <col width="10" customWidth="1" min="2" max="2"/>
    <col width="12" customWidth="1" min="3" max="3"/>
  </cols>
  <sheetData>
    <row r="1">
      <c r="A1" s="1" t="inlineStr">
        <is>
          <t>T5 Month-by-month calendar (base scenario, Oct 2026 to Sep 2027)</t>
        </is>
      </c>
    </row>
    <row r="2"/>
    <row r="3">
      <c r="A3" s="2" t="inlineStr">
        <is>
          <t>month</t>
        </is>
      </c>
      <c r="B3" s="2" t="inlineStr">
        <is>
          <t>spend</t>
        </is>
      </c>
      <c r="C3" s="2" t="inlineStr">
        <is>
          <t>enrolments</t>
        </is>
      </c>
    </row>
    <row r="4">
      <c r="A4" t="inlineStr">
        <is>
          <t>Oct26</t>
        </is>
      </c>
      <c r="B4" t="n">
        <v>28132</v>
      </c>
      <c r="C4" t="n">
        <v>13.2</v>
      </c>
    </row>
    <row r="5">
      <c r="A5" t="inlineStr">
        <is>
          <t>Nov26</t>
        </is>
      </c>
      <c r="B5" t="n">
        <v>31648</v>
      </c>
      <c r="C5" t="n">
        <v>14.8</v>
      </c>
    </row>
    <row r="6">
      <c r="A6" t="inlineStr">
        <is>
          <t>Dec26</t>
        </is>
      </c>
      <c r="B6" t="n">
        <v>14066</v>
      </c>
      <c r="C6" t="n">
        <v>6.6</v>
      </c>
    </row>
    <row r="7">
      <c r="A7" t="inlineStr">
        <is>
          <t>Jan27</t>
        </is>
      </c>
      <c r="B7" t="n">
        <v>49231</v>
      </c>
      <c r="C7" t="n">
        <v>23.1</v>
      </c>
    </row>
    <row r="8">
      <c r="A8" t="inlineStr">
        <is>
          <t>Feb27</t>
        </is>
      </c>
      <c r="B8" t="n">
        <v>35165</v>
      </c>
      <c r="C8" t="n">
        <v>16.5</v>
      </c>
    </row>
    <row r="9">
      <c r="A9" t="inlineStr">
        <is>
          <t>Mar27</t>
        </is>
      </c>
      <c r="B9" t="n">
        <v>24616</v>
      </c>
      <c r="C9" t="n">
        <v>11.6</v>
      </c>
    </row>
    <row r="10">
      <c r="A10" t="inlineStr">
        <is>
          <t>Apr27</t>
        </is>
      </c>
      <c r="B10" t="n">
        <v>21099</v>
      </c>
      <c r="C10" t="n">
        <v>9.9</v>
      </c>
    </row>
    <row r="11">
      <c r="A11" t="inlineStr">
        <is>
          <t>May27</t>
        </is>
      </c>
      <c r="B11" t="n">
        <v>17582</v>
      </c>
      <c r="C11" t="n">
        <v>8.199999999999999</v>
      </c>
    </row>
    <row r="12">
      <c r="A12" t="inlineStr">
        <is>
          <t>Jun27</t>
        </is>
      </c>
      <c r="B12" t="n">
        <v>24616</v>
      </c>
      <c r="C12" t="n">
        <v>11.6</v>
      </c>
    </row>
    <row r="13">
      <c r="A13" t="inlineStr">
        <is>
          <t>Jul27</t>
        </is>
      </c>
      <c r="B13" t="n">
        <v>42198</v>
      </c>
      <c r="C13" t="n">
        <v>19.8</v>
      </c>
    </row>
    <row r="14">
      <c r="A14" t="inlineStr">
        <is>
          <t>Aug27</t>
        </is>
      </c>
      <c r="B14" t="n">
        <v>45714</v>
      </c>
      <c r="C14" t="n">
        <v>21.4</v>
      </c>
    </row>
    <row r="15">
      <c r="A15" t="inlineStr">
        <is>
          <t>Sep27</t>
        </is>
      </c>
      <c r="B15" t="n">
        <v>17582</v>
      </c>
      <c r="C15" t="n">
        <v>8.199999999999999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7" customWidth="1" min="1" max="1"/>
    <col width="12" customWidth="1" min="2" max="2"/>
    <col width="10" customWidth="1" min="3" max="3"/>
    <col width="10" customWidth="1" min="4" max="4"/>
    <col width="13" customWidth="1" min="5" max="5"/>
    <col width="17" customWidth="1" min="6" max="6"/>
    <col width="14" customWidth="1" min="7" max="7"/>
    <col width="13" customWidth="1" min="8" max="8"/>
    <col width="10" customWidth="1" min="9" max="9"/>
    <col width="10" customWidth="1" min="10" max="10"/>
  </cols>
  <sheetData>
    <row r="1">
      <c r="A1" s="1" t="inlineStr">
        <is>
          <t>T6 DTU scenarios: bear, base, bull</t>
        </is>
      </c>
    </row>
    <row r="2"/>
    <row r="3">
      <c r="A3" s="2" t="inlineStr">
        <is>
          <t>scenario</t>
        </is>
      </c>
      <c r="B3" s="2" t="inlineStr">
        <is>
          <t>enrolments</t>
        </is>
      </c>
      <c r="C3" s="2" t="inlineStr">
        <is>
          <t>revenue</t>
        </is>
      </c>
      <c r="D3" s="2" t="inlineStr">
        <is>
          <t>spend</t>
        </is>
      </c>
      <c r="E3" s="2" t="inlineStr">
        <is>
          <t>blended_cac</t>
        </is>
      </c>
      <c r="F3" s="2" t="inlineStr">
        <is>
          <t>payback_cohorts</t>
        </is>
      </c>
      <c r="G3" s="2" t="inlineStr">
        <is>
          <t>contribution</t>
        </is>
      </c>
      <c r="H3" s="2" t="inlineStr">
        <is>
          <t>organic_pct</t>
        </is>
      </c>
      <c r="I3" s="2" t="inlineStr">
        <is>
          <t>fee</t>
        </is>
      </c>
      <c r="J3" s="2" t="inlineStr">
        <is>
          <t>margin</t>
        </is>
      </c>
    </row>
    <row r="4">
      <c r="A4" t="inlineStr">
        <is>
          <t>bear</t>
        </is>
      </c>
      <c r="B4" t="n">
        <v>120</v>
      </c>
      <c r="C4" t="n">
        <v>960000</v>
      </c>
      <c r="D4" t="n">
        <v>1984811</v>
      </c>
      <c r="E4" t="n">
        <v>16540.09</v>
      </c>
      <c r="F4" t="n">
        <v>3.76</v>
      </c>
      <c r="G4" t="n">
        <v>-1456811</v>
      </c>
      <c r="H4" t="n">
        <v>4.2</v>
      </c>
      <c r="I4" t="n">
        <v>8000</v>
      </c>
      <c r="J4" t="n">
        <v>0.55</v>
      </c>
    </row>
    <row r="5">
      <c r="A5" t="inlineStr">
        <is>
          <t>base</t>
        </is>
      </c>
      <c r="B5" t="n">
        <v>165</v>
      </c>
      <c r="C5" t="n">
        <v>1980000</v>
      </c>
      <c r="D5" t="n">
        <v>351650</v>
      </c>
      <c r="E5" t="n">
        <v>2131.21</v>
      </c>
      <c r="F5" t="n">
        <v>0.27</v>
      </c>
      <c r="G5" t="n">
        <v>935350</v>
      </c>
      <c r="H5" t="n">
        <v>21.1</v>
      </c>
      <c r="I5" t="n">
        <v>12000</v>
      </c>
      <c r="J5" t="n">
        <v>0.65</v>
      </c>
    </row>
    <row r="6">
      <c r="A6" t="inlineStr">
        <is>
          <t>bull</t>
        </is>
      </c>
      <c r="B6" t="n">
        <v>210</v>
      </c>
      <c r="C6" t="n">
        <v>3780000</v>
      </c>
      <c r="D6" t="n">
        <v>26222</v>
      </c>
      <c r="E6" t="n">
        <v>124.87</v>
      </c>
      <c r="F6" t="n">
        <v>0.01</v>
      </c>
      <c r="G6" t="n">
        <v>2808778</v>
      </c>
      <c r="H6" t="n">
        <v>77.09999999999999</v>
      </c>
      <c r="I6" t="n">
        <v>18000</v>
      </c>
      <c r="J6" t="n">
        <v>0.75</v>
      </c>
    </row>
    <row r="7"/>
    <row r="8">
      <c r="A8" t="inlineStr">
        <is>
          <t>Re-derived base contribution (revenue x margin - spend)</t>
        </is>
      </c>
      <c r="B8">
        <f>C5*I5-D5</f>
        <v/>
      </c>
    </row>
    <row r="9">
      <c r="A9" t="inlineStr">
        <is>
          <t>JSON base contribution</t>
        </is>
      </c>
      <c r="B9" t="n">
        <v>935350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0" customWidth="1" min="1" max="1"/>
    <col width="19" customWidth="1" min="2" max="2"/>
    <col width="19" customWidth="1" min="3" max="3"/>
    <col width="19" customWidth="1" min="4" max="4"/>
    <col width="10" customWidth="1" min="5" max="5"/>
  </cols>
  <sheetData>
    <row r="1">
      <c r="A1" s="1" t="inlineStr">
        <is>
          <t>T7 Sensitivity tornado on DTU contribution (base contribution 935350)</t>
        </is>
      </c>
    </row>
    <row r="2"/>
    <row r="3">
      <c r="A3" s="2" t="inlineStr">
        <is>
          <t>assumption</t>
        </is>
      </c>
      <c r="B3" s="2" t="inlineStr">
        <is>
          <t>contribution_bear</t>
        </is>
      </c>
      <c r="C3" s="2" t="inlineStr">
        <is>
          <t>contribution_base</t>
        </is>
      </c>
      <c r="D3" s="2" t="inlineStr">
        <is>
          <t>contribution_bull</t>
        </is>
      </c>
      <c r="E3" s="2" t="inlineStr">
        <is>
          <t>swing</t>
        </is>
      </c>
    </row>
    <row r="4">
      <c r="A4" t="inlineStr">
        <is>
          <t>A01_fee_inr</t>
        </is>
      </c>
      <c r="B4" t="n">
        <v>506350</v>
      </c>
      <c r="C4" t="n">
        <v>935350</v>
      </c>
      <c r="D4" t="n">
        <v>1578850</v>
      </c>
      <c r="E4" t="n">
        <v>1072500</v>
      </c>
    </row>
    <row r="5">
      <c r="A5" t="inlineStr">
        <is>
          <t>A09_application_to_enrolment</t>
        </is>
      </c>
      <c r="B5" t="n">
        <v>620932</v>
      </c>
      <c r="C5" t="n">
        <v>935350</v>
      </c>
      <c r="D5" t="n">
        <v>1089351</v>
      </c>
      <c r="E5" t="n">
        <v>468419</v>
      </c>
    </row>
    <row r="6">
      <c r="A6" t="inlineStr">
        <is>
          <t>A11_meta_cpl_inr</t>
        </is>
      </c>
      <c r="B6" t="n">
        <v>744346</v>
      </c>
      <c r="C6" t="n">
        <v>935350</v>
      </c>
      <c r="D6" t="n">
        <v>1050752</v>
      </c>
      <c r="E6" t="n">
        <v>306406</v>
      </c>
    </row>
    <row r="7">
      <c r="A7" t="inlineStr">
        <is>
          <t>A08_lead_to_application</t>
        </is>
      </c>
      <c r="B7" t="n">
        <v>859011</v>
      </c>
      <c r="C7" t="n">
        <v>935350</v>
      </c>
      <c r="D7" t="n">
        <v>1049858</v>
      </c>
      <c r="E7" t="n">
        <v>190847</v>
      </c>
    </row>
    <row r="8">
      <c r="A8" t="inlineStr">
        <is>
          <t>A26_gated_capture_rate</t>
        </is>
      </c>
      <c r="B8" t="n">
        <v>908890</v>
      </c>
      <c r="C8" t="n">
        <v>935350</v>
      </c>
      <c r="D8" t="n">
        <v>961810</v>
      </c>
      <c r="E8" t="n">
        <v>52920</v>
      </c>
    </row>
    <row r="9">
      <c r="A9" t="inlineStr">
        <is>
          <t>A06_event_registrants</t>
        </is>
      </c>
      <c r="B9" t="n">
        <v>920650</v>
      </c>
      <c r="C9" t="n">
        <v>935350</v>
      </c>
      <c r="D9" t="n">
        <v>956350</v>
      </c>
      <c r="E9" t="n">
        <v>35700</v>
      </c>
    </row>
    <row r="10">
      <c r="A10" t="inlineStr">
        <is>
          <t>A14_ambassador_enrolments_per_season</t>
        </is>
      </c>
      <c r="B10" t="n">
        <v>935350</v>
      </c>
      <c r="C10" t="n">
        <v>935350</v>
      </c>
      <c r="D10" t="n">
        <v>935350</v>
      </c>
      <c r="E10"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60" customWidth="1" min="1" max="1"/>
    <col width="34" customWidth="1" min="2" max="2"/>
    <col width="10" customWidth="1" min="3" max="3"/>
    <col width="13" customWidth="1" min="4" max="4"/>
    <col width="16"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T8 College scorecard: Fit score, screen result and rank</t>
        </is>
      </c>
    </row>
    <row r="2">
      <c r="A2" t="inlineStr">
        <is>
          <t>F2 relaxed from 5 to 4 anchors: True. Longlist median Fit (excluding calibration): 2.15. Calibration at/above median: True.</t>
        </is>
      </c>
    </row>
    <row r="3"/>
    <row r="4">
      <c r="A4" s="2" t="inlineStr">
        <is>
          <t>college</t>
        </is>
      </c>
      <c r="B4" s="2" t="inlineStr">
        <is>
          <t>region</t>
        </is>
      </c>
      <c r="C4" s="2" t="inlineStr">
        <is>
          <t>fit</t>
        </is>
      </c>
      <c r="D4" s="2" t="inlineStr">
        <is>
          <t>screen_pass</t>
        </is>
      </c>
      <c r="E4" s="2" t="inlineStr">
        <is>
          <t>is_calibration</t>
        </is>
      </c>
      <c r="F4" s="2" t="inlineStr">
        <is>
          <t>C1</t>
        </is>
      </c>
      <c r="G4" s="2" t="inlineStr">
        <is>
          <t>C2</t>
        </is>
      </c>
      <c r="H4" s="2" t="inlineStr">
        <is>
          <t>C3</t>
        </is>
      </c>
      <c r="I4" s="2" t="inlineStr">
        <is>
          <t>C4</t>
        </is>
      </c>
      <c r="J4" s="2" t="inlineStr">
        <is>
          <t>C5</t>
        </is>
      </c>
      <c r="K4" s="2" t="inlineStr">
        <is>
          <t>C6</t>
        </is>
      </c>
      <c r="L4" s="2" t="inlineStr">
        <is>
          <t>C7</t>
        </is>
      </c>
    </row>
    <row r="5">
      <c r="A5" t="inlineStr">
        <is>
          <t>DTU</t>
        </is>
      </c>
      <c r="B5" t="inlineStr">
        <is>
          <t>Delhi NCR (calibration)</t>
        </is>
      </c>
      <c r="C5" t="n">
        <v>3.65</v>
      </c>
      <c r="D5" t="b">
        <v>0</v>
      </c>
      <c r="E5" t="b">
        <v>1</v>
      </c>
      <c r="F5" t="n">
        <v>4</v>
      </c>
      <c r="G5" t="n">
        <v>2</v>
      </c>
      <c r="H5" t="n">
        <v>5</v>
      </c>
      <c r="I5" t="n">
        <v>2</v>
      </c>
      <c r="J5" t="n">
        <v>3</v>
      </c>
      <c r="K5" t="n">
        <v>5</v>
      </c>
      <c r="L5" t="n">
        <v>5</v>
      </c>
    </row>
    <row r="6">
      <c r="A6" t="inlineStr">
        <is>
          <t>BITS Pilani (Pilani campus)</t>
        </is>
      </c>
      <c r="B6" t="inlineStr">
        <is>
          <t>North</t>
        </is>
      </c>
      <c r="C6" t="n">
        <v>3</v>
      </c>
      <c r="D6" t="b">
        <v>1</v>
      </c>
      <c r="E6" t="b">
        <v>0</v>
      </c>
      <c r="F6" t="n">
        <v>2</v>
      </c>
      <c r="G6" t="n">
        <v>4</v>
      </c>
      <c r="H6" t="n">
        <v>2</v>
      </c>
      <c r="I6" t="n">
        <v>2</v>
      </c>
      <c r="J6" t="n">
        <v>4</v>
      </c>
      <c r="K6" t="n">
        <v>5</v>
      </c>
      <c r="L6" t="n">
        <v>4</v>
      </c>
    </row>
    <row r="7">
      <c r="A7" t="inlineStr">
        <is>
          <t>BITS Pilani, Goa campus</t>
        </is>
      </c>
      <c r="B7" t="inlineStr">
        <is>
          <t>West and East</t>
        </is>
      </c>
      <c r="C7" t="n">
        <v>2.8</v>
      </c>
      <c r="D7" t="b">
        <v>1</v>
      </c>
      <c r="E7" t="b">
        <v>0</v>
      </c>
      <c r="F7" t="n">
        <v>2</v>
      </c>
      <c r="G7" t="n">
        <v>4</v>
      </c>
      <c r="H7" t="n">
        <v>2</v>
      </c>
      <c r="I7" t="n">
        <v>2</v>
      </c>
      <c r="J7" t="n">
        <v>4</v>
      </c>
      <c r="K7" t="n">
        <v>5</v>
      </c>
      <c r="L7" t="n">
        <v>2</v>
      </c>
    </row>
    <row r="8">
      <c r="A8" t="inlineStr">
        <is>
          <t>Manipal Institute of Technology</t>
        </is>
      </c>
      <c r="B8" t="inlineStr">
        <is>
          <t>South</t>
        </is>
      </c>
      <c r="C8" t="n">
        <v>2.75</v>
      </c>
      <c r="D8" t="b">
        <v>0</v>
      </c>
      <c r="E8" t="b">
        <v>0</v>
      </c>
      <c r="F8" t="n">
        <v>1</v>
      </c>
      <c r="G8" t="n">
        <v>5</v>
      </c>
      <c r="H8" t="n">
        <v>4</v>
      </c>
      <c r="I8" t="n">
        <v>1</v>
      </c>
      <c r="J8" t="n">
        <v>4</v>
      </c>
      <c r="K8" t="n">
        <v>5</v>
      </c>
      <c r="L8" t="n">
        <v>1</v>
      </c>
    </row>
    <row r="9">
      <c r="A9" t="inlineStr">
        <is>
          <t>NSUT</t>
        </is>
      </c>
      <c r="B9" t="inlineStr">
        <is>
          <t>Delhi NCR (calibration)</t>
        </is>
      </c>
      <c r="C9" t="n">
        <v>2.7</v>
      </c>
      <c r="D9" t="b">
        <v>0</v>
      </c>
      <c r="E9" t="b">
        <v>1</v>
      </c>
      <c r="F9" t="n">
        <v>2</v>
      </c>
      <c r="G9" t="n">
        <v>1</v>
      </c>
      <c r="H9" t="n">
        <v>4</v>
      </c>
      <c r="I9" t="n">
        <v>1</v>
      </c>
      <c r="J9" t="n">
        <v>4</v>
      </c>
      <c r="K9" t="n">
        <v>5</v>
      </c>
      <c r="L9" t="n">
        <v>4</v>
      </c>
    </row>
    <row r="10">
      <c r="A10" t="inlineStr">
        <is>
          <t>Thapar Institute of Engineering and Technology</t>
        </is>
      </c>
      <c r="B10" t="inlineStr">
        <is>
          <t>North (calibration)</t>
        </is>
      </c>
      <c r="C10" t="n">
        <v>2.7</v>
      </c>
      <c r="D10" t="b">
        <v>0</v>
      </c>
      <c r="E10" t="b">
        <v>1</v>
      </c>
      <c r="F10" t="n">
        <v>1</v>
      </c>
      <c r="G10" t="n">
        <v>1</v>
      </c>
      <c r="H10" t="n">
        <v>5</v>
      </c>
      <c r="I10" t="n">
        <v>1</v>
      </c>
      <c r="J10" t="n">
        <v>5</v>
      </c>
      <c r="K10" t="n">
        <v>5</v>
      </c>
      <c r="L10" t="n">
        <v>4</v>
      </c>
    </row>
    <row r="11">
      <c r="A11" t="inlineStr">
        <is>
          <t>NIT Tiruchirappalli</t>
        </is>
      </c>
      <c r="B11" t="inlineStr">
        <is>
          <t>South</t>
        </is>
      </c>
      <c r="C11" t="n">
        <v>2.65</v>
      </c>
      <c r="D11" t="b">
        <v>1</v>
      </c>
      <c r="E11" t="b">
        <v>0</v>
      </c>
      <c r="F11" t="n">
        <v>2</v>
      </c>
      <c r="G11" t="n">
        <v>1</v>
      </c>
      <c r="H11" t="n">
        <v>3</v>
      </c>
      <c r="I11" t="n">
        <v>3</v>
      </c>
      <c r="J11" t="n">
        <v>5</v>
      </c>
      <c r="K11" t="n">
        <v>5</v>
      </c>
      <c r="L11" t="n">
        <v>1</v>
      </c>
    </row>
    <row r="12">
      <c r="A12" t="inlineStr">
        <is>
          <t>BITS Pilani Hyderabad campus</t>
        </is>
      </c>
      <c r="B12" t="inlineStr">
        <is>
          <t>South</t>
        </is>
      </c>
      <c r="C12" t="n">
        <v>2.65</v>
      </c>
      <c r="D12" t="b">
        <v>0</v>
      </c>
      <c r="E12" t="b">
        <v>0</v>
      </c>
      <c r="F12" t="n">
        <v>1</v>
      </c>
      <c r="G12" t="n">
        <v>1</v>
      </c>
      <c r="H12" t="n">
        <v>5</v>
      </c>
      <c r="I12" t="n">
        <v>2</v>
      </c>
      <c r="J12" t="n">
        <v>5</v>
      </c>
      <c r="K12" t="n">
        <v>5</v>
      </c>
      <c r="L12" t="n">
        <v>2</v>
      </c>
    </row>
    <row r="13">
      <c r="A13" t="inlineStr">
        <is>
          <t>NIT Rourkela (National Institute of Technology, Rourkela)</t>
        </is>
      </c>
      <c r="B13" t="inlineStr">
        <is>
          <t>West and East</t>
        </is>
      </c>
      <c r="C13" t="n">
        <v>2.5</v>
      </c>
      <c r="D13" t="b">
        <v>0</v>
      </c>
      <c r="E13" t="b">
        <v>0</v>
      </c>
      <c r="F13" t="n">
        <v>1</v>
      </c>
      <c r="G13" t="n">
        <v>1</v>
      </c>
      <c r="H13" t="n">
        <v>3</v>
      </c>
      <c r="I13" t="n">
        <v>3</v>
      </c>
      <c r="J13" t="n">
        <v>4</v>
      </c>
      <c r="K13" t="n">
        <v>5</v>
      </c>
      <c r="L13" t="n">
        <v>3</v>
      </c>
    </row>
    <row r="14">
      <c r="A14" t="inlineStr">
        <is>
          <t>PEC Chandigarh</t>
        </is>
      </c>
      <c r="B14" t="inlineStr">
        <is>
          <t>North</t>
        </is>
      </c>
      <c r="C14" t="n">
        <v>2.4</v>
      </c>
      <c r="D14" t="b">
        <v>1</v>
      </c>
      <c r="E14" t="b">
        <v>0</v>
      </c>
      <c r="F14" t="n">
        <v>2</v>
      </c>
      <c r="G14" t="n">
        <v>1</v>
      </c>
      <c r="H14" t="n">
        <v>2</v>
      </c>
      <c r="I14" t="n">
        <v>1</v>
      </c>
      <c r="J14" t="n">
        <v>5</v>
      </c>
      <c r="K14" t="n">
        <v>5</v>
      </c>
      <c r="L14" t="n">
        <v>3</v>
      </c>
    </row>
    <row r="15">
      <c r="A15" t="inlineStr">
        <is>
          <t>VIT Vellore</t>
        </is>
      </c>
      <c r="B15" t="inlineStr">
        <is>
          <t>South</t>
        </is>
      </c>
      <c r="C15" t="n">
        <v>2.4</v>
      </c>
      <c r="D15" t="b">
        <v>0</v>
      </c>
      <c r="E15" t="b">
        <v>0</v>
      </c>
      <c r="F15" t="n">
        <v>1</v>
      </c>
      <c r="G15" t="n">
        <v>1</v>
      </c>
      <c r="H15" t="n">
        <v>5</v>
      </c>
      <c r="I15" t="n">
        <v>1</v>
      </c>
      <c r="J15" t="n">
        <v>5</v>
      </c>
      <c r="K15" t="n">
        <v>5</v>
      </c>
      <c r="L15" t="n">
        <v>1</v>
      </c>
    </row>
    <row r="16">
      <c r="A16" t="inlineStr">
        <is>
          <t>COEP Technological University, Pune</t>
        </is>
      </c>
      <c r="B16" t="inlineStr">
        <is>
          <t>West and East</t>
        </is>
      </c>
      <c r="C16" t="n">
        <v>2.4</v>
      </c>
      <c r="D16" t="b">
        <v>1</v>
      </c>
      <c r="E16" t="b">
        <v>0</v>
      </c>
      <c r="F16" t="n">
        <v>2</v>
      </c>
      <c r="G16" t="n">
        <v>1</v>
      </c>
      <c r="H16" t="n">
        <v>2</v>
      </c>
      <c r="I16" t="n">
        <v>3</v>
      </c>
      <c r="J16" t="n">
        <v>4</v>
      </c>
      <c r="K16" t="n">
        <v>5</v>
      </c>
      <c r="L16" t="n">
        <v>1</v>
      </c>
    </row>
    <row r="17">
      <c r="A17" t="inlineStr">
        <is>
          <t>BIT Mesra</t>
        </is>
      </c>
      <c r="B17" t="inlineStr">
        <is>
          <t>East (calibration)</t>
        </is>
      </c>
      <c r="C17" t="n">
        <v>2.3</v>
      </c>
      <c r="D17" t="b">
        <v>0</v>
      </c>
      <c r="E17" t="b">
        <v>1</v>
      </c>
      <c r="F17" t="n">
        <v>1</v>
      </c>
      <c r="G17" t="n">
        <v>1</v>
      </c>
      <c r="H17" t="n">
        <v>3</v>
      </c>
      <c r="I17" t="n">
        <v>1</v>
      </c>
      <c r="J17" t="n">
        <v>5</v>
      </c>
      <c r="K17" t="n">
        <v>5</v>
      </c>
      <c r="L17" t="n">
        <v>3</v>
      </c>
    </row>
    <row r="18">
      <c r="A18" t="inlineStr">
        <is>
          <t>NIT Jalandhar</t>
        </is>
      </c>
      <c r="B18" t="inlineStr">
        <is>
          <t>North</t>
        </is>
      </c>
      <c r="C18" t="n">
        <v>2.3</v>
      </c>
      <c r="D18" t="b">
        <v>0</v>
      </c>
      <c r="E18" t="b">
        <v>0</v>
      </c>
      <c r="F18" t="n">
        <v>1</v>
      </c>
      <c r="G18" t="n">
        <v>1</v>
      </c>
      <c r="H18" t="n">
        <v>3</v>
      </c>
      <c r="I18" t="n">
        <v>1</v>
      </c>
      <c r="J18" t="n">
        <v>5</v>
      </c>
      <c r="K18" t="n">
        <v>5</v>
      </c>
      <c r="L18" t="n">
        <v>3</v>
      </c>
    </row>
    <row r="19">
      <c r="A19" t="inlineStr">
        <is>
          <t>NIT Warangal</t>
        </is>
      </c>
      <c r="B19" t="inlineStr">
        <is>
          <t>South</t>
        </is>
      </c>
      <c r="C19" t="n">
        <v>2.2</v>
      </c>
      <c r="D19" t="b">
        <v>1</v>
      </c>
      <c r="E19" t="b">
        <v>0</v>
      </c>
      <c r="F19" t="n">
        <v>2</v>
      </c>
      <c r="G19" t="n">
        <v>1</v>
      </c>
      <c r="H19" t="n">
        <v>2</v>
      </c>
      <c r="I19" t="n">
        <v>1</v>
      </c>
      <c r="J19" t="n">
        <v>5</v>
      </c>
      <c r="K19" t="n">
        <v>5</v>
      </c>
      <c r="L19" t="n">
        <v>1</v>
      </c>
    </row>
    <row r="20">
      <c r="A20" t="inlineStr">
        <is>
          <t>IIT Roorkee</t>
        </is>
      </c>
      <c r="B20" t="inlineStr">
        <is>
          <t>Contrast set</t>
        </is>
      </c>
      <c r="C20" t="n">
        <v>2.2</v>
      </c>
      <c r="D20" t="b">
        <v>1</v>
      </c>
      <c r="E20" t="b">
        <v>0</v>
      </c>
      <c r="F20" t="n">
        <v>2</v>
      </c>
      <c r="G20" t="n">
        <v>1</v>
      </c>
      <c r="H20" t="n">
        <v>3</v>
      </c>
      <c r="I20" t="n">
        <v>2</v>
      </c>
      <c r="J20" t="n">
        <v>4</v>
      </c>
      <c r="K20" t="n">
        <v>1</v>
      </c>
      <c r="L20" t="n">
        <v>3</v>
      </c>
    </row>
    <row r="21">
      <c r="A21" t="inlineStr">
        <is>
          <t>IGDTUW</t>
        </is>
      </c>
      <c r="B21" t="inlineStr">
        <is>
          <t>Delhi NCR</t>
        </is>
      </c>
      <c r="C21" t="n">
        <v>2.15</v>
      </c>
      <c r="D21" t="b">
        <v>0</v>
      </c>
      <c r="E21" t="b">
        <v>0</v>
      </c>
      <c r="F21" t="n">
        <v>1</v>
      </c>
      <c r="G21" t="n">
        <v>1</v>
      </c>
      <c r="H21" t="n">
        <v>2</v>
      </c>
      <c r="I21" t="n">
        <v>1</v>
      </c>
      <c r="J21" t="n">
        <v>5</v>
      </c>
      <c r="K21" t="n">
        <v>5</v>
      </c>
      <c r="L21" t="n">
        <v>3</v>
      </c>
    </row>
    <row r="22">
      <c r="A22" t="inlineStr">
        <is>
          <t>NIT Kurukshetra</t>
        </is>
      </c>
      <c r="B22" t="inlineStr">
        <is>
          <t>North</t>
        </is>
      </c>
      <c r="C22" t="n">
        <v>2.15</v>
      </c>
      <c r="D22" t="b">
        <v>0</v>
      </c>
      <c r="E22" t="b">
        <v>0</v>
      </c>
      <c r="F22" t="n">
        <v>1</v>
      </c>
      <c r="G22" t="n">
        <v>1</v>
      </c>
      <c r="H22" t="n">
        <v>2</v>
      </c>
      <c r="I22" t="n">
        <v>1</v>
      </c>
      <c r="J22" t="n">
        <v>5</v>
      </c>
      <c r="K22" t="n">
        <v>5</v>
      </c>
      <c r="L22" t="n">
        <v>3</v>
      </c>
    </row>
    <row r="23">
      <c r="A23" t="inlineStr">
        <is>
          <t>MNIT Jaipur</t>
        </is>
      </c>
      <c r="B23" t="inlineStr">
        <is>
          <t>North</t>
        </is>
      </c>
      <c r="C23" t="n">
        <v>2.15</v>
      </c>
      <c r="D23" t="b">
        <v>0</v>
      </c>
      <c r="E23" t="b">
        <v>0</v>
      </c>
      <c r="F23" t="n">
        <v>1</v>
      </c>
      <c r="G23" t="n">
        <v>1</v>
      </c>
      <c r="H23" t="n">
        <v>2</v>
      </c>
      <c r="I23" t="n">
        <v>1</v>
      </c>
      <c r="J23" t="n">
        <v>5</v>
      </c>
      <c r="K23" t="n">
        <v>5</v>
      </c>
      <c r="L23" t="n">
        <v>3</v>
      </c>
    </row>
    <row r="24">
      <c r="A24" t="inlineStr">
        <is>
          <t>IIT Delhi</t>
        </is>
      </c>
      <c r="B24" t="inlineStr">
        <is>
          <t>Contrast set</t>
        </is>
      </c>
      <c r="C24" t="n">
        <v>2.15</v>
      </c>
      <c r="D24" t="b">
        <v>1</v>
      </c>
      <c r="E24" t="b">
        <v>0</v>
      </c>
      <c r="F24" t="n">
        <v>2</v>
      </c>
      <c r="G24" t="n">
        <v>1</v>
      </c>
      <c r="H24" t="n">
        <v>3</v>
      </c>
      <c r="I24" t="n">
        <v>1</v>
      </c>
      <c r="J24" t="n">
        <v>5</v>
      </c>
      <c r="K24" t="n">
        <v>1</v>
      </c>
      <c r="L24" t="n">
        <v>3</v>
      </c>
    </row>
    <row r="25">
      <c r="A25" t="inlineStr">
        <is>
          <t>NIT Karnataka Surathkal</t>
        </is>
      </c>
      <c r="B25" t="inlineStr">
        <is>
          <t>South</t>
        </is>
      </c>
      <c r="C25" t="n">
        <v>2.1</v>
      </c>
      <c r="D25" t="b">
        <v>0</v>
      </c>
      <c r="E25" t="b">
        <v>0</v>
      </c>
      <c r="F25" t="n">
        <v>1</v>
      </c>
      <c r="G25" t="n">
        <v>1</v>
      </c>
      <c r="H25" t="n">
        <v>2</v>
      </c>
      <c r="I25" t="n">
        <v>2</v>
      </c>
      <c r="J25" t="n">
        <v>5</v>
      </c>
      <c r="K25" t="n">
        <v>5</v>
      </c>
      <c r="L25" t="n">
        <v>1</v>
      </c>
    </row>
    <row r="26">
      <c r="A26" t="inlineStr">
        <is>
          <t>RV College of Engineering Bengaluru</t>
        </is>
      </c>
      <c r="B26" t="inlineStr">
        <is>
          <t>South</t>
        </is>
      </c>
      <c r="C26" t="n">
        <v>2.1</v>
      </c>
      <c r="D26" t="b">
        <v>0</v>
      </c>
      <c r="E26" t="b">
        <v>0</v>
      </c>
      <c r="F26" t="n">
        <v>1</v>
      </c>
      <c r="G26" t="n">
        <v>1</v>
      </c>
      <c r="H26" t="n">
        <v>3</v>
      </c>
      <c r="I26" t="n">
        <v>1</v>
      </c>
      <c r="J26" t="n">
        <v>5</v>
      </c>
      <c r="K26" t="n">
        <v>5</v>
      </c>
      <c r="L26" t="n">
        <v>1</v>
      </c>
    </row>
    <row r="27">
      <c r="A27" t="inlineStr">
        <is>
          <t>IIIT Delhi</t>
        </is>
      </c>
      <c r="B27" t="inlineStr">
        <is>
          <t>Delhi NCR</t>
        </is>
      </c>
      <c r="C27" t="n">
        <v>2</v>
      </c>
      <c r="D27" t="b">
        <v>0</v>
      </c>
      <c r="E27" t="b">
        <v>0</v>
      </c>
      <c r="F27" t="n">
        <v>1</v>
      </c>
      <c r="G27" t="n">
        <v>1</v>
      </c>
      <c r="H27" t="n">
        <v>1</v>
      </c>
      <c r="I27" t="n">
        <v>1</v>
      </c>
      <c r="J27" t="n">
        <v>5</v>
      </c>
      <c r="K27" t="n">
        <v>5</v>
      </c>
      <c r="L27" t="n">
        <v>3</v>
      </c>
    </row>
    <row r="28">
      <c r="A28" t="inlineStr">
        <is>
          <t>VNIT Nagpur (Visvesvaraya National Institute of Technology)</t>
        </is>
      </c>
      <c r="B28" t="inlineStr">
        <is>
          <t>West and East</t>
        </is>
      </c>
      <c r="C28" t="n">
        <v>2</v>
      </c>
      <c r="D28" t="b">
        <v>0</v>
      </c>
      <c r="E28" t="b">
        <v>0</v>
      </c>
      <c r="F28" t="n">
        <v>1</v>
      </c>
      <c r="G28" t="n">
        <v>1</v>
      </c>
      <c r="H28" t="n">
        <v>2</v>
      </c>
      <c r="I28" t="n">
        <v>2</v>
      </c>
      <c r="J28" t="n">
        <v>4</v>
      </c>
      <c r="K28" t="n">
        <v>5</v>
      </c>
      <c r="L28" t="n">
        <v>1</v>
      </c>
    </row>
    <row r="29">
      <c r="A29" t="inlineStr">
        <is>
          <t>MNNIT Allahabad</t>
        </is>
      </c>
      <c r="B29" t="inlineStr">
        <is>
          <t>North</t>
        </is>
      </c>
      <c r="C29" t="n">
        <v>1.95</v>
      </c>
      <c r="D29" t="b">
        <v>0</v>
      </c>
      <c r="E29" t="b">
        <v>0</v>
      </c>
      <c r="F29" t="n">
        <v>1</v>
      </c>
      <c r="G29" t="n">
        <v>1</v>
      </c>
      <c r="H29" t="n">
        <v>2</v>
      </c>
      <c r="I29" t="n">
        <v>1</v>
      </c>
      <c r="J29" t="n">
        <v>5</v>
      </c>
      <c r="K29" t="n">
        <v>5</v>
      </c>
      <c r="L29" t="n">
        <v>1</v>
      </c>
    </row>
    <row r="30">
      <c r="A30" t="inlineStr">
        <is>
          <t>VJTI Mumbai (Veermata Jijabai Technological Institute)</t>
        </is>
      </c>
      <c r="B30" t="inlineStr">
        <is>
          <t>West and East</t>
        </is>
      </c>
      <c r="C30" t="n">
        <v>1.95</v>
      </c>
      <c r="D30" t="b">
        <v>0</v>
      </c>
      <c r="E30" t="b">
        <v>0</v>
      </c>
      <c r="F30" t="n">
        <v>1</v>
      </c>
      <c r="G30" t="n">
        <v>1</v>
      </c>
      <c r="H30" t="n">
        <v>2</v>
      </c>
      <c r="I30" t="n">
        <v>1</v>
      </c>
      <c r="J30" t="n">
        <v>5</v>
      </c>
      <c r="K30" t="n">
        <v>5</v>
      </c>
      <c r="L30" t="n">
        <v>1</v>
      </c>
    </row>
    <row r="31">
      <c r="A31" t="inlineStr">
        <is>
          <t>Jadavpur University</t>
        </is>
      </c>
      <c r="B31" t="inlineStr">
        <is>
          <t>West and East</t>
        </is>
      </c>
      <c r="C31" t="n">
        <v>1.95</v>
      </c>
      <c r="D31" t="b">
        <v>0</v>
      </c>
      <c r="E31" t="b">
        <v>0</v>
      </c>
      <c r="F31" t="n">
        <v>1</v>
      </c>
      <c r="G31" t="n">
        <v>1</v>
      </c>
      <c r="H31" t="n">
        <v>2</v>
      </c>
      <c r="I31" t="n">
        <v>1</v>
      </c>
      <c r="J31" t="n">
        <v>5</v>
      </c>
      <c r="K31" t="n">
        <v>5</v>
      </c>
      <c r="L31" t="n">
        <v>1</v>
      </c>
    </row>
    <row r="32">
      <c r="A32" t="inlineStr">
        <is>
          <t>NIT Calicut</t>
        </is>
      </c>
      <c r="B32" t="inlineStr">
        <is>
          <t>South</t>
        </is>
      </c>
      <c r="C32" t="n">
        <v>1.85</v>
      </c>
      <c r="D32" t="b">
        <v>0</v>
      </c>
      <c r="E32" t="b">
        <v>0</v>
      </c>
      <c r="F32" t="n">
        <v>1</v>
      </c>
      <c r="G32" t="n">
        <v>1</v>
      </c>
      <c r="H32" t="n">
        <v>2</v>
      </c>
      <c r="I32" t="n">
        <v>1</v>
      </c>
      <c r="J32" t="n">
        <v>4</v>
      </c>
      <c r="K32" t="n">
        <v>5</v>
      </c>
      <c r="L32" t="n">
        <v>1</v>
      </c>
    </row>
    <row r="33">
      <c r="A33" t="inlineStr">
        <is>
          <t>IIT (BHU) Varanasi</t>
        </is>
      </c>
      <c r="B33" t="inlineStr">
        <is>
          <t>Contrast set</t>
        </is>
      </c>
      <c r="C33" t="n">
        <v>1.85</v>
      </c>
      <c r="D33" t="b">
        <v>1</v>
      </c>
      <c r="E33" t="b">
        <v>0</v>
      </c>
      <c r="F33" t="n">
        <v>2</v>
      </c>
      <c r="G33" t="n">
        <v>1</v>
      </c>
      <c r="H33" t="n">
        <v>3</v>
      </c>
      <c r="I33" t="n">
        <v>1</v>
      </c>
      <c r="J33" t="n">
        <v>4</v>
      </c>
      <c r="K33" t="n">
        <v>1</v>
      </c>
      <c r="L33" t="n">
        <v>1</v>
      </c>
    </row>
    <row r="34">
      <c r="A34" t="inlineStr">
        <is>
          <t>IIT Guwahati</t>
        </is>
      </c>
      <c r="B34" t="inlineStr">
        <is>
          <t>Contrast set</t>
        </is>
      </c>
      <c r="C34" t="n">
        <v>1.85</v>
      </c>
      <c r="D34" t="b">
        <v>1</v>
      </c>
      <c r="E34" t="b">
        <v>0</v>
      </c>
      <c r="F34" t="n">
        <v>2</v>
      </c>
      <c r="G34" t="n">
        <v>1</v>
      </c>
      <c r="H34" t="n">
        <v>3</v>
      </c>
      <c r="I34" t="n">
        <v>1</v>
      </c>
      <c r="J34" t="n">
        <v>4</v>
      </c>
      <c r="K34" t="n">
        <v>1</v>
      </c>
      <c r="L34" t="n">
        <v>1</v>
      </c>
    </row>
    <row r="35">
      <c r="A35" t="inlineStr">
        <is>
          <t>IIIT Allahabad</t>
        </is>
      </c>
      <c r="B35" t="inlineStr">
        <is>
          <t>North</t>
        </is>
      </c>
      <c r="C35" t="n">
        <v>1.8</v>
      </c>
      <c r="D35" t="b">
        <v>0</v>
      </c>
      <c r="E35" t="b">
        <v>0</v>
      </c>
      <c r="F35" t="n">
        <v>1</v>
      </c>
      <c r="G35" t="n">
        <v>1</v>
      </c>
      <c r="H35" t="n">
        <v>1</v>
      </c>
      <c r="I35" t="n">
        <v>1</v>
      </c>
      <c r="J35" t="n">
        <v>5</v>
      </c>
      <c r="K35" t="n">
        <v>5</v>
      </c>
      <c r="L35" t="n">
        <v>1</v>
      </c>
    </row>
    <row r="36">
      <c r="A36" t="inlineStr">
        <is>
          <t>IIIT Hyderabad</t>
        </is>
      </c>
      <c r="B36" t="inlineStr">
        <is>
          <t>South</t>
        </is>
      </c>
      <c r="C36" t="n">
        <v>1.8</v>
      </c>
      <c r="D36" t="b">
        <v>0</v>
      </c>
      <c r="E36" t="b">
        <v>0</v>
      </c>
      <c r="F36" t="n">
        <v>1</v>
      </c>
      <c r="G36" t="n">
        <v>1</v>
      </c>
      <c r="H36" t="n">
        <v>1</v>
      </c>
      <c r="I36" t="n">
        <v>1</v>
      </c>
      <c r="J36" t="n">
        <v>5</v>
      </c>
      <c r="K36" t="n">
        <v>5</v>
      </c>
      <c r="L36" t="n">
        <v>1</v>
      </c>
    </row>
    <row r="37"/>
    <row r="38">
      <c r="A38" t="inlineStr">
        <is>
          <t>Re-derived median Fit, non-calibration rows (array formula)</t>
        </is>
      </c>
      <c r="B38">
        <f>MEDIAN(IF(E5:E36=FALSE,C5:C36))</f>
        <v/>
      </c>
    </row>
    <row r="39">
      <c r="A39" t="inlineStr">
        <is>
          <t>JSON median Fit</t>
        </is>
      </c>
      <c r="B39" t="n">
        <v>2.15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4" customWidth="1" min="1" max="1"/>
    <col width="15" customWidth="1" min="2" max="2"/>
  </cols>
  <sheetData>
    <row r="1">
      <c r="A1" s="1" t="inlineStr">
        <is>
          <t>T9 Stability test (2000 weight draws, seed 20261009)</t>
        </is>
      </c>
    </row>
    <row r="2"/>
    <row r="3">
      <c r="A3" s="2" t="inlineStr">
        <is>
          <t>college</t>
        </is>
      </c>
      <c r="B3" s="2" t="inlineStr">
        <is>
          <t>stability_pct</t>
        </is>
      </c>
    </row>
    <row r="4">
      <c r="A4" t="inlineStr">
        <is>
          <t>BITS Pilani (Pilani campus)</t>
        </is>
      </c>
      <c r="B4" t="n">
        <v>100</v>
      </c>
    </row>
    <row r="5">
      <c r="A5" t="inlineStr">
        <is>
          <t>NIT Tiruchirappalli</t>
        </is>
      </c>
      <c r="B5" t="n">
        <v>100</v>
      </c>
    </row>
    <row r="6">
      <c r="A6" t="inlineStr">
        <is>
          <t>PEC Chandigarh</t>
        </is>
      </c>
      <c r="B6" t="n">
        <v>97.5</v>
      </c>
    </row>
    <row r="7">
      <c r="A7" t="inlineStr">
        <is>
          <t>COEP Technological University, Pune</t>
        </is>
      </c>
      <c r="B7" t="n">
        <v>97.2</v>
      </c>
    </row>
    <row r="8">
      <c r="A8" t="inlineStr">
        <is>
          <t>IIT Roorkee</t>
        </is>
      </c>
      <c r="B8" t="n">
        <v>5.3</v>
      </c>
    </row>
    <row r="9">
      <c r="A9" t="inlineStr">
        <is>
          <t>BITS Pilani, Goa campus</t>
        </is>
      </c>
      <c r="B9" t="n">
        <v>0</v>
      </c>
    </row>
    <row r="10">
      <c r="A10" t="inlineStr">
        <is>
          <t>NIT Warangal</t>
        </is>
      </c>
      <c r="B10" t="n">
        <v>0</v>
      </c>
    </row>
    <row r="11">
      <c r="A11" t="inlineStr">
        <is>
          <t>IIT Delhi</t>
        </is>
      </c>
      <c r="B11" t="n">
        <v>0</v>
      </c>
    </row>
    <row r="12">
      <c r="A12" t="inlineStr">
        <is>
          <t>IIT (BHU) Varanasi</t>
        </is>
      </c>
      <c r="B12" t="n">
        <v>0</v>
      </c>
    </row>
    <row r="13">
      <c r="A13" t="inlineStr">
        <is>
          <t>IIT Guwahati</t>
        </is>
      </c>
      <c r="B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60" customWidth="1" min="1" max="1"/>
    <col width="17" customWidth="1" min="2" max="2"/>
    <col width="13" customWidth="1" min="3" max="3"/>
    <col width="14" customWidth="1" min="4" max="4"/>
    <col width="17" customWidth="1" min="5" max="5"/>
    <col width="14" customWidth="1" min="6" max="6"/>
    <col width="13" customWidth="1" min="7" max="7"/>
    <col width="25" customWidth="1" min="8" max="8"/>
    <col width="15" customWidth="1" min="9" max="9"/>
    <col width="17" customWidth="1" min="10" max="10"/>
    <col width="14" customWidth="1" min="11" max="11"/>
    <col width="11" customWidth="1" min="12" max="12"/>
  </cols>
  <sheetData>
    <row r="1">
      <c r="A1" s="1" t="inlineStr">
        <is>
          <t>T10 Per-campus launch P&amp;L (final 4 picks, seasons 1 and 2)</t>
        </is>
      </c>
    </row>
    <row r="2"/>
    <row r="3">
      <c r="A3" s="3" t="inlineStr">
        <is>
          <t>BITS Pilani (Pilani campus)</t>
        </is>
      </c>
    </row>
    <row r="4">
      <c r="A4" s="2" t="inlineStr">
        <is>
          <t>scenario</t>
        </is>
      </c>
      <c r="B4" s="2" t="inlineStr">
        <is>
          <t>founding_cohort</t>
        </is>
      </c>
      <c r="C4" s="2" t="inlineStr">
        <is>
          <t>fee_season1</t>
        </is>
      </c>
      <c r="D4" s="2" t="inlineStr">
        <is>
          <t>cost_season1</t>
        </is>
      </c>
      <c r="E4" s="2" t="inlineStr">
        <is>
          <t>revenue_season1</t>
        </is>
      </c>
      <c r="F4" s="2" t="inlineStr">
        <is>
          <t>cash_season1</t>
        </is>
      </c>
      <c r="G4" s="2" t="inlineStr">
        <is>
          <t>ambassadors</t>
        </is>
      </c>
      <c r="H4" s="2" t="inlineStr">
        <is>
          <t>ambassador_cost_season2</t>
        </is>
      </c>
      <c r="I4" s="2" t="inlineStr">
        <is>
          <t>enrol_season2</t>
        </is>
      </c>
      <c r="J4" s="2" t="inlineStr">
        <is>
          <t>revenue_season2</t>
        </is>
      </c>
      <c r="K4" s="2" t="inlineStr">
        <is>
          <t>cash_season2</t>
        </is>
      </c>
      <c r="L4" s="2" t="inlineStr">
        <is>
          <t>breakeven</t>
        </is>
      </c>
    </row>
    <row r="5">
      <c r="A5" t="inlineStr">
        <is>
          <t>bear</t>
        </is>
      </c>
      <c r="B5" t="n">
        <v>12</v>
      </c>
      <c r="C5" t="n">
        <v>4000</v>
      </c>
      <c r="D5" t="n">
        <v>60000</v>
      </c>
      <c r="E5" t="n">
        <v>48000</v>
      </c>
      <c r="F5" t="n">
        <v>-12000</v>
      </c>
      <c r="G5" t="n">
        <v>2</v>
      </c>
      <c r="H5" t="n">
        <v>6000</v>
      </c>
      <c r="I5" t="n">
        <v>18</v>
      </c>
      <c r="J5" t="n">
        <v>144000</v>
      </c>
      <c r="K5" t="n">
        <v>126000</v>
      </c>
      <c r="L5" t="inlineStr">
        <is>
          <t>Season 2</t>
        </is>
      </c>
    </row>
    <row r="6">
      <c r="A6" t="inlineStr">
        <is>
          <t>base</t>
        </is>
      </c>
      <c r="B6" t="n">
        <v>20</v>
      </c>
      <c r="C6" t="n">
        <v>7200</v>
      </c>
      <c r="D6" t="n">
        <v>45000</v>
      </c>
      <c r="E6" t="n">
        <v>144000</v>
      </c>
      <c r="F6" t="n">
        <v>99000</v>
      </c>
      <c r="G6" t="n">
        <v>4</v>
      </c>
      <c r="H6" t="n">
        <v>16000</v>
      </c>
      <c r="I6" t="n">
        <v>60</v>
      </c>
      <c r="J6" t="n">
        <v>720000</v>
      </c>
      <c r="K6" t="n">
        <v>803000</v>
      </c>
      <c r="L6" t="inlineStr">
        <is>
          <t>Season 1</t>
        </is>
      </c>
    </row>
    <row r="7">
      <c r="A7" t="inlineStr">
        <is>
          <t>bull</t>
        </is>
      </c>
      <c r="B7" t="n">
        <v>30</v>
      </c>
      <c r="C7" t="n">
        <v>12600</v>
      </c>
      <c r="D7" t="n">
        <v>30000</v>
      </c>
      <c r="E7" t="n">
        <v>378000</v>
      </c>
      <c r="F7" t="n">
        <v>348000</v>
      </c>
      <c r="G7" t="n">
        <v>8</v>
      </c>
      <c r="H7" t="n">
        <v>42000</v>
      </c>
      <c r="I7" t="n">
        <v>150</v>
      </c>
      <c r="J7" t="n">
        <v>2700000</v>
      </c>
      <c r="K7" t="n">
        <v>3006000</v>
      </c>
      <c r="L7" t="inlineStr">
        <is>
          <t>Season 1</t>
        </is>
      </c>
    </row>
    <row r="8"/>
    <row r="9">
      <c r="A9" s="3" t="inlineStr">
        <is>
          <t>NIT Tiruchirappalli</t>
        </is>
      </c>
    </row>
    <row r="10">
      <c r="A10" s="2" t="inlineStr">
        <is>
          <t>scenario</t>
        </is>
      </c>
      <c r="B10" s="2" t="inlineStr">
        <is>
          <t>founding_cohort</t>
        </is>
      </c>
      <c r="C10" s="2" t="inlineStr">
        <is>
          <t>fee_season1</t>
        </is>
      </c>
      <c r="D10" s="2" t="inlineStr">
        <is>
          <t>cost_season1</t>
        </is>
      </c>
      <c r="E10" s="2" t="inlineStr">
        <is>
          <t>revenue_season1</t>
        </is>
      </c>
      <c r="F10" s="2" t="inlineStr">
        <is>
          <t>cash_season1</t>
        </is>
      </c>
      <c r="G10" s="2" t="inlineStr">
        <is>
          <t>ambassadors</t>
        </is>
      </c>
      <c r="H10" s="2" t="inlineStr">
        <is>
          <t>ambassador_cost_season2</t>
        </is>
      </c>
      <c r="I10" s="2" t="inlineStr">
        <is>
          <t>enrol_season2</t>
        </is>
      </c>
      <c r="J10" s="2" t="inlineStr">
        <is>
          <t>revenue_season2</t>
        </is>
      </c>
      <c r="K10" s="2" t="inlineStr">
        <is>
          <t>cash_season2</t>
        </is>
      </c>
      <c r="L10" s="2" t="inlineStr">
        <is>
          <t>breakeven</t>
        </is>
      </c>
    </row>
    <row r="11">
      <c r="A11" t="inlineStr">
        <is>
          <t>bear</t>
        </is>
      </c>
      <c r="B11" t="n">
        <v>12</v>
      </c>
      <c r="C11" t="n">
        <v>4000</v>
      </c>
      <c r="D11" t="n">
        <v>60000</v>
      </c>
      <c r="E11" t="n">
        <v>48000</v>
      </c>
      <c r="F11" t="n">
        <v>-12000</v>
      </c>
      <c r="G11" t="n">
        <v>2</v>
      </c>
      <c r="H11" t="n">
        <v>6000</v>
      </c>
      <c r="I11" t="n">
        <v>18</v>
      </c>
      <c r="J11" t="n">
        <v>144000</v>
      </c>
      <c r="K11" t="n">
        <v>126000</v>
      </c>
      <c r="L11" t="inlineStr">
        <is>
          <t>Season 2</t>
        </is>
      </c>
    </row>
    <row r="12">
      <c r="A12" t="inlineStr">
        <is>
          <t>base</t>
        </is>
      </c>
      <c r="B12" t="n">
        <v>20</v>
      </c>
      <c r="C12" t="n">
        <v>7200</v>
      </c>
      <c r="D12" t="n">
        <v>45000</v>
      </c>
      <c r="E12" t="n">
        <v>144000</v>
      </c>
      <c r="F12" t="n">
        <v>99000</v>
      </c>
      <c r="G12" t="n">
        <v>4</v>
      </c>
      <c r="H12" t="n">
        <v>16000</v>
      </c>
      <c r="I12" t="n">
        <v>60</v>
      </c>
      <c r="J12" t="n">
        <v>720000</v>
      </c>
      <c r="K12" t="n">
        <v>803000</v>
      </c>
      <c r="L12" t="inlineStr">
        <is>
          <t>Season 1</t>
        </is>
      </c>
    </row>
    <row r="13">
      <c r="A13" t="inlineStr">
        <is>
          <t>bull</t>
        </is>
      </c>
      <c r="B13" t="n">
        <v>30</v>
      </c>
      <c r="C13" t="n">
        <v>12600</v>
      </c>
      <c r="D13" t="n">
        <v>30000</v>
      </c>
      <c r="E13" t="n">
        <v>378000</v>
      </c>
      <c r="F13" t="n">
        <v>348000</v>
      </c>
      <c r="G13" t="n">
        <v>8</v>
      </c>
      <c r="H13" t="n">
        <v>42000</v>
      </c>
      <c r="I13" t="n">
        <v>150</v>
      </c>
      <c r="J13" t="n">
        <v>2700000</v>
      </c>
      <c r="K13" t="n">
        <v>3006000</v>
      </c>
      <c r="L13" t="inlineStr">
        <is>
          <t>Season 1</t>
        </is>
      </c>
    </row>
    <row r="14"/>
    <row r="15">
      <c r="A15" s="3" t="inlineStr">
        <is>
          <t>PEC Chandigarh</t>
        </is>
      </c>
    </row>
    <row r="16">
      <c r="A16" s="2" t="inlineStr">
        <is>
          <t>scenario</t>
        </is>
      </c>
      <c r="B16" s="2" t="inlineStr">
        <is>
          <t>founding_cohort</t>
        </is>
      </c>
      <c r="C16" s="2" t="inlineStr">
        <is>
          <t>fee_season1</t>
        </is>
      </c>
      <c r="D16" s="2" t="inlineStr">
        <is>
          <t>cost_season1</t>
        </is>
      </c>
      <c r="E16" s="2" t="inlineStr">
        <is>
          <t>revenue_season1</t>
        </is>
      </c>
      <c r="F16" s="2" t="inlineStr">
        <is>
          <t>cash_season1</t>
        </is>
      </c>
      <c r="G16" s="2" t="inlineStr">
        <is>
          <t>ambassadors</t>
        </is>
      </c>
      <c r="H16" s="2" t="inlineStr">
        <is>
          <t>ambassador_cost_season2</t>
        </is>
      </c>
      <c r="I16" s="2" t="inlineStr">
        <is>
          <t>enrol_season2</t>
        </is>
      </c>
      <c r="J16" s="2" t="inlineStr">
        <is>
          <t>revenue_season2</t>
        </is>
      </c>
      <c r="K16" s="2" t="inlineStr">
        <is>
          <t>cash_season2</t>
        </is>
      </c>
      <c r="L16" s="2" t="inlineStr">
        <is>
          <t>breakeven</t>
        </is>
      </c>
    </row>
    <row r="17">
      <c r="A17" t="inlineStr">
        <is>
          <t>bear</t>
        </is>
      </c>
      <c r="B17" t="n">
        <v>12</v>
      </c>
      <c r="C17" t="n">
        <v>4000</v>
      </c>
      <c r="D17" t="n">
        <v>60000</v>
      </c>
      <c r="E17" t="n">
        <v>48000</v>
      </c>
      <c r="F17" t="n">
        <v>-12000</v>
      </c>
      <c r="G17" t="n">
        <v>2</v>
      </c>
      <c r="H17" t="n">
        <v>6000</v>
      </c>
      <c r="I17" t="n">
        <v>18</v>
      </c>
      <c r="J17" t="n">
        <v>144000</v>
      </c>
      <c r="K17" t="n">
        <v>126000</v>
      </c>
      <c r="L17" t="inlineStr">
        <is>
          <t>Season 2</t>
        </is>
      </c>
    </row>
    <row r="18">
      <c r="A18" t="inlineStr">
        <is>
          <t>base</t>
        </is>
      </c>
      <c r="B18" t="n">
        <v>20</v>
      </c>
      <c r="C18" t="n">
        <v>7200</v>
      </c>
      <c r="D18" t="n">
        <v>45000</v>
      </c>
      <c r="E18" t="n">
        <v>144000</v>
      </c>
      <c r="F18" t="n">
        <v>99000</v>
      </c>
      <c r="G18" t="n">
        <v>4</v>
      </c>
      <c r="H18" t="n">
        <v>16000</v>
      </c>
      <c r="I18" t="n">
        <v>60</v>
      </c>
      <c r="J18" t="n">
        <v>720000</v>
      </c>
      <c r="K18" t="n">
        <v>803000</v>
      </c>
      <c r="L18" t="inlineStr">
        <is>
          <t>Season 1</t>
        </is>
      </c>
    </row>
    <row r="19">
      <c r="A19" t="inlineStr">
        <is>
          <t>bull</t>
        </is>
      </c>
      <c r="B19" t="n">
        <v>30</v>
      </c>
      <c r="C19" t="n">
        <v>12600</v>
      </c>
      <c r="D19" t="n">
        <v>30000</v>
      </c>
      <c r="E19" t="n">
        <v>378000</v>
      </c>
      <c r="F19" t="n">
        <v>348000</v>
      </c>
      <c r="G19" t="n">
        <v>8</v>
      </c>
      <c r="H19" t="n">
        <v>42000</v>
      </c>
      <c r="I19" t="n">
        <v>150</v>
      </c>
      <c r="J19" t="n">
        <v>2700000</v>
      </c>
      <c r="K19" t="n">
        <v>3006000</v>
      </c>
      <c r="L19" t="inlineStr">
        <is>
          <t>Season 1</t>
        </is>
      </c>
    </row>
    <row r="20"/>
    <row r="21">
      <c r="A21" s="3" t="inlineStr">
        <is>
          <t>COEP Technological University, Pune</t>
        </is>
      </c>
    </row>
    <row r="22">
      <c r="A22" s="2" t="inlineStr">
        <is>
          <t>scenario</t>
        </is>
      </c>
      <c r="B22" s="2" t="inlineStr">
        <is>
          <t>founding_cohort</t>
        </is>
      </c>
      <c r="C22" s="2" t="inlineStr">
        <is>
          <t>fee_season1</t>
        </is>
      </c>
      <c r="D22" s="2" t="inlineStr">
        <is>
          <t>cost_season1</t>
        </is>
      </c>
      <c r="E22" s="2" t="inlineStr">
        <is>
          <t>revenue_season1</t>
        </is>
      </c>
      <c r="F22" s="2" t="inlineStr">
        <is>
          <t>cash_season1</t>
        </is>
      </c>
      <c r="G22" s="2" t="inlineStr">
        <is>
          <t>ambassadors</t>
        </is>
      </c>
      <c r="H22" s="2" t="inlineStr">
        <is>
          <t>ambassador_cost_season2</t>
        </is>
      </c>
      <c r="I22" s="2" t="inlineStr">
        <is>
          <t>enrol_season2</t>
        </is>
      </c>
      <c r="J22" s="2" t="inlineStr">
        <is>
          <t>revenue_season2</t>
        </is>
      </c>
      <c r="K22" s="2" t="inlineStr">
        <is>
          <t>cash_season2</t>
        </is>
      </c>
      <c r="L22" s="2" t="inlineStr">
        <is>
          <t>breakeven</t>
        </is>
      </c>
    </row>
    <row r="23">
      <c r="A23" t="inlineStr">
        <is>
          <t>bear</t>
        </is>
      </c>
      <c r="B23" t="n">
        <v>12</v>
      </c>
      <c r="C23" t="n">
        <v>4000</v>
      </c>
      <c r="D23" t="n">
        <v>60000</v>
      </c>
      <c r="E23" t="n">
        <v>48000</v>
      </c>
      <c r="F23" t="n">
        <v>-12000</v>
      </c>
      <c r="G23" t="n">
        <v>2</v>
      </c>
      <c r="H23" t="n">
        <v>6000</v>
      </c>
      <c r="I23" t="n">
        <v>18</v>
      </c>
      <c r="J23" t="n">
        <v>144000</v>
      </c>
      <c r="K23" t="n">
        <v>126000</v>
      </c>
      <c r="L23" t="inlineStr">
        <is>
          <t>Season 2</t>
        </is>
      </c>
    </row>
    <row r="24">
      <c r="A24" t="inlineStr">
        <is>
          <t>base</t>
        </is>
      </c>
      <c r="B24" t="n">
        <v>20</v>
      </c>
      <c r="C24" t="n">
        <v>7200</v>
      </c>
      <c r="D24" t="n">
        <v>45000</v>
      </c>
      <c r="E24" t="n">
        <v>144000</v>
      </c>
      <c r="F24" t="n">
        <v>99000</v>
      </c>
      <c r="G24" t="n">
        <v>4</v>
      </c>
      <c r="H24" t="n">
        <v>16000</v>
      </c>
      <c r="I24" t="n">
        <v>60</v>
      </c>
      <c r="J24" t="n">
        <v>720000</v>
      </c>
      <c r="K24" t="n">
        <v>803000</v>
      </c>
      <c r="L24" t="inlineStr">
        <is>
          <t>Season 1</t>
        </is>
      </c>
    </row>
    <row r="25">
      <c r="A25" t="inlineStr">
        <is>
          <t>bull</t>
        </is>
      </c>
      <c r="B25" t="n">
        <v>30</v>
      </c>
      <c r="C25" t="n">
        <v>12600</v>
      </c>
      <c r="D25" t="n">
        <v>30000</v>
      </c>
      <c r="E25" t="n">
        <v>378000</v>
      </c>
      <c r="F25" t="n">
        <v>348000</v>
      </c>
      <c r="G25" t="n">
        <v>8</v>
      </c>
      <c r="H25" t="n">
        <v>42000</v>
      </c>
      <c r="I25" t="n">
        <v>150</v>
      </c>
      <c r="J25" t="n">
        <v>2700000</v>
      </c>
      <c r="K25" t="n">
        <v>3006000</v>
      </c>
      <c r="L25" t="inlineStr">
        <is>
          <t>Season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4" customWidth="1" min="1" max="1"/>
    <col width="10" customWidth="1" min="2" max="2"/>
  </cols>
  <sheetData>
    <row r="1">
      <c r="A1" s="1" t="inlineStr">
        <is>
          <t>T11 Founder hours: today vs after the plan</t>
        </is>
      </c>
    </row>
    <row r="2"/>
    <row r="3">
      <c r="A3" s="2" t="inlineStr">
        <is>
          <t>metric</t>
        </is>
      </c>
      <c r="B3" s="2" t="inlineStr">
        <is>
          <t>value</t>
        </is>
      </c>
    </row>
    <row r="4">
      <c r="A4" t="inlineStr">
        <is>
          <t>hours_today</t>
        </is>
      </c>
      <c r="B4" t="n">
        <v>220</v>
      </c>
    </row>
    <row r="5">
      <c r="A5" t="inlineStr">
        <is>
          <t>hours_after_dtu</t>
        </is>
      </c>
      <c r="B5" t="n">
        <v>132</v>
      </c>
    </row>
    <row r="6">
      <c r="A6" t="inlineStr">
        <is>
          <t>hours_new_campuses</t>
        </is>
      </c>
      <c r="B6" t="n">
        <v>64</v>
      </c>
    </row>
    <row r="7">
      <c r="A7" t="inlineStr">
        <is>
          <t>hours_after_total</t>
        </is>
      </c>
      <c r="B7" t="n">
        <v>196</v>
      </c>
    </row>
    <row r="8">
      <c r="A8" t="inlineStr">
        <is>
          <t>capacity_annual</t>
        </is>
      </c>
      <c r="B8" t="n">
        <v>1040</v>
      </c>
    </row>
    <row r="9">
      <c r="A9" t="inlineStr">
        <is>
          <t>hours_freed_dtu</t>
        </is>
      </c>
      <c r="B9" t="n">
        <v>88</v>
      </c>
    </row>
    <row r="10">
      <c r="A10" t="inlineStr">
        <is>
          <t>fits_in_founder_week</t>
        </is>
      </c>
      <c r="B10"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6" customWidth="1" min="1" max="1"/>
    <col width="18" customWidth="1" min="2" max="2"/>
    <col width="13" customWidth="1" min="3" max="3"/>
    <col width="15" customWidth="1" min="4" max="4"/>
    <col width="20" customWidth="1" min="5" max="5"/>
    <col width="16" customWidth="1" min="6" max="6"/>
    <col width="19" customWidth="1" min="7" max="7"/>
  </cols>
  <sheetData>
    <row r="1">
      <c r="A1" s="1" t="inlineStr">
        <is>
          <t>T12 12-month roll-up: DTU plus four campuses</t>
        </is>
      </c>
    </row>
    <row r="2"/>
    <row r="3">
      <c r="A3" s="2" t="inlineStr">
        <is>
          <t>scenario</t>
        </is>
      </c>
      <c r="B3" s="2" t="inlineStr">
        <is>
          <t>total_enrolments</t>
        </is>
      </c>
      <c r="C3" s="2" t="inlineStr">
        <is>
          <t>total_spend</t>
        </is>
      </c>
      <c r="D3" s="2" t="inlineStr">
        <is>
          <t>total_revenue</t>
        </is>
      </c>
      <c r="E3" s="2" t="inlineStr">
        <is>
          <t>total_contribution</t>
        </is>
      </c>
      <c r="F3" s="2" t="inlineStr">
        <is>
          <t>dtu_enrolments</t>
        </is>
      </c>
      <c r="G3" s="2" t="inlineStr">
        <is>
          <t>campus_enrolments</t>
        </is>
      </c>
    </row>
    <row r="4">
      <c r="A4" t="inlineStr">
        <is>
          <t>bear</t>
        </is>
      </c>
      <c r="B4" t="n">
        <v>168</v>
      </c>
      <c r="C4" t="n">
        <v>2224811</v>
      </c>
      <c r="D4" t="n">
        <v>1152000</v>
      </c>
      <c r="E4" t="n">
        <v>-1591211</v>
      </c>
      <c r="F4" t="n">
        <v>120</v>
      </c>
      <c r="G4" t="n">
        <v>48</v>
      </c>
    </row>
    <row r="5">
      <c r="A5" t="inlineStr">
        <is>
          <t>base</t>
        </is>
      </c>
      <c r="B5" t="n">
        <v>245</v>
      </c>
      <c r="C5" t="n">
        <v>531650</v>
      </c>
      <c r="D5" t="n">
        <v>2556000</v>
      </c>
      <c r="E5" t="n">
        <v>1129750</v>
      </c>
      <c r="F5" t="n">
        <v>165</v>
      </c>
      <c r="G5" t="n">
        <v>80</v>
      </c>
    </row>
    <row r="6">
      <c r="A6" t="inlineStr">
        <is>
          <t>bull</t>
        </is>
      </c>
      <c r="B6" t="n">
        <v>330</v>
      </c>
      <c r="C6" t="n">
        <v>146222</v>
      </c>
      <c r="D6" t="n">
        <v>5292000</v>
      </c>
      <c r="E6" t="n">
        <v>3822778</v>
      </c>
      <c r="F6" t="n">
        <v>210</v>
      </c>
      <c r="G6" t="n">
        <v>120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6" customWidth="1" min="1" max="1"/>
    <col width="10" customWidth="1" min="2" max="2"/>
    <col width="14" customWidth="1" min="3" max="3"/>
    <col width="12" customWidth="1" min="4" max="4"/>
    <col width="10" customWidth="1" min="5" max="5"/>
    <col width="16" customWidth="1" min="6" max="6"/>
    <col width="19" customWidth="1" min="7" max="7"/>
    <col width="22" customWidth="1" min="8" max="8"/>
    <col width="19" customWidth="1" min="9" max="9"/>
  </cols>
  <sheetData>
    <row r="1">
      <c r="A1" s="1" t="inlineStr">
        <is>
          <t>T13 KPI targets by month</t>
        </is>
      </c>
    </row>
    <row r="2"/>
    <row r="3">
      <c r="A3" s="2" t="inlineStr">
        <is>
          <t>milestone</t>
        </is>
      </c>
      <c r="B3" s="2" t="inlineStr">
        <is>
          <t>leads</t>
        </is>
      </c>
      <c r="C3" s="2" t="inlineStr">
        <is>
          <t>applications</t>
        </is>
      </c>
      <c r="D3" s="2" t="inlineStr">
        <is>
          <t>enrolments</t>
        </is>
      </c>
      <c r="E3" s="2" t="inlineStr">
        <is>
          <t>cac</t>
        </is>
      </c>
      <c r="F3" s="2" t="inlineStr">
        <is>
          <t>referral_share</t>
        </is>
      </c>
      <c r="G3" s="2" t="inlineStr">
        <is>
          <t>second_year_share</t>
        </is>
      </c>
      <c r="H3" s="2" t="inlineStr">
        <is>
          <t>founding_cohort_fill</t>
        </is>
      </c>
      <c r="I3" s="2" t="inlineStr">
        <is>
          <t>offers_per_campus</t>
        </is>
      </c>
    </row>
    <row r="4">
      <c r="A4" t="inlineStr">
        <is>
          <t>baseline</t>
        </is>
      </c>
      <c r="B4" t="n">
        <v>0</v>
      </c>
      <c r="C4" t="n">
        <v>0</v>
      </c>
      <c r="D4" t="n">
        <v>110</v>
      </c>
      <c r="F4" t="n">
        <v>0.8</v>
      </c>
      <c r="G4" t="n">
        <v>0</v>
      </c>
      <c r="H4" t="n">
        <v>0</v>
      </c>
      <c r="I4" t="n">
        <v>0</v>
      </c>
    </row>
    <row r="5">
      <c r="A5" t="inlineStr">
        <is>
          <t>m3</t>
        </is>
      </c>
      <c r="B5" t="n">
        <v>1465</v>
      </c>
      <c r="C5" t="n">
        <v>176</v>
      </c>
      <c r="D5" t="n">
        <v>41.2</v>
      </c>
      <c r="E5" t="n">
        <v>2131.21</v>
      </c>
      <c r="F5" t="n">
        <v>0.72</v>
      </c>
      <c r="G5" t="n">
        <v>0.1</v>
      </c>
      <c r="H5" t="n">
        <v>0.4</v>
      </c>
      <c r="I5" t="n">
        <v>0</v>
      </c>
    </row>
    <row r="6">
      <c r="A6" t="inlineStr">
        <is>
          <t>m6</t>
        </is>
      </c>
      <c r="B6" t="n">
        <v>3222</v>
      </c>
      <c r="C6" t="n">
        <v>387</v>
      </c>
      <c r="D6" t="n">
        <v>90.8</v>
      </c>
      <c r="E6" t="n">
        <v>2131.21</v>
      </c>
      <c r="F6" t="n">
        <v>0.8</v>
      </c>
      <c r="G6" t="n">
        <v>0.16</v>
      </c>
      <c r="H6" t="n">
        <v>0.8</v>
      </c>
      <c r="I6" t="n">
        <v>4</v>
      </c>
    </row>
    <row r="7">
      <c r="A7" t="inlineStr">
        <is>
          <t>m12</t>
        </is>
      </c>
      <c r="B7" t="n">
        <v>5859</v>
      </c>
      <c r="C7" t="n">
        <v>703</v>
      </c>
      <c r="D7" t="n">
        <v>165</v>
      </c>
      <c r="E7" t="n">
        <v>2131.21</v>
      </c>
      <c r="F7" t="n">
        <v>0.8</v>
      </c>
      <c r="G7" t="n">
        <v>0.2</v>
      </c>
      <c r="H7" t="n">
        <v>1</v>
      </c>
      <c r="I7" t="n">
        <v>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9" customWidth="1" min="1" max="1"/>
    <col width="32" customWidth="1" min="2" max="2"/>
    <col width="12" customWidth="1" min="3" max="3"/>
    <col width="13" customWidth="1" min="4" max="4"/>
  </cols>
  <sheetData>
    <row r="1">
      <c r="A1" s="1" t="inlineStr">
        <is>
          <t>T14 Kill and scale thresholds (bear scenario, first pick)</t>
        </is>
      </c>
    </row>
    <row r="2"/>
    <row r="3">
      <c r="A3" s="2" t="inlineStr">
        <is>
          <t>checkpoint</t>
        </is>
      </c>
      <c r="B3" s="2" t="inlineStr">
        <is>
          <t>metric</t>
        </is>
      </c>
      <c r="C3" s="2" t="inlineStr">
        <is>
          <t>stop_below</t>
        </is>
      </c>
      <c r="D3" s="2" t="inlineStr">
        <is>
          <t>scale_above</t>
        </is>
      </c>
    </row>
    <row r="4">
      <c r="A4" t="inlineStr">
        <is>
          <t>day30</t>
        </is>
      </c>
      <c r="B4" t="inlineStr">
        <is>
          <t>founding-cohort applications</t>
        </is>
      </c>
      <c r="C4" t="n">
        <v>6</v>
      </c>
      <c r="D4" t="n">
        <v>14</v>
      </c>
    </row>
    <row r="5">
      <c r="A5" t="inlineStr">
        <is>
          <t>day60</t>
        </is>
      </c>
      <c r="B5" t="inlineStr">
        <is>
          <t>founding-cohort fill</t>
        </is>
      </c>
      <c r="C5" t="n">
        <v>10</v>
      </c>
      <c r="D5" t="n">
        <v>12</v>
      </c>
    </row>
    <row r="6">
      <c r="A6" t="inlineStr">
        <is>
          <t>day90</t>
        </is>
      </c>
      <c r="B6" t="inlineStr">
        <is>
          <t>founding-cohort offers secured</t>
        </is>
      </c>
      <c r="C6" t="n">
        <v>2</v>
      </c>
      <c r="D6" t="n">
        <v>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1" customWidth="1" min="1" max="1"/>
    <col width="22" customWidth="1" min="2" max="2"/>
  </cols>
  <sheetData>
    <row r="1">
      <c r="A1" s="1" t="inlineStr">
        <is>
          <t>T15 Price sensitivity (base scenario, first pick)</t>
        </is>
      </c>
    </row>
    <row r="2"/>
    <row r="3">
      <c r="A3" s="2" t="inlineStr">
        <is>
          <t>price_inr</t>
        </is>
      </c>
      <c r="B3" s="2" t="inlineStr">
        <is>
          <t>breakeven_enrolments</t>
        </is>
      </c>
    </row>
    <row r="4">
      <c r="A4" t="n">
        <v>8000</v>
      </c>
      <c r="B4" t="n">
        <v>8.699999999999999</v>
      </c>
    </row>
    <row r="5">
      <c r="A5" t="n">
        <v>12000</v>
      </c>
      <c r="B5" t="n">
        <v>5.8</v>
      </c>
    </row>
    <row r="6">
      <c r="A6" t="n">
        <v>18000</v>
      </c>
      <c r="B6" t="n">
        <v>3.8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41" customWidth="1" min="1" max="1"/>
    <col width="10" customWidth="1" min="2" max="2"/>
    <col width="60" customWidth="1" min="3" max="3"/>
    <col width="10" customWidth="1" min="4" max="4"/>
    <col width="33" customWidth="1" min="5" max="5"/>
  </cols>
  <sheetData>
    <row r="1">
      <c r="A1" s="1" t="inlineStr">
        <is>
          <t>T16 Assumptions register</t>
        </is>
      </c>
    </row>
    <row r="2"/>
    <row r="3">
      <c r="A3" s="2" t="inlineStr">
        <is>
          <t>id</t>
        </is>
      </c>
      <c r="B3" s="2" t="inlineStr">
        <is>
          <t>bear</t>
        </is>
      </c>
      <c r="C3" s="2" t="inlineStr">
        <is>
          <t>base</t>
        </is>
      </c>
      <c r="D3" s="2" t="inlineStr">
        <is>
          <t>bull</t>
        </is>
      </c>
      <c r="E3" s="2" t="inlineStr">
        <is>
          <t>note</t>
        </is>
      </c>
    </row>
    <row r="4">
      <c r="A4" t="inlineStr">
        <is>
          <t>A01_fee_inr</t>
        </is>
      </c>
      <c r="B4" t="n">
        <v>8000</v>
      </c>
      <c r="C4" t="n">
        <v>12000</v>
      </c>
      <c r="D4" t="n">
        <v>18000</v>
      </c>
      <c r="E4" t="inlineStr"/>
    </row>
    <row r="5">
      <c r="A5" t="inlineStr">
        <is>
          <t>A02_dtu_batch_note</t>
        </is>
      </c>
      <c r="B5" t="inlineStr"/>
      <c r="C5" t="inlineStr">
        <is>
          <t>superseded by R['dtu_ug_sanctioned_intake'] (RB01, official); kept for the register only</t>
        </is>
      </c>
      <c r="D5" t="inlineStr"/>
      <c r="E5" t="inlineStr">
        <is>
          <t>not a bear/base/bull assumption</t>
        </is>
      </c>
    </row>
    <row r="6">
      <c r="A6" t="inlineStr">
        <is>
          <t>A03_nontech_open_share</t>
        </is>
      </c>
      <c r="B6" t="n">
        <v>0.2</v>
      </c>
      <c r="C6" t="n">
        <v>0.3</v>
      </c>
      <c r="D6" t="n">
        <v>0.4</v>
      </c>
      <c r="E6" t="inlineStr"/>
    </row>
    <row r="7">
      <c r="A7" t="inlineStr">
        <is>
          <t>A04_dtu_enrolments_12mo</t>
        </is>
      </c>
      <c r="B7" t="n">
        <v>80</v>
      </c>
      <c r="C7" t="n">
        <v>110</v>
      </c>
      <c r="D7" t="n">
        <v>140</v>
      </c>
      <c r="E7" t="inlineStr"/>
    </row>
    <row r="8">
      <c r="A8" t="inlineStr">
        <is>
          <t>A05_referral_share</t>
        </is>
      </c>
      <c r="B8" t="n">
        <v>0.9</v>
      </c>
      <c r="C8" t="n">
        <v>0.8</v>
      </c>
      <c r="D8" t="n">
        <v>0.7</v>
      </c>
      <c r="E8" t="inlineStr"/>
    </row>
    <row r="9">
      <c r="A9" t="inlineStr">
        <is>
          <t>A06_event_registrants</t>
        </is>
      </c>
      <c r="B9" t="n">
        <v>80</v>
      </c>
      <c r="C9" t="n">
        <v>150</v>
      </c>
      <c r="D9" t="n">
        <v>250</v>
      </c>
      <c r="E9" t="inlineStr"/>
    </row>
    <row r="10">
      <c r="A10" t="inlineStr">
        <is>
          <t>A07_registrant_to_lead</t>
        </is>
      </c>
      <c r="B10" t="n">
        <v>0.35</v>
      </c>
      <c r="C10" t="n">
        <v>0.5</v>
      </c>
      <c r="D10" t="n">
        <v>0.65</v>
      </c>
      <c r="E10" t="inlineStr"/>
    </row>
    <row r="11">
      <c r="A11" t="inlineStr">
        <is>
          <t>A08_lead_to_application</t>
        </is>
      </c>
      <c r="B11" t="n">
        <v>0.08</v>
      </c>
      <c r="C11" t="n">
        <v>0.12</v>
      </c>
      <c r="D11" t="n">
        <v>0.18</v>
      </c>
      <c r="E11" t="inlineStr"/>
    </row>
    <row r="12">
      <c r="A12" t="inlineStr">
        <is>
          <t>A09_application_to_enrolment</t>
        </is>
      </c>
      <c r="B12" t="n">
        <v>0.3</v>
      </c>
      <c r="C12" t="n">
        <v>0.45</v>
      </c>
      <c r="D12" t="n">
        <v>0.6</v>
      </c>
      <c r="E12" t="inlineStr"/>
    </row>
    <row r="13">
      <c r="A13" t="inlineStr">
        <is>
          <t>A10_mockdrive_participants</t>
        </is>
      </c>
      <c r="B13" t="n">
        <v>100</v>
      </c>
      <c r="C13" t="n">
        <v>200</v>
      </c>
      <c r="D13" t="n">
        <v>350</v>
      </c>
      <c r="E13" t="inlineStr"/>
    </row>
    <row r="14">
      <c r="A14" t="inlineStr">
        <is>
          <t>A11_meta_cpl_inr</t>
        </is>
      </c>
      <c r="B14" t="n">
        <v>600</v>
      </c>
      <c r="C14" t="n">
        <v>350</v>
      </c>
      <c r="D14" t="n">
        <v>200</v>
      </c>
      <c r="E14" t="inlineStr"/>
    </row>
    <row r="15">
      <c r="A15" t="inlineStr">
        <is>
          <t>A12_linkedin_cpl_inr</t>
        </is>
      </c>
      <c r="B15" t="n">
        <v>1500</v>
      </c>
      <c r="C15" t="n">
        <v>900</v>
      </c>
      <c r="D15" t="n">
        <v>500</v>
      </c>
      <c r="E15" t="inlineStr"/>
    </row>
    <row r="16">
      <c r="A16" t="inlineStr">
        <is>
          <t>A13_paid_lead_to_application</t>
        </is>
      </c>
      <c r="B16" t="n">
        <v>0.03</v>
      </c>
      <c r="C16" t="n">
        <v>0.06</v>
      </c>
      <c r="D16" t="n">
        <v>0.1</v>
      </c>
      <c r="E16" t="inlineStr"/>
    </row>
    <row r="17">
      <c r="A17" t="inlineStr">
        <is>
          <t>A14_ambassador_enrolments_per_season</t>
        </is>
      </c>
      <c r="B17" t="n">
        <v>2</v>
      </c>
      <c r="C17" t="n">
        <v>4</v>
      </c>
      <c r="D17" t="n">
        <v>7</v>
      </c>
      <c r="E17" t="inlineStr"/>
    </row>
    <row r="18">
      <c r="A18" t="inlineStr">
        <is>
          <t>A15_ambassador_payout_per_enrolment_inr</t>
        </is>
      </c>
      <c r="B18" t="n">
        <v>1500</v>
      </c>
      <c r="C18" t="n">
        <v>1000</v>
      </c>
      <c r="D18" t="n">
        <v>750</v>
      </c>
      <c r="E18" t="inlineStr"/>
    </row>
    <row r="19">
      <c r="A19" t="inlineStr">
        <is>
          <t>A16_referral_reward_per_enrolment_inr</t>
        </is>
      </c>
      <c r="B19" t="n">
        <v>1500</v>
      </c>
      <c r="C19" t="n">
        <v>1000</v>
      </c>
      <c r="D19" t="n">
        <v>500</v>
      </c>
      <c r="E19" t="inlineStr"/>
    </row>
    <row r="20">
      <c r="A20" t="inlineStr">
        <is>
          <t>A17_founding_cohort_size</t>
        </is>
      </c>
      <c r="B20" t="n">
        <v>12</v>
      </c>
      <c r="C20" t="n">
        <v>20</v>
      </c>
      <c r="D20" t="n">
        <v>30</v>
      </c>
      <c r="E20" t="inlineStr"/>
    </row>
    <row r="21">
      <c r="A21" t="inlineStr">
        <is>
          <t>A18_founding_cohort_discount</t>
        </is>
      </c>
      <c r="B21" t="n">
        <v>0.5</v>
      </c>
      <c r="C21" t="n">
        <v>0.4</v>
      </c>
      <c r="D21" t="n">
        <v>0.3</v>
      </c>
      <c r="E21" t="inlineStr"/>
    </row>
    <row r="22">
      <c r="A22" t="inlineStr">
        <is>
          <t>A19_founding_cohort_selection_rate</t>
        </is>
      </c>
      <c r="B22" t="n">
        <v>0.25</v>
      </c>
      <c r="C22" t="n">
        <v>0.4</v>
      </c>
      <c r="D22" t="n">
        <v>0.55</v>
      </c>
      <c r="E22" t="inlineStr"/>
    </row>
    <row r="23">
      <c r="A23" t="inlineStr">
        <is>
          <t>A20_season2_multiple</t>
        </is>
      </c>
      <c r="B23" t="n">
        <v>1.5</v>
      </c>
      <c r="C23" t="n">
        <v>3</v>
      </c>
      <c r="D23" t="n">
        <v>5</v>
      </c>
      <c r="E23" t="inlineStr"/>
    </row>
    <row r="24">
      <c r="A24" t="inlineStr">
        <is>
          <t>A21_case_league_cost_inr</t>
        </is>
      </c>
      <c r="B24" t="n">
        <v>60000</v>
      </c>
      <c r="C24" t="n">
        <v>45000</v>
      </c>
      <c r="D24" t="n">
        <v>30000</v>
      </c>
      <c r="E24" t="inlineStr"/>
    </row>
    <row r="25">
      <c r="A25" t="inlineStr">
        <is>
          <t>A22_founder_hours_per_enrolment_today</t>
        </is>
      </c>
      <c r="B25" t="n">
        <v>3</v>
      </c>
      <c r="C25" t="n">
        <v>2</v>
      </c>
      <c r="D25" t="n">
        <v>1.5</v>
      </c>
      <c r="E25" t="inlineStr"/>
    </row>
    <row r="26">
      <c r="A26" t="inlineStr">
        <is>
          <t>A23_founder_hours_per_enrolment_after</t>
        </is>
      </c>
      <c r="B26" t="n">
        <v>1.2</v>
      </c>
      <c r="C26" t="n">
        <v>0.8</v>
      </c>
      <c r="D26" t="n">
        <v>0.5</v>
      </c>
      <c r="E26" t="inlineStr"/>
    </row>
    <row r="27">
      <c r="A27" t="inlineStr">
        <is>
          <t>A24_gross_margin</t>
        </is>
      </c>
      <c r="B27" t="n">
        <v>0.55</v>
      </c>
      <c r="C27" t="n">
        <v>0.65</v>
      </c>
      <c r="D27" t="n">
        <v>0.75</v>
      </c>
      <c r="E27" t="inlineStr"/>
    </row>
    <row r="28">
      <c r="A28" t="inlineStr">
        <is>
          <t>A25_influencer_cost_per_post_inr</t>
        </is>
      </c>
      <c r="B28" t="n">
        <v>4000</v>
      </c>
      <c r="C28" t="n">
        <v>2500</v>
      </c>
      <c r="D28" t="n">
        <v>1500</v>
      </c>
      <c r="E28" t="inlineStr"/>
    </row>
    <row r="29">
      <c r="A29" t="inlineStr">
        <is>
          <t>A26_gated_capture_rate</t>
        </is>
      </c>
      <c r="B29" t="n">
        <v>0.2</v>
      </c>
      <c r="C29" t="n">
        <v>0.35</v>
      </c>
      <c r="D29" t="n">
        <v>0.5</v>
      </c>
      <c r="E29" t="inlineStr"/>
    </row>
    <row r="30">
      <c r="A30" t="inlineStr">
        <is>
          <t>A27_organic_visitors_per_month</t>
        </is>
      </c>
      <c r="B30" t="n">
        <v>300</v>
      </c>
      <c r="C30" t="n">
        <v>600</v>
      </c>
      <c r="D30" t="n">
        <v>1200</v>
      </c>
      <c r="E30" t="inlineStr"/>
    </row>
    <row r="31">
      <c r="A31" t="inlineStr">
        <is>
          <t>A28_second_year_share_after_plan</t>
        </is>
      </c>
      <c r="B31" t="n">
        <v>0.1</v>
      </c>
      <c r="C31" t="n">
        <v>0.2</v>
      </c>
      <c r="D31" t="n">
        <v>0.3</v>
      </c>
      <c r="E31" t="inlineStr"/>
    </row>
    <row r="32">
      <c r="A32" t="inlineStr">
        <is>
          <t>A29_selection_rate_into_offer</t>
        </is>
      </c>
      <c r="B32" t="n">
        <v>0.35</v>
      </c>
      <c r="C32" t="n">
        <v>0.45</v>
      </c>
      <c r="D32" t="n">
        <v>0.6</v>
      </c>
      <c r="E32" t="inlineStr"/>
    </row>
    <row r="33">
      <c r="A33" t="inlineStr">
        <is>
          <t>A30_upsell_revenue_per_student_inr</t>
        </is>
      </c>
      <c r="B33" t="n">
        <v>0</v>
      </c>
      <c r="C33" t="n">
        <v>300</v>
      </c>
      <c r="D33" t="n">
        <v>800</v>
      </c>
      <c r="E33" t="inlineStr"/>
    </row>
    <row r="34">
      <c r="A34" t="inlineStr">
        <is>
          <t>A31_founder_hours_per_week</t>
        </is>
      </c>
      <c r="B34" t="n">
        <v>15</v>
      </c>
      <c r="C34" t="n">
        <v>20</v>
      </c>
      <c r="D34" t="n">
        <v>25</v>
      </c>
      <c r="E34" t="inlineStr"/>
    </row>
    <row r="35">
      <c r="A35" t="inlineStr">
        <is>
          <t>A32_cohorts_per_year</t>
        </is>
      </c>
      <c r="B35" t="n">
        <v>2</v>
      </c>
      <c r="C35" t="n">
        <v>3</v>
      </c>
      <c r="D35" t="n">
        <v>4</v>
      </c>
      <c r="E35" t="inlineStr"/>
    </row>
    <row r="36">
      <c r="A36" t="inlineStr">
        <is>
          <t>A33_inhouse_event_cash_cost_inr</t>
        </is>
      </c>
      <c r="B36" t="n">
        <v>12000</v>
      </c>
      <c r="C36" t="n">
        <v>8000</v>
      </c>
      <c r="D36" t="n">
        <v>5000</v>
      </c>
      <c r="E36" t="inlineStr"/>
    </row>
    <row r="37">
      <c r="A37" t="inlineStr">
        <is>
          <t>A34_paid_reach_share_of_campus</t>
        </is>
      </c>
      <c r="B37" t="n">
        <v>0.03</v>
      </c>
      <c r="C37" t="n">
        <v>0.05</v>
      </c>
      <c r="D37" t="n">
        <v>0.08</v>
      </c>
      <c r="E3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55" customWidth="1" min="1" max="1"/>
    <col width="20" customWidth="1" min="2" max="2"/>
    <col width="20" customWidth="1" min="3" max="3"/>
    <col width="10" customWidth="1" min="4" max="4"/>
  </cols>
  <sheetData>
    <row r="1">
      <c r="A1" s="1" t="inlineStr">
        <is>
          <t>Checks: formula-derived totals against the JSON values the Python model already computed</t>
        </is>
      </c>
    </row>
    <row r="3">
      <c r="A3" s="2" t="inlineStr">
        <is>
          <t>Check</t>
        </is>
      </c>
      <c r="B3" s="2" t="inlineStr">
        <is>
          <t>Derived (formula)</t>
        </is>
      </c>
      <c r="C3" s="2" t="inlineStr">
        <is>
          <t>JSON value</t>
        </is>
      </c>
      <c r="D3" s="2" t="inlineStr">
        <is>
          <t>Match</t>
        </is>
      </c>
    </row>
    <row r="4">
      <c r="A4" t="inlineStr">
        <is>
          <t>T4 budget split: organic % of total cash</t>
        </is>
      </c>
      <c r="B4">
        <f>T4!B19</f>
        <v/>
      </c>
      <c r="C4" t="n">
        <v>21.1</v>
      </c>
      <c r="D4">
        <f>ABS(B4-C4)&lt;0.2</f>
        <v/>
      </c>
    </row>
    <row r="5">
      <c r="A5" t="inlineStr">
        <is>
          <t>T6 base contribution (revenue x margin - spend)</t>
        </is>
      </c>
      <c r="B5">
        <f>T6!B8</f>
        <v/>
      </c>
      <c r="C5">
        <f>T6!B9</f>
        <v/>
      </c>
      <c r="D5">
        <f>ABS(B5-C5)&lt;1</f>
        <v/>
      </c>
    </row>
    <row r="6">
      <c r="A6" t="inlineStr">
        <is>
          <t>T8 calibration check: median Fit (non-calibration rows)</t>
        </is>
      </c>
      <c r="B6">
        <f>T8!B38</f>
        <v/>
      </c>
      <c r="C6">
        <f>T8!B39</f>
        <v/>
      </c>
      <c r="D6">
        <f>ABS(B6-C6)&lt;0.01</f>
        <v/>
      </c>
    </row>
    <row r="8">
      <c r="A8" t="inlineStr">
        <is>
          <t>Note: B6/C6 reference cells already on the T8 sheet, which themselves hold a live array formula (MEDIAN/IF) next to the JSON value, so this row double-checks that the T8 sheet's own re-derivation and the JSON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2026-10-10T07:52:48Z</dcterms:created>
  <dcterms:modified xsi:type="dcterms:W3CDTF">2026-10-10T07:52:48Z</dcterms:modified>
</cp:coreProperties>
</file>